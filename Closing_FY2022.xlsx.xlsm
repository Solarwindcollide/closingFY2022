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publishItems="1"/>
  <mc:AlternateContent xmlns:mc="http://schemas.openxmlformats.org/markup-compatibility/2006">
    <mc:Choice Requires="x15">
      <x15ac:absPath xmlns:x15ac="http://schemas.microsoft.com/office/spreadsheetml/2010/11/ac" url="C:\Users\stanislav.zhiludko\Desktop\MCIA\"/>
    </mc:Choice>
  </mc:AlternateContent>
  <xr:revisionPtr revIDLastSave="0" documentId="13_ncr:1_{B1F4DA3B-3B8D-475C-B174-AD5E6722313A}" xr6:coauthVersionLast="45" xr6:coauthVersionMax="47" xr10:uidLastSave="{00000000-0000-0000-0000-000000000000}"/>
  <bookViews>
    <workbookView xWindow="-108" yWindow="-108" windowWidth="23256" windowHeight="12576" tabRatio="773" firstSheet="1" activeTab="9" xr2:uid="{00000000-000D-0000-FFFF-FFFF00000000}"/>
  </bookViews>
  <sheets>
    <sheet name="Sheet1" sheetId="3" state="veryHidden" r:id="rId1"/>
    <sheet name="Reports" sheetId="24" r:id="rId2"/>
    <sheet name="tech&gt;&gt;" sheetId="33" r:id="rId3"/>
    <sheet name="tech_op" sheetId="1" r:id="rId4"/>
    <sheet name="tech" sheetId="2" r:id="rId5"/>
    <sheet name="mapping" sheetId="22" r:id="rId6"/>
    <sheet name="BS_start" sheetId="41" r:id="rId7"/>
    <sheet name="BS" sheetId="23" r:id="rId8"/>
    <sheet name="help_1" sheetId="39" r:id="rId9"/>
    <sheet name="help_2" sheetId="40" r:id="rId10"/>
    <sheet name="budget&gt;&gt;" sheetId="6" state="hidden" r:id="rId11"/>
    <sheet name="b_aggr" sheetId="8" state="hidden" r:id="rId12"/>
    <sheet name="bOL" sheetId="9" state="hidden" r:id="rId13"/>
    <sheet name="bRM" sheetId="10" state="hidden" r:id="rId14"/>
    <sheet name="bFL" sheetId="12" state="hidden" r:id="rId15"/>
    <sheet name="b_Indirect" sheetId="14" state="hidden" r:id="rId16"/>
    <sheet name="b_Other" sheetId="16" state="hidden" r:id="rId17"/>
  </sheets>
  <definedNames>
    <definedName name="_______a1" hidden="1">#REF!</definedName>
    <definedName name="______a1" hidden="1">#REF!</definedName>
    <definedName name="_____a1" hidden="1">#REF!</definedName>
    <definedName name="____a1" hidden="1">#REF!</definedName>
    <definedName name="___a1" hidden="1">#REF!</definedName>
    <definedName name="___ggggg" hidden="1">#REF!</definedName>
    <definedName name="__a1" hidden="1">#REF!</definedName>
    <definedName name="_1__123Graph_ACHART_1" hidden="1">#REF!</definedName>
    <definedName name="_12__123Graph_XCHART_1" hidden="1">#REF!</definedName>
    <definedName name="_2__123Graph_BCHART_1" hidden="1">#REF!</definedName>
    <definedName name="_3__123Graph_ACHART_1" hidden="1">#REF!</definedName>
    <definedName name="_3__123Graph_CCHART_1" hidden="1">#REF!</definedName>
    <definedName name="_4__123Graph_CCHART_1" hidden="1">#REF!</definedName>
    <definedName name="_4__123Graph_XCHART_1" hidden="1">#REF!</definedName>
    <definedName name="_5__123Graph_XCHART_1" hidden="1">#REF!</definedName>
    <definedName name="_6__123Graph_BCHART_1" hidden="1">#REF!</definedName>
    <definedName name="_9__123Graph_CCHART_1" hidden="1">#REF!</definedName>
    <definedName name="_a1" hidden="1">#REF!</definedName>
    <definedName name="_Dist_Bin" hidden="1">#REF!</definedName>
    <definedName name="_Dist_Values" hidden="1">#REF!</definedName>
    <definedName name="_Fill" hidden="1">#REF!</definedName>
    <definedName name="_xlnm._FilterDatabase" localSheetId="15" hidden="1">b_Indirect!$B$8:$AR$51</definedName>
    <definedName name="_xlnm._FilterDatabase" localSheetId="9" hidden="1">help_2!$J$4:$K$108</definedName>
    <definedName name="_xlnm._FilterDatabase" hidden="1">#REF!</definedName>
    <definedName name="_Order1" hidden="1">0</definedName>
    <definedName name="_Sort" hidden="1">#REF!</definedName>
    <definedName name="AccessDatabase" hidden="1">"C:\Мои документы\НоваяОборотка.mdb"</definedName>
    <definedName name="Achart" hidden="1">#REF!</definedName>
    <definedName name="adf" hidden="1">#REF!</definedName>
    <definedName name="adfafa" hidden="1">#REF!</definedName>
    <definedName name="adfasf" hidden="1">#REF!</definedName>
    <definedName name="adsmfk" hidden="1">#REF!</definedName>
    <definedName name="afwerg" hidden="1">#REF!</definedName>
    <definedName name="age" hidden="1">#REF!</definedName>
    <definedName name="apd" hidden="1">#REF!</definedName>
    <definedName name="arfgarthj" hidden="1">#REF!</definedName>
    <definedName name="arger" hidden="1">#REF!</definedName>
    <definedName name="AS2DocOpenMode" hidden="1">"AS2DocumentEdit"</definedName>
    <definedName name="AS2NamedRange" hidden="1">47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d" hidden="1">#REF!</definedName>
    <definedName name="asdasd" hidden="1">#REF!</definedName>
    <definedName name="asfsdf" hidden="1">#REF!</definedName>
    <definedName name="atrhtar" hidden="1">#REF!</definedName>
    <definedName name="bartdf" hidden="1">#REF!</definedName>
    <definedName name="BG_Del" hidden="1">15</definedName>
    <definedName name="BG_Ins" hidden="1">4</definedName>
    <definedName name="BG_Mod" hidden="1">6</definedName>
    <definedName name="bj" hidden="1">#REF!</definedName>
    <definedName name="chart" hidden="1">#REF!</definedName>
    <definedName name="cvd" hidden="1">{#N/A,#N/A,FALSE,"Aging Summary";#N/A,#N/A,FALSE,"Ratio Analysis";#N/A,#N/A,FALSE,"Test 120 Day Accts";#N/A,#N/A,FALSE,"Tickmarks"}</definedName>
    <definedName name="cxnxnm" hidden="1">#REF!</definedName>
    <definedName name="d" hidden="1">#REF!</definedName>
    <definedName name="dasd" hidden="1">#REF!</definedName>
    <definedName name="dddd" hidden="1">#REF!</definedName>
    <definedName name="ddst" hidden="1">#REF!</definedName>
    <definedName name="df" hidden="1">#REF!</definedName>
    <definedName name="DFA" hidden="1">#REF!</definedName>
    <definedName name="dfdf" hidden="1">#REF!</definedName>
    <definedName name="dfh" hidden="1">#REF!</definedName>
    <definedName name="dfsdf" hidden="1">{#N/A,#N/A,FALSE,"Aging Summary";#N/A,#N/A,FALSE,"Ratio Analysis";#N/A,#N/A,FALSE,"Test 120 Day Accts";#N/A,#N/A,FALSE,"Tickmarks"}</definedName>
    <definedName name="eargeh" hidden="1">#REF!</definedName>
    <definedName name="eawtger" hidden="1">#REF!</definedName>
    <definedName name="EDFQW" hidden="1">#REF!</definedName>
    <definedName name="er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erfwer" hidden="1">#REF!</definedName>
    <definedName name="ergergea" hidden="1">#REF!</definedName>
    <definedName name="erokt" hidden="1">#REF!</definedName>
    <definedName name="erqwfwerfwe43" hidden="1">{#N/A,#N/A,FALSE,"Aging Summary";#N/A,#N/A,FALSE,"Ratio Analysis";#N/A,#N/A,FALSE,"Test 120 Day Accts";#N/A,#N/A,FALSE,"Tickmarks"}</definedName>
    <definedName name="ERTWE" hidden="1">#REF!</definedName>
    <definedName name="ervqw4" hidden="1">#REF!</definedName>
    <definedName name="erw" hidden="1">#REF!</definedName>
    <definedName name="erwer" hidden="1">#REF!</definedName>
    <definedName name="ety" hidden="1">#REF!</definedName>
    <definedName name="ew" hidden="1">#REF!</definedName>
    <definedName name="ewfew" hidden="1">#REF!</definedName>
    <definedName name="ExternalData_1" localSheetId="7" hidden="1">BS!$AF$1:$AH$129</definedName>
    <definedName name="ExternalData_1" localSheetId="1" hidden="1">Reports!#REF!</definedName>
    <definedName name="ExternalData_10" localSheetId="7" hidden="1">BS!$AV$10:$AW$38</definedName>
    <definedName name="ExternalData_11" localSheetId="6" hidden="1">BS_start!$A$1:$C$124</definedName>
    <definedName name="ExternalData_2" localSheetId="6" hidden="1">BS_start!$H$1:$J$124</definedName>
    <definedName name="ExternalData_2" localSheetId="0" hidden="1">Sheet1!$A$1:$O$333</definedName>
    <definedName name="ExternalData_3" localSheetId="7" hidden="1">BS!$A$1:$C$143</definedName>
    <definedName name="ExternalData_4" localSheetId="7" hidden="1">BS!$S$1:$V$34</definedName>
    <definedName name="ExternalData_5" localSheetId="7" hidden="1">BS!$Z$1:$AC$6</definedName>
    <definedName name="ExternalData_6" localSheetId="7" hidden="1">BS!$AF$1:$AH$129</definedName>
    <definedName name="ExternalData_7" localSheetId="7" hidden="1">BS!$AK$1:$AM$105</definedName>
    <definedName name="ExternalData_8" localSheetId="7" hidden="1">BS!$AV$1:$AY$6</definedName>
    <definedName name="ey" hidden="1">#REF!</definedName>
    <definedName name="fafer" hidden="1">#REF!</definedName>
    <definedName name="fdgh" hidden="1">#REF!</definedName>
    <definedName name="fg" hidden="1">#REF!</definedName>
    <definedName name="fgarf" hidden="1">#REF!</definedName>
    <definedName name="fgh" hidden="1">#REF!</definedName>
    <definedName name="fghg" hidden="1">#REF!</definedName>
    <definedName name="fgvaed" hidden="1">#REF!</definedName>
    <definedName name="fhsdjn" hidden="1">#REF!</definedName>
    <definedName name="fjfsdj" hidden="1">{#N/A,#N/A,FALSE,"Aging Summary";#N/A,#N/A,FALSE,"Ratio Analysis";#N/A,#N/A,FALSE,"Test 120 Day Accts";#N/A,#N/A,FALSE,"Tickmarks"}</definedName>
    <definedName name="frd" hidden="1">#REF!</definedName>
    <definedName name="fwesa" hidden="1">#REF!</definedName>
    <definedName name="G2a" hidden="1">{#N/A,#N/A,FALSE,"Aging Summary";#N/A,#N/A,FALSE,"Ratio Analysis";#N/A,#N/A,FALSE,"Test 120 Day Accts";#N/A,#N/A,FALSE,"Tickmarks"}</definedName>
    <definedName name="gbmb" hidden="1">#REF!</definedName>
    <definedName name="gdfh" hidden="1">#REF!</definedName>
    <definedName name="gfa" hidden="1">#REF!</definedName>
    <definedName name="gggg2" hidden="1">#REF!</definedName>
    <definedName name="gggggg" hidden="1">#REF!</definedName>
    <definedName name="gkhgkhg" hidden="1">{#N/A,#N/A,FALSE,"Aging Summary";#N/A,#N/A,FALSE,"Ratio Analysis";#N/A,#N/A,FALSE,"Test 120 Day Accts";#N/A,#N/A,FALSE,"Tickmarks"}</definedName>
    <definedName name="gr" hidden="1">#REF!</definedName>
    <definedName name="GREQ" hidden="1">#REF!</definedName>
    <definedName name="gVWE4q" hidden="1">#REF!</definedName>
    <definedName name="hg" hidden="1">#REF!</definedName>
    <definedName name="hgj" hidden="1">#REF!</definedName>
    <definedName name="hjty" hidden="1">#REF!</definedName>
    <definedName name="j" hidden="1">22</definedName>
    <definedName name="jkfbewavieuowq" hidden="1">#REF!</definedName>
    <definedName name="kiewp" hidden="1">#REF!</definedName>
    <definedName name="kkjlk" hidden="1">{#N/A,#N/A,FALSE,"Aging Summary";#N/A,#N/A,FALSE,"Ratio Analysis";#N/A,#N/A,FALSE,"Test 120 Day Accts";#N/A,#N/A,FALSE,"Tickmarks"}</definedName>
    <definedName name="ldks" hidden="1">#REF!</definedName>
    <definedName name="LOCAL_MYSQL_DATE_FORMAT" hidden="1">REPT(LOCAL_YEAR_FORMAT,4)&amp;LOCAL_DATE_SEPARATOR&amp;REPT(LOCAL_MONTH_FORMAT,2)&amp;LOCAL_DATE_SEPARATOR&amp;REPT(LOCAL_DAY_FORMAT,2)&amp;" "&amp;REPT(LOCAL_HOUR_FORMAT,2)&amp;qqqq&amp;REPT(LOCAL_MINUTE_FORMAT,2)&amp;qqqq&amp;REPT(#REF!,2)</definedName>
    <definedName name="oi" hidden="1">#REF!</definedName>
    <definedName name="oppop" hidden="1">#REF!</definedName>
    <definedName name="qv" hidden="1">#REF!</definedName>
    <definedName name="qw" hidden="1">{#N/A,#N/A,FALSE,"Aging Summary";#N/A,#N/A,FALSE,"Ratio Analysis";#N/A,#N/A,FALSE,"Test 120 Day Accts";#N/A,#N/A,FALSE,"Tickmarks"}</definedName>
    <definedName name="qwesr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rrgsdfsadfasdf" hidden="1">#REF!</definedName>
    <definedName name="rtegbvdferthwbrew45ergaw4h5" hidden="1">#REF!</definedName>
    <definedName name="ru" hidden="1">#REF!</definedName>
    <definedName name="rwer" hidden="1">#REF!</definedName>
    <definedName name="S2.D7_4300" hidden="1">#REF!</definedName>
    <definedName name="S3.D65_4298" hidden="1">#REF!</definedName>
    <definedName name="SAPBEXhrIndnt" hidden="1">2</definedName>
    <definedName name="SAPBEXrevision" hidden="1">1</definedName>
    <definedName name="SAPBEXsysID" hidden="1">"PR5"</definedName>
    <definedName name="SAPBEXwbID" hidden="1">"3VOQSS2M2LUOOTEGBKJ0T50DI"</definedName>
    <definedName name="sdfdfg" hidden="1">#REF!</definedName>
    <definedName name="sdgfswe" hidden="1">#REF!</definedName>
    <definedName name="sdgwst" hidden="1">#REF!</definedName>
    <definedName name="sdkfm" hidden="1">#REF!</definedName>
    <definedName name="sdlmf" hidden="1">#REF!</definedName>
    <definedName name="sfjsd" hidden="1">#REF!</definedName>
    <definedName name="sgddg" hidden="1">#REF!</definedName>
    <definedName name="skergf" hidden="1">#REF!</definedName>
    <definedName name="skerp" hidden="1">#REF!</definedName>
    <definedName name="sNK" hidden="1">#REF!</definedName>
    <definedName name="st" hidden="1">#REF!</definedName>
    <definedName name="stru" hidden="1">#REF!</definedName>
    <definedName name="stry" hidden="1">#REF!</definedName>
    <definedName name="stryj5j7" hidden="1">#REF!</definedName>
    <definedName name="t" hidden="1">#REF!</definedName>
    <definedName name="TextRefCopyRangeCount" hidden="1">33</definedName>
    <definedName name="thngd" hidden="1">#REF!</definedName>
    <definedName name="ukru" hidden="1">#REF!</definedName>
    <definedName name="USD_31120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uy" hidden="1">#REF!</definedName>
    <definedName name="w" hidden="1">#REF!</definedName>
    <definedName name="w3e4tgfwq324t" hidden="1">#REF!</definedName>
    <definedName name="wagf" hidden="1">#REF!</definedName>
    <definedName name="WE" hidden="1">#REF!</definedName>
    <definedName name="weaf" hidden="1">#REF!</definedName>
    <definedName name="weagfEWafv" hidden="1">#REF!</definedName>
    <definedName name="wef" hidden="1">#REF!</definedName>
    <definedName name="wefgre" hidden="1">#REF!</definedName>
    <definedName name="WEfweefwf" hidden="1">#REF!</definedName>
    <definedName name="wegfvdewag4" hidden="1">#REF!</definedName>
    <definedName name="werwer" hidden="1">#REF!</definedName>
    <definedName name="whatsoever" hidden="1">{#N/A,#N/A,FALSE,"Aging Summary";#N/A,#N/A,FALSE,"Ratio Analysis";#N/A,#N/A,FALSE,"Test 120 Day Accts";#N/A,#N/A,FALSE,"Tickmarks"}</definedName>
    <definedName name="wqegf" hidden="1">{#N/A,#N/A,FALSE,"Aging Summary";#N/A,#N/A,FALSE,"Ratio Analysis";#N/A,#N/A,FALSE,"Test 120 Day Accts";#N/A,#N/A,FALSE,"Tickmarks"}</definedName>
    <definedName name="wqgag" hidden="1">#REF!</definedName>
    <definedName name="wrn.Aging._.and._.Trend._.Analysis." hidden="1">{#N/A,#N/A,FALSE,"Aging Summary";#N/A,#N/A,FALSE,"Ratio Analysis";#N/A,#N/A,FALSE,"Test 120 Day Accts";#N/A,#N/A,FALSE,"Tickmarks"}</definedName>
    <definedName name="wrn.REPORT1." hidden="1">{"PRINTME",#N/A,FALSE,"FINAL-10"}</definedName>
    <definedName name="wrn.RESULTS.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wrn.xrates." hidden="1">{#N/A,#N/A,FALSE,"1996";#N/A,#N/A,FALSE,"1995";#N/A,#N/A,FALSE,"1994"}</definedName>
    <definedName name="wrthtrtge2" hidden="1">#REF!</definedName>
    <definedName name="wsegwe" hidden="1">#REF!</definedName>
    <definedName name="wtgfw432" hidden="1">#REF!</definedName>
    <definedName name="wwy56y5" hidden="1">#REF!</definedName>
    <definedName name="xc" hidden="1">#REF!</definedName>
    <definedName name="xdfed" hidden="1">{#N/A,#N/A,FALSE,"Aging Summary";#N/A,#N/A,FALSE,"Ratio Analysis";#N/A,#N/A,FALSE,"Test 120 Day Accts";#N/A,#N/A,FALSE,"Tickmarks"}</definedName>
    <definedName name="xgfj" hidden="1">#REF!</definedName>
    <definedName name="XREF_COLUMN_2" hidden="1">#REF!</definedName>
    <definedName name="XRefColumnsCount" hidden="1">3</definedName>
    <definedName name="XRefCopyRangeCount" hidden="1">1</definedName>
    <definedName name="XRefPaste1" hidden="1">#REF!</definedName>
    <definedName name="XRefPaste1Row" hidden="1">#REF!</definedName>
    <definedName name="XRefPaste2" hidden="1">#REF!</definedName>
    <definedName name="XRefPaste2Row" hidden="1">#REF!</definedName>
    <definedName name="XRefPasteRangeCount" hidden="1">3</definedName>
    <definedName name="yh" hidden="1">#REF!</definedName>
    <definedName name="Z_F1DB62C1_EB88_408F_B8A7_7A9F90819540_.wvu.Rows" hidden="1">#REF!,#REF!,#REF!,#REF!,#REF!,#REF!,#REF!,#REF!,#REF!,#REF!,#REF!,#REF!,#REF!,#REF!</definedName>
    <definedName name="а" hidden="1">#REF!</definedName>
    <definedName name="апроен" hidden="1">#REF!</definedName>
    <definedName name="аспимав" hidden="1">#REF!</definedName>
    <definedName name="ауц" hidden="1">#REF!</definedName>
    <definedName name="ванр" hidden="1">#REF!</definedName>
    <definedName name="ваов" hidden="1">#REF!</definedName>
    <definedName name="вв" hidden="1">#REF!</definedName>
    <definedName name="вжад" hidden="1">#REF!</definedName>
    <definedName name="г" hidden="1">#REF!</definedName>
    <definedName name="д" hidden="1">#REF!</definedName>
    <definedName name="е" hidden="1">#REF!</definedName>
    <definedName name="кен" hidden="1">#REF!</definedName>
    <definedName name="л" hidden="1">#REF!</definedName>
    <definedName name="м" hidden="1">#REF!</definedName>
    <definedName name="н" hidden="1">#REF!</definedName>
    <definedName name="номит" hidden="1">#REF!</definedName>
    <definedName name="пау" hidden="1">#REF!</definedName>
    <definedName name="пп" hidden="1">#REF!</definedName>
    <definedName name="пука" hidden="1">#REF!</definedName>
    <definedName name="р" hidden="1">#REF!</definedName>
    <definedName name="рыры" hidden="1">{#N/A,#N/A,FALSE,"Aging Summary";#N/A,#N/A,FALSE,"Ratio Analysis";#N/A,#N/A,FALSE,"Test 120 Day Accts";#N/A,#N/A,FALSE,"Tickmarks"}</definedName>
    <definedName name="св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тват" hidden="1">#REF!</definedName>
    <definedName name="у" hidden="1">#REF!</definedName>
    <definedName name="укел" hidden="1">#REF!</definedName>
    <definedName name="ф" hidden="1">#REF!</definedName>
    <definedName name="фы" hidden="1">#REF!</definedName>
    <definedName name="ц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цу" hidden="1">#REF!</definedName>
    <definedName name="цуй" hidden="1">#REF!</definedName>
    <definedName name="цуп" hidden="1">#REF!</definedName>
    <definedName name="ццу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чрпекр" hidden="1">#REF!</definedName>
    <definedName name="шеонш" hidden="1">#REF!</definedName>
    <definedName name="щ" hidden="1">#REF!</definedName>
    <definedName name="ыsdfj" hidden="1">#REF!</definedName>
    <definedName name="ыва" hidden="1">21</definedName>
    <definedName name="ыепнреык" hidden="1">#REF!</definedName>
    <definedName name="ыкены" hidden="1">#REF!</definedName>
    <definedName name="ыпам" hidden="1">#REF!</definedName>
    <definedName name="я" hidden="1">{#N/A,#N/A,FALSE,"HMF";#N/A,#N/A,FALSE,"FACIL";#N/A,#N/A,FALSE,"HMFINANCE";#N/A,#N/A,FALSE,"HMEUROPE";#N/A,#N/A,FALSE,"HHAB CONSO";#N/A,#N/A,FALSE,"PAB";#N/A,#N/A,FALSE,"MMC";#N/A,#N/A,FALSE,"THAI";#N/A,#N/A,FALSE,"SINPA";#N/A,#N/A,FALSE,"POLAND"}</definedName>
  </definedNames>
  <calcPr calcId="191029"/>
  <pivotCaches>
    <pivotCache cacheId="41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_39668484-e2cf-4f77-a87e-8bc88836ea87" name="Calendar" connection="Query - Calenda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6" i="24" l="1"/>
  <c r="G56" i="24" s="1"/>
  <c r="D51" i="24"/>
  <c r="G51" i="24" s="1"/>
  <c r="D50" i="24"/>
  <c r="G50" i="24" s="1"/>
  <c r="D49" i="24"/>
  <c r="D48" i="24"/>
  <c r="G48" i="24" s="1"/>
  <c r="D47" i="24"/>
  <c r="G47" i="24" s="1"/>
  <c r="D46" i="24"/>
  <c r="G46" i="24" s="1"/>
  <c r="D45" i="24"/>
  <c r="D44" i="24"/>
  <c r="G44" i="24" s="1"/>
  <c r="D43" i="24"/>
  <c r="D42" i="24"/>
  <c r="G42" i="24" s="1"/>
  <c r="D41" i="24"/>
  <c r="D38" i="24"/>
  <c r="D37" i="24"/>
  <c r="G37" i="24" s="1"/>
  <c r="D36" i="24"/>
  <c r="G36" i="24" s="1"/>
  <c r="D33" i="24"/>
  <c r="G33" i="24" s="1"/>
  <c r="D32" i="24"/>
  <c r="D31" i="24"/>
  <c r="G31" i="24" s="1"/>
  <c r="D30" i="24"/>
  <c r="G30" i="24" s="1"/>
  <c r="D29" i="24"/>
  <c r="D24" i="24"/>
  <c r="G24" i="24" s="1"/>
  <c r="D23" i="24"/>
  <c r="G23" i="24" s="1"/>
  <c r="D22" i="24"/>
  <c r="G22" i="24" s="1"/>
  <c r="D21" i="24"/>
  <c r="G21" i="24" s="1"/>
  <c r="D20" i="24"/>
  <c r="G20" i="24" s="1"/>
  <c r="D19" i="24"/>
  <c r="G19" i="24" s="1"/>
  <c r="D18" i="24"/>
  <c r="D17" i="24"/>
  <c r="G17" i="24" s="1"/>
  <c r="D16" i="24"/>
  <c r="G16" i="24" s="1"/>
  <c r="D15" i="24"/>
  <c r="G15" i="24" s="1"/>
  <c r="D14" i="24"/>
  <c r="G14" i="24" s="1"/>
  <c r="D13" i="24"/>
  <c r="G13" i="24" s="1"/>
  <c r="D3" i="24"/>
  <c r="G3" i="24" s="1"/>
  <c r="D4" i="24"/>
  <c r="G4" i="24" s="1"/>
  <c r="D5" i="24"/>
  <c r="G5" i="24" s="1"/>
  <c r="D6" i="24"/>
  <c r="G6" i="24" s="1"/>
  <c r="D7" i="24"/>
  <c r="G7" i="24" s="1"/>
  <c r="D8" i="24"/>
  <c r="G8" i="24" s="1"/>
  <c r="D9" i="24"/>
  <c r="D10" i="24"/>
  <c r="D2" i="24"/>
  <c r="G29" i="24"/>
  <c r="G41" i="24"/>
  <c r="G49" i="24"/>
  <c r="H56" i="24"/>
  <c r="H51" i="24"/>
  <c r="H50" i="24"/>
  <c r="H49" i="24"/>
  <c r="H48" i="24"/>
  <c r="H47" i="24"/>
  <c r="H46" i="24"/>
  <c r="H45" i="24"/>
  <c r="H44" i="24"/>
  <c r="H43" i="24"/>
  <c r="H42" i="24"/>
  <c r="H41" i="24"/>
  <c r="H38" i="24"/>
  <c r="H37" i="24"/>
  <c r="H36" i="24"/>
  <c r="H33" i="24"/>
  <c r="H32" i="24"/>
  <c r="H31" i="24"/>
  <c r="H30" i="24"/>
  <c r="H29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3" i="24"/>
  <c r="H4" i="24"/>
  <c r="H5" i="24"/>
  <c r="H6" i="24"/>
  <c r="H7" i="24"/>
  <c r="H8" i="24"/>
  <c r="H9" i="24"/>
  <c r="H10" i="24"/>
  <c r="H2" i="24"/>
  <c r="D4" i="2"/>
  <c r="S42" i="24" l="1"/>
  <c r="L42" i="24"/>
  <c r="L43" i="24"/>
  <c r="L44" i="24"/>
  <c r="L45" i="24"/>
  <c r="L41" i="24"/>
  <c r="L37" i="24"/>
  <c r="L38" i="24"/>
  <c r="L36" i="24"/>
  <c r="L30" i="24"/>
  <c r="L31" i="24"/>
  <c r="L29" i="24"/>
  <c r="L20" i="24"/>
  <c r="L14" i="24"/>
  <c r="L15" i="24"/>
  <c r="L13" i="24"/>
  <c r="L7" i="24"/>
  <c r="L8" i="24" s="1"/>
  <c r="L6" i="24"/>
  <c r="L5" i="24"/>
  <c r="L4" i="24"/>
  <c r="L3" i="24"/>
  <c r="L2" i="24"/>
  <c r="K51" i="24"/>
  <c r="J2" i="24"/>
  <c r="K3" i="24"/>
  <c r="K4" i="24"/>
  <c r="K5" i="24"/>
  <c r="K6" i="24"/>
  <c r="K7" i="24"/>
  <c r="K8" i="24"/>
  <c r="K13" i="24"/>
  <c r="K14" i="24"/>
  <c r="K15" i="24"/>
  <c r="K16" i="24"/>
  <c r="K17" i="24"/>
  <c r="I18" i="24"/>
  <c r="K19" i="24"/>
  <c r="K20" i="24"/>
  <c r="K21" i="24"/>
  <c r="K22" i="24"/>
  <c r="K23" i="24"/>
  <c r="K24" i="24"/>
  <c r="K30" i="24"/>
  <c r="K31" i="24"/>
  <c r="I32" i="24"/>
  <c r="K33" i="24"/>
  <c r="K36" i="24"/>
  <c r="K37" i="24"/>
  <c r="K41" i="24"/>
  <c r="K42" i="24"/>
  <c r="I43" i="24"/>
  <c r="K44" i="24"/>
  <c r="I45" i="24"/>
  <c r="K46" i="24"/>
  <c r="K47" i="24"/>
  <c r="K48" i="24"/>
  <c r="K49" i="24"/>
  <c r="K50" i="24"/>
  <c r="I29" i="24"/>
  <c r="I10" i="24"/>
  <c r="K10" i="24" s="1"/>
  <c r="P45" i="24" l="1"/>
  <c r="S45" i="24" s="1"/>
  <c r="Q7" i="24"/>
  <c r="Q24" i="24"/>
  <c r="K32" i="24"/>
  <c r="K29" i="24"/>
  <c r="Q22" i="24" s="1"/>
  <c r="K45" i="24"/>
  <c r="K18" i="24"/>
  <c r="Q36" i="24"/>
  <c r="J38" i="24"/>
  <c r="K38" i="24" s="1"/>
  <c r="Q31" i="24" s="1"/>
  <c r="K2" i="24"/>
  <c r="Q5" i="24" s="1"/>
  <c r="Q11" i="24"/>
  <c r="Q38" i="24"/>
  <c r="P40" i="24"/>
  <c r="Q12" i="24"/>
  <c r="Q25" i="24"/>
  <c r="Q39" i="24"/>
  <c r="Q3" i="24"/>
  <c r="Q13" i="24"/>
  <c r="Q29" i="24"/>
  <c r="Q40" i="24"/>
  <c r="P31" i="24"/>
  <c r="Q4" i="24"/>
  <c r="Q14" i="24"/>
  <c r="Q30" i="24"/>
  <c r="Q15" i="24"/>
  <c r="Q34" i="24"/>
  <c r="K43" i="24"/>
  <c r="Q6" i="24"/>
  <c r="Q16" i="24"/>
  <c r="Q35" i="24"/>
  <c r="Q17" i="24"/>
  <c r="Q8" i="24"/>
  <c r="Q23" i="24"/>
  <c r="Q37" i="24"/>
  <c r="H58" i="24"/>
  <c r="H59" i="24" s="1"/>
  <c r="I9" i="24"/>
  <c r="K9" i="24" s="1"/>
  <c r="S31" i="24" l="1"/>
  <c r="S40" i="24"/>
  <c r="Y61" i="24"/>
  <c r="O24" i="24"/>
  <c r="P39" i="24"/>
  <c r="S39" i="24" s="1"/>
  <c r="P38" i="24"/>
  <c r="S38" i="24" s="1"/>
  <c r="P37" i="24"/>
  <c r="S37" i="24" s="1"/>
  <c r="P35" i="24"/>
  <c r="S35" i="24" s="1"/>
  <c r="P34" i="24"/>
  <c r="S34" i="24" s="1"/>
  <c r="P30" i="24"/>
  <c r="S30" i="24" s="1"/>
  <c r="P29" i="24"/>
  <c r="S29" i="24" s="1"/>
  <c r="P25" i="24"/>
  <c r="S25" i="24" s="1"/>
  <c r="P24" i="24"/>
  <c r="S24" i="24" s="1"/>
  <c r="P23" i="24"/>
  <c r="S23" i="24" s="1"/>
  <c r="P22" i="24"/>
  <c r="S22" i="24" s="1"/>
  <c r="P17" i="24"/>
  <c r="S17" i="24" s="1"/>
  <c r="P13" i="24"/>
  <c r="S13" i="24" s="1"/>
  <c r="P15" i="24"/>
  <c r="Y60" i="24" s="1"/>
  <c r="P11" i="24"/>
  <c r="S11" i="24" s="1"/>
  <c r="P6" i="24"/>
  <c r="S6" i="24" s="1"/>
  <c r="P7" i="24"/>
  <c r="S7" i="24" s="1"/>
  <c r="P3" i="24"/>
  <c r="S3" i="24" s="1"/>
  <c r="P4" i="24"/>
  <c r="S4" i="24" s="1"/>
  <c r="P36" i="24" l="1"/>
  <c r="S36" i="24" s="1"/>
  <c r="P14" i="24"/>
  <c r="S14" i="24" s="1"/>
  <c r="S15" i="24"/>
  <c r="E32" i="24"/>
  <c r="G32" i="24" s="1"/>
  <c r="E9" i="24"/>
  <c r="G9" i="24" s="1"/>
  <c r="P12" i="24"/>
  <c r="S12" i="24" s="1"/>
  <c r="E45" i="24"/>
  <c r="G45" i="24" s="1"/>
  <c r="P8" i="24"/>
  <c r="S8" i="24" s="1"/>
  <c r="P16" i="24"/>
  <c r="S16" i="24" s="1"/>
  <c r="F38" i="24"/>
  <c r="G38" i="24" s="1"/>
  <c r="F2" i="24"/>
  <c r="E10" i="24"/>
  <c r="G10" i="24" s="1"/>
  <c r="E18" i="24"/>
  <c r="G18" i="24" s="1"/>
  <c r="E43" i="24"/>
  <c r="G43" i="24" s="1"/>
  <c r="D58" i="24"/>
  <c r="D59" i="24" s="1"/>
  <c r="L23" i="40"/>
  <c r="L26" i="40"/>
  <c r="L32" i="40"/>
  <c r="L35" i="40"/>
  <c r="L42" i="40"/>
  <c r="L43" i="40"/>
  <c r="L44" i="40"/>
  <c r="L45" i="40"/>
  <c r="L46" i="40"/>
  <c r="L47" i="40"/>
  <c r="L55" i="40"/>
  <c r="L58" i="40"/>
  <c r="L59" i="40"/>
  <c r="L60" i="40"/>
  <c r="L63" i="40"/>
  <c r="L64" i="40"/>
  <c r="L68" i="40"/>
  <c r="L96" i="40"/>
  <c r="L107" i="40"/>
  <c r="K12" i="23"/>
  <c r="K13" i="23"/>
  <c r="L5" i="40" s="1"/>
  <c r="K14" i="23"/>
  <c r="L6" i="40" s="1"/>
  <c r="K15" i="23"/>
  <c r="L7" i="40" s="1"/>
  <c r="K16" i="23"/>
  <c r="K17" i="23"/>
  <c r="K18" i="23"/>
  <c r="L8" i="40" s="1"/>
  <c r="K19" i="23"/>
  <c r="L9" i="40" s="1"/>
  <c r="K20" i="23"/>
  <c r="L10" i="40" s="1"/>
  <c r="K21" i="23"/>
  <c r="K22" i="23"/>
  <c r="L11" i="40" s="1"/>
  <c r="K23" i="23"/>
  <c r="L12" i="40" s="1"/>
  <c r="K24" i="23"/>
  <c r="L13" i="40" s="1"/>
  <c r="K25" i="23"/>
  <c r="L14" i="40" s="1"/>
  <c r="K26" i="23"/>
  <c r="K27" i="23"/>
  <c r="L15" i="40" s="1"/>
  <c r="K28" i="23"/>
  <c r="K29" i="23"/>
  <c r="L16" i="40" s="1"/>
  <c r="K30" i="23"/>
  <c r="K31" i="23"/>
  <c r="K32" i="23"/>
  <c r="K33" i="23"/>
  <c r="K34" i="23"/>
  <c r="L17" i="40" s="1"/>
  <c r="K35" i="23"/>
  <c r="L18" i="40" s="1"/>
  <c r="K36" i="23"/>
  <c r="L19" i="40" s="1"/>
  <c r="K37" i="23"/>
  <c r="L20" i="40" s="1"/>
  <c r="K38" i="23"/>
  <c r="K39" i="23"/>
  <c r="K40" i="23"/>
  <c r="K41" i="23"/>
  <c r="K42" i="23"/>
  <c r="K43" i="23"/>
  <c r="K44" i="23"/>
  <c r="K45" i="23"/>
  <c r="L21" i="40" s="1"/>
  <c r="K46" i="23"/>
  <c r="K47" i="23"/>
  <c r="K48" i="23"/>
  <c r="K49" i="23"/>
  <c r="K50" i="23"/>
  <c r="K51" i="23"/>
  <c r="L22" i="40" s="1"/>
  <c r="K52" i="23"/>
  <c r="L24" i="40" s="1"/>
  <c r="K53" i="23"/>
  <c r="L25" i="40" s="1"/>
  <c r="K54" i="23"/>
  <c r="K55" i="23"/>
  <c r="L27" i="40" s="1"/>
  <c r="K56" i="23"/>
  <c r="L28" i="40" s="1"/>
  <c r="K57" i="23"/>
  <c r="K58" i="23"/>
  <c r="L29" i="40" s="1"/>
  <c r="K59" i="23"/>
  <c r="L30" i="40" s="1"/>
  <c r="K60" i="23"/>
  <c r="K61" i="23"/>
  <c r="K62" i="23"/>
  <c r="K63" i="23"/>
  <c r="L31" i="40" s="1"/>
  <c r="K64" i="23"/>
  <c r="K65" i="23"/>
  <c r="K66" i="23"/>
  <c r="L33" i="40" s="1"/>
  <c r="K67" i="23"/>
  <c r="K68" i="23"/>
  <c r="L34" i="40" s="1"/>
  <c r="K69" i="23"/>
  <c r="K70" i="23"/>
  <c r="L36" i="40" s="1"/>
  <c r="K71" i="23"/>
  <c r="L37" i="40" s="1"/>
  <c r="K72" i="23"/>
  <c r="L38" i="40" s="1"/>
  <c r="K73" i="23"/>
  <c r="K74" i="23"/>
  <c r="L39" i="40" s="1"/>
  <c r="K75" i="23"/>
  <c r="K76" i="23"/>
  <c r="K77" i="23"/>
  <c r="K78" i="23"/>
  <c r="K79" i="23"/>
  <c r="K80" i="23"/>
  <c r="K81" i="23"/>
  <c r="K82" i="23"/>
  <c r="K83" i="23"/>
  <c r="K84" i="23"/>
  <c r="L40" i="40" s="1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L48" i="40" s="1"/>
  <c r="K113" i="23"/>
  <c r="K114" i="23"/>
  <c r="K115" i="23"/>
  <c r="K116" i="23"/>
  <c r="K117" i="23"/>
  <c r="K118" i="23"/>
  <c r="K119" i="23"/>
  <c r="K120" i="23"/>
  <c r="K121" i="23"/>
  <c r="K122" i="23"/>
  <c r="K123" i="23"/>
  <c r="L49" i="40" s="1"/>
  <c r="K124" i="23"/>
  <c r="L50" i="40" s="1"/>
  <c r="K125" i="23"/>
  <c r="L51" i="40" s="1"/>
  <c r="K126" i="23"/>
  <c r="K127" i="23"/>
  <c r="L52" i="40" s="1"/>
  <c r="K128" i="23"/>
  <c r="K129" i="23"/>
  <c r="L53" i="40" s="1"/>
  <c r="K130" i="23"/>
  <c r="L54" i="40" s="1"/>
  <c r="K131" i="23"/>
  <c r="L56" i="40" s="1"/>
  <c r="K132" i="23"/>
  <c r="K133" i="23"/>
  <c r="K134" i="23"/>
  <c r="K135" i="23"/>
  <c r="K136" i="23"/>
  <c r="K137" i="23"/>
  <c r="L57" i="40" s="1"/>
  <c r="K138" i="23"/>
  <c r="K139" i="23"/>
  <c r="K140" i="23"/>
  <c r="L61" i="40" s="1"/>
  <c r="K141" i="23"/>
  <c r="L62" i="40" s="1"/>
  <c r="K142" i="23"/>
  <c r="K143" i="23"/>
  <c r="L65" i="40" s="1"/>
  <c r="K144" i="23"/>
  <c r="K145" i="23"/>
  <c r="K146" i="23"/>
  <c r="L66" i="40" s="1"/>
  <c r="K147" i="23"/>
  <c r="K148" i="23"/>
  <c r="L67" i="40" s="1"/>
  <c r="K149" i="23"/>
  <c r="L69" i="40" s="1"/>
  <c r="K150" i="23"/>
  <c r="L70" i="40" s="1"/>
  <c r="K151" i="23"/>
  <c r="L71" i="40" s="1"/>
  <c r="K152" i="23"/>
  <c r="L72" i="40" s="1"/>
  <c r="K153" i="23"/>
  <c r="L73" i="40" s="1"/>
  <c r="K154" i="23"/>
  <c r="K155" i="23"/>
  <c r="L74" i="40" s="1"/>
  <c r="K156" i="23"/>
  <c r="K157" i="23"/>
  <c r="K158" i="23"/>
  <c r="K159" i="23"/>
  <c r="K160" i="23"/>
  <c r="K161" i="23"/>
  <c r="K162" i="23"/>
  <c r="K163" i="23"/>
  <c r="K164" i="23"/>
  <c r="L75" i="40" s="1"/>
  <c r="K165" i="23"/>
  <c r="K166" i="23"/>
  <c r="L76" i="40" s="1"/>
  <c r="K167" i="23"/>
  <c r="K168" i="23"/>
  <c r="L77" i="40" s="1"/>
  <c r="K169" i="23"/>
  <c r="K170" i="23"/>
  <c r="K171" i="23"/>
  <c r="L85" i="40" s="1"/>
  <c r="K172" i="23"/>
  <c r="L78" i="40" s="1"/>
  <c r="K173" i="23"/>
  <c r="L79" i="40" s="1"/>
  <c r="K174" i="23"/>
  <c r="K175" i="23"/>
  <c r="K176" i="23"/>
  <c r="K177" i="23"/>
  <c r="L80" i="40" s="1"/>
  <c r="K178" i="23"/>
  <c r="L81" i="40" s="1"/>
  <c r="K179" i="23"/>
  <c r="K180" i="23"/>
  <c r="L82" i="40" s="1"/>
  <c r="K181" i="23"/>
  <c r="L83" i="40" s="1"/>
  <c r="K182" i="23"/>
  <c r="L84" i="40" s="1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L86" i="40" s="1"/>
  <c r="K195" i="23"/>
  <c r="L87" i="40" s="1"/>
  <c r="K196" i="23"/>
  <c r="L88" i="40" s="1"/>
  <c r="K197" i="23"/>
  <c r="L89" i="40" s="1"/>
  <c r="K198" i="23"/>
  <c r="L90" i="40" s="1"/>
  <c r="K199" i="23"/>
  <c r="L91" i="40" s="1"/>
  <c r="K200" i="23"/>
  <c r="L92" i="40" s="1"/>
  <c r="K201" i="23"/>
  <c r="L93" i="40" s="1"/>
  <c r="K202" i="23"/>
  <c r="L94" i="40" s="1"/>
  <c r="K203" i="23"/>
  <c r="L95" i="40" s="1"/>
  <c r="K204" i="23"/>
  <c r="K205" i="23"/>
  <c r="K206" i="23"/>
  <c r="K207" i="23"/>
  <c r="K208" i="23"/>
  <c r="L97" i="40" s="1"/>
  <c r="K209" i="23"/>
  <c r="L98" i="40" s="1"/>
  <c r="K210" i="23"/>
  <c r="L99" i="40" s="1"/>
  <c r="K211" i="23"/>
  <c r="K212" i="23"/>
  <c r="L100" i="40" s="1"/>
  <c r="K213" i="23"/>
  <c r="K214" i="23"/>
  <c r="K215" i="23"/>
  <c r="K216" i="23"/>
  <c r="L101" i="40" s="1"/>
  <c r="K217" i="23"/>
  <c r="K218" i="23"/>
  <c r="K219" i="23"/>
  <c r="L102" i="40" s="1"/>
  <c r="K220" i="23"/>
  <c r="K221" i="23"/>
  <c r="L103" i="40" s="1"/>
  <c r="K222" i="23"/>
  <c r="L104" i="40" s="1"/>
  <c r="K223" i="23"/>
  <c r="L105" i="40" s="1"/>
  <c r="K224" i="23"/>
  <c r="K225" i="23"/>
  <c r="K226" i="23"/>
  <c r="K227" i="23"/>
  <c r="K228" i="23"/>
  <c r="K229" i="23"/>
  <c r="L106" i="40" s="1"/>
  <c r="K230" i="23"/>
  <c r="K231" i="23"/>
  <c r="K232" i="23"/>
  <c r="K233" i="23"/>
  <c r="K234" i="23"/>
  <c r="K235" i="23"/>
  <c r="K236" i="23"/>
  <c r="L108" i="40" s="1"/>
  <c r="K237" i="23"/>
  <c r="K238" i="23"/>
  <c r="K11" i="23"/>
  <c r="G2" i="24" l="1"/>
  <c r="P5" i="24" s="1"/>
  <c r="S5" i="24" s="1"/>
  <c r="L41" i="40"/>
  <c r="BM55" i="12" l="1"/>
  <c r="BN55" i="12"/>
  <c r="BO55" i="12"/>
  <c r="BP55" i="12"/>
  <c r="BQ55" i="12"/>
  <c r="BR55" i="12"/>
  <c r="BS55" i="12"/>
  <c r="BT55" i="12"/>
  <c r="BU55" i="12"/>
  <c r="BV55" i="12"/>
  <c r="BW55" i="12"/>
  <c r="BM56" i="12"/>
  <c r="BN56" i="12"/>
  <c r="BO56" i="12"/>
  <c r="BP56" i="12"/>
  <c r="BQ56" i="12"/>
  <c r="BR56" i="12"/>
  <c r="BS56" i="12"/>
  <c r="BT56" i="12"/>
  <c r="BU56" i="12"/>
  <c r="BV56" i="12"/>
  <c r="BW56" i="12"/>
  <c r="BM57" i="12"/>
  <c r="BN57" i="12"/>
  <c r="BO57" i="12"/>
  <c r="BP57" i="12"/>
  <c r="BQ57" i="12"/>
  <c r="BR57" i="12"/>
  <c r="BS57" i="12"/>
  <c r="BT57" i="12"/>
  <c r="BU57" i="12"/>
  <c r="BV57" i="12"/>
  <c r="BW57" i="12"/>
  <c r="BL56" i="12"/>
  <c r="BL57" i="12"/>
  <c r="BL55" i="12"/>
  <c r="BV35" i="10"/>
  <c r="BV36" i="10"/>
  <c r="BV37" i="10"/>
  <c r="BT35" i="10"/>
  <c r="BU35" i="10"/>
  <c r="BT36" i="10"/>
  <c r="BU36" i="10"/>
  <c r="BT37" i="10"/>
  <c r="BU37" i="10"/>
  <c r="BL35" i="10"/>
  <c r="BM35" i="10"/>
  <c r="BN35" i="10"/>
  <c r="BO35" i="10"/>
  <c r="BP35" i="10"/>
  <c r="BQ35" i="10"/>
  <c r="BR35" i="10"/>
  <c r="BS35" i="10"/>
  <c r="BL36" i="10"/>
  <c r="BM36" i="10"/>
  <c r="BN36" i="10"/>
  <c r="BO36" i="10"/>
  <c r="BP36" i="10"/>
  <c r="BQ36" i="10"/>
  <c r="BR36" i="10"/>
  <c r="BS36" i="10"/>
  <c r="BL37" i="10"/>
  <c r="BM37" i="10"/>
  <c r="BN37" i="10"/>
  <c r="BO37" i="10"/>
  <c r="BP37" i="10"/>
  <c r="BQ37" i="10"/>
  <c r="BR37" i="10"/>
  <c r="BS37" i="10"/>
  <c r="BK36" i="10"/>
  <c r="BK37" i="10"/>
  <c r="BK35" i="10"/>
  <c r="BJ118" i="9"/>
  <c r="BK118" i="9"/>
  <c r="BL118" i="9"/>
  <c r="BM118" i="9"/>
  <c r="BN118" i="9"/>
  <c r="BO118" i="9"/>
  <c r="BP118" i="9"/>
  <c r="BQ118" i="9"/>
  <c r="BR118" i="9"/>
  <c r="BS118" i="9"/>
  <c r="BT118" i="9"/>
  <c r="BJ119" i="9"/>
  <c r="BK119" i="9"/>
  <c r="BL119" i="9"/>
  <c r="BM119" i="9"/>
  <c r="BN119" i="9"/>
  <c r="BO119" i="9"/>
  <c r="BP119" i="9"/>
  <c r="BQ119" i="9"/>
  <c r="BR119" i="9"/>
  <c r="BS119" i="9"/>
  <c r="BT119" i="9"/>
  <c r="BI118" i="9"/>
  <c r="BI119" i="9"/>
  <c r="BJ117" i="9"/>
  <c r="BK117" i="9"/>
  <c r="BL117" i="9"/>
  <c r="BM117" i="9"/>
  <c r="BN117" i="9"/>
  <c r="BO117" i="9"/>
  <c r="BP117" i="9"/>
  <c r="BQ117" i="9"/>
  <c r="BR117" i="9"/>
  <c r="BS117" i="9"/>
  <c r="BT117" i="9"/>
  <c r="BI117" i="9"/>
  <c r="D5" i="2" l="1"/>
  <c r="F1234" i="22" l="1"/>
  <c r="G1343" i="22"/>
  <c r="G1344" i="22"/>
  <c r="F1686" i="22"/>
  <c r="F1687" i="22"/>
  <c r="F1688" i="22"/>
  <c r="F1689" i="22"/>
  <c r="BL42" i="10" l="1"/>
  <c r="BM42" i="10"/>
  <c r="BN42" i="10"/>
  <c r="BO42" i="10"/>
  <c r="BP42" i="10"/>
  <c r="BQ42" i="10"/>
  <c r="BR42" i="10"/>
  <c r="BS42" i="10"/>
  <c r="BT42" i="10"/>
  <c r="BU42" i="10"/>
  <c r="BV42" i="10"/>
  <c r="BK42" i="10"/>
  <c r="BL21" i="10"/>
  <c r="BM21" i="10"/>
  <c r="BN21" i="10"/>
  <c r="BO21" i="10"/>
  <c r="BP21" i="10"/>
  <c r="BQ21" i="10"/>
  <c r="BR21" i="10"/>
  <c r="BS21" i="10"/>
  <c r="BT21" i="10"/>
  <c r="BU21" i="10"/>
  <c r="BV21" i="10"/>
  <c r="BK21" i="10"/>
  <c r="AY9" i="16"/>
  <c r="AZ9" i="16"/>
  <c r="BA9" i="16"/>
  <c r="BB9" i="16"/>
  <c r="BC9" i="16"/>
  <c r="AY10" i="16"/>
  <c r="AZ10" i="16"/>
  <c r="BA10" i="16"/>
  <c r="BB10" i="16"/>
  <c r="BC10" i="16"/>
  <c r="AY11" i="16"/>
  <c r="AZ11" i="16"/>
  <c r="BA11" i="16"/>
  <c r="BB11" i="16"/>
  <c r="BC11" i="16"/>
  <c r="AY12" i="16"/>
  <c r="AZ12" i="16"/>
  <c r="BA12" i="16"/>
  <c r="BB12" i="16"/>
  <c r="BC12" i="16"/>
  <c r="AS9" i="16"/>
  <c r="AT9" i="16"/>
  <c r="AU9" i="16"/>
  <c r="AV9" i="16"/>
  <c r="AW9" i="16"/>
  <c r="AX9" i="16"/>
  <c r="AS10" i="16"/>
  <c r="AT10" i="16"/>
  <c r="AU10" i="16"/>
  <c r="AV10" i="16"/>
  <c r="AW10" i="16"/>
  <c r="AX10" i="16"/>
  <c r="AS11" i="16"/>
  <c r="AT11" i="16"/>
  <c r="AU11" i="16"/>
  <c r="AV11" i="16"/>
  <c r="AW11" i="16"/>
  <c r="AX11" i="16"/>
  <c r="AS12" i="16"/>
  <c r="AT12" i="16"/>
  <c r="AU12" i="16"/>
  <c r="AV12" i="16"/>
  <c r="AW12" i="16"/>
  <c r="AX12" i="16"/>
  <c r="AR10" i="16"/>
  <c r="AR11" i="16"/>
  <c r="AR12" i="16"/>
  <c r="AR9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D2" i="16"/>
  <c r="E1" i="16"/>
  <c r="E2" i="16" s="1"/>
  <c r="BC13" i="16" l="1"/>
  <c r="AT13" i="16"/>
  <c r="AS13" i="16"/>
  <c r="BB13" i="16"/>
  <c r="AX13" i="16"/>
  <c r="BA13" i="16"/>
  <c r="AW13" i="16"/>
  <c r="AZ13" i="16"/>
  <c r="AV13" i="16"/>
  <c r="AY13" i="16"/>
  <c r="AU13" i="16"/>
  <c r="AR13" i="16"/>
  <c r="D22" i="16"/>
  <c r="F1" i="16"/>
  <c r="G1" i="16" l="1"/>
  <c r="F2" i="16"/>
  <c r="E22" i="16"/>
  <c r="G2" i="16" l="1"/>
  <c r="H1" i="16"/>
  <c r="I1" i="16" l="1"/>
  <c r="H2" i="16"/>
  <c r="F22" i="16"/>
  <c r="G22" i="16" l="1"/>
  <c r="J1" i="16"/>
  <c r="I2" i="16"/>
  <c r="K1" i="16" l="1"/>
  <c r="J2" i="16"/>
  <c r="H22" i="16"/>
  <c r="I22" i="16" l="1"/>
  <c r="K2" i="16"/>
  <c r="L1" i="16"/>
  <c r="L2" i="16" l="1"/>
  <c r="M1" i="16"/>
  <c r="J22" i="16"/>
  <c r="M2" i="16" l="1"/>
  <c r="N1" i="16"/>
  <c r="K22" i="16"/>
  <c r="L22" i="16" l="1"/>
  <c r="N2" i="16"/>
  <c r="O1" i="16"/>
  <c r="O2" i="16" l="1"/>
  <c r="P1" i="16"/>
  <c r="M22" i="16"/>
  <c r="N22" i="16" l="1"/>
  <c r="Q1" i="16"/>
  <c r="P2" i="16"/>
  <c r="O22" i="16" l="1"/>
  <c r="R1" i="16"/>
  <c r="Q2" i="16"/>
  <c r="S1" i="16" l="1"/>
  <c r="R2" i="16"/>
  <c r="P22" i="16"/>
  <c r="S2" i="16" l="1"/>
  <c r="T1" i="16"/>
  <c r="Q22" i="16"/>
  <c r="T2" i="16" l="1"/>
  <c r="U1" i="16"/>
  <c r="R22" i="16"/>
  <c r="S22" i="16" l="1"/>
  <c r="U2" i="16"/>
  <c r="V1" i="16"/>
  <c r="T22" i="16" l="1"/>
  <c r="V2" i="16"/>
  <c r="W1" i="16"/>
  <c r="U22" i="16" l="1"/>
  <c r="W2" i="16"/>
  <c r="X1" i="16"/>
  <c r="V22" i="16" l="1"/>
  <c r="Y1" i="16"/>
  <c r="X2" i="16"/>
  <c r="W22" i="16" l="1"/>
  <c r="Z1" i="16"/>
  <c r="Y2" i="16"/>
  <c r="Z2" i="16" l="1"/>
  <c r="AA1" i="16"/>
  <c r="X22" i="16"/>
  <c r="Y22" i="16" l="1"/>
  <c r="AA2" i="16"/>
  <c r="AB1" i="16"/>
  <c r="Z22" i="16" l="1"/>
  <c r="AB2" i="16"/>
  <c r="AC1" i="16"/>
  <c r="AA22" i="16" l="1"/>
  <c r="AC2" i="16"/>
  <c r="AD1" i="16"/>
  <c r="AB22" i="16" l="1"/>
  <c r="AE1" i="16"/>
  <c r="AD2" i="16"/>
  <c r="AC22" i="16" l="1"/>
  <c r="AE2" i="16"/>
  <c r="AF1" i="16"/>
  <c r="AG1" i="16" l="1"/>
  <c r="AF2" i="16"/>
  <c r="AD22" i="16"/>
  <c r="AE22" i="16" l="1"/>
  <c r="AH1" i="16"/>
  <c r="AG2" i="16"/>
  <c r="AH2" i="16" l="1"/>
  <c r="AI1" i="16"/>
  <c r="AF22" i="16"/>
  <c r="AG22" i="16" l="1"/>
  <c r="AI2" i="16"/>
  <c r="AJ1" i="16"/>
  <c r="AJ2" i="16" l="1"/>
  <c r="AK1" i="16"/>
  <c r="AH22" i="16"/>
  <c r="AI22" i="16" l="1"/>
  <c r="AK2" i="16"/>
  <c r="AL1" i="16"/>
  <c r="AJ22" i="16" l="1"/>
  <c r="AL2" i="16"/>
  <c r="AM1" i="16"/>
  <c r="AK22" i="16" l="1"/>
  <c r="AM2" i="16"/>
  <c r="AN1" i="16"/>
  <c r="AL22" i="16" l="1"/>
  <c r="AO1" i="16"/>
  <c r="AN2" i="16"/>
  <c r="AM22" i="16" l="1"/>
  <c r="AP1" i="16"/>
  <c r="AO2" i="16"/>
  <c r="AP2" i="16" l="1"/>
  <c r="AN22" i="16"/>
  <c r="AO22" i="16" l="1"/>
  <c r="AP22" i="16" l="1"/>
  <c r="AV9" i="14" l="1"/>
  <c r="AW9" i="14"/>
  <c r="AV10" i="14"/>
  <c r="AW10" i="14"/>
  <c r="AV11" i="14"/>
  <c r="AW11" i="14"/>
  <c r="AV12" i="14"/>
  <c r="AW12" i="14"/>
  <c r="AX12" i="14"/>
  <c r="AY12" i="14"/>
  <c r="AZ12" i="14"/>
  <c r="BA12" i="14"/>
  <c r="BB12" i="14"/>
  <c r="BC12" i="14"/>
  <c r="BD12" i="14"/>
  <c r="BE12" i="14"/>
  <c r="BF12" i="14"/>
  <c r="AV13" i="14"/>
  <c r="AW13" i="14"/>
  <c r="AX13" i="14"/>
  <c r="AY13" i="14"/>
  <c r="AZ13" i="14"/>
  <c r="BA13" i="14"/>
  <c r="BB13" i="14"/>
  <c r="BC13" i="14"/>
  <c r="BD13" i="14"/>
  <c r="BE13" i="14"/>
  <c r="BF13" i="14"/>
  <c r="AV14" i="14"/>
  <c r="AW14" i="14"/>
  <c r="AX14" i="14"/>
  <c r="AY14" i="14"/>
  <c r="AZ14" i="14"/>
  <c r="BA14" i="14"/>
  <c r="BB14" i="14"/>
  <c r="BC14" i="14"/>
  <c r="BD14" i="14"/>
  <c r="BE14" i="14"/>
  <c r="BF14" i="14"/>
  <c r="AV15" i="14"/>
  <c r="AW15" i="14"/>
  <c r="AX15" i="14"/>
  <c r="AY15" i="14"/>
  <c r="AZ15" i="14"/>
  <c r="BA15" i="14"/>
  <c r="BB15" i="14"/>
  <c r="BC15" i="14"/>
  <c r="BD15" i="14"/>
  <c r="BE15" i="14"/>
  <c r="BF15" i="14"/>
  <c r="AV17" i="14"/>
  <c r="AW17" i="14"/>
  <c r="AX17" i="14"/>
  <c r="AY17" i="14"/>
  <c r="AZ17" i="14"/>
  <c r="BA17" i="14"/>
  <c r="BB17" i="14"/>
  <c r="BC17" i="14"/>
  <c r="BD17" i="14"/>
  <c r="BE17" i="14"/>
  <c r="BF17" i="14"/>
  <c r="AV18" i="14"/>
  <c r="AW18" i="14"/>
  <c r="AX18" i="14"/>
  <c r="AY18" i="14"/>
  <c r="AZ18" i="14"/>
  <c r="BA18" i="14"/>
  <c r="BB18" i="14"/>
  <c r="BC18" i="14"/>
  <c r="BD18" i="14"/>
  <c r="BE18" i="14"/>
  <c r="BF18" i="14"/>
  <c r="AV19" i="14"/>
  <c r="AW19" i="14"/>
  <c r="AX19" i="14"/>
  <c r="AY19" i="14"/>
  <c r="AZ19" i="14"/>
  <c r="BA19" i="14"/>
  <c r="BB19" i="14"/>
  <c r="BC19" i="14"/>
  <c r="BD19" i="14"/>
  <c r="BE19" i="14"/>
  <c r="BF19" i="14"/>
  <c r="AV22" i="14"/>
  <c r="AW22" i="14"/>
  <c r="AX22" i="14"/>
  <c r="AY22" i="14"/>
  <c r="AZ22" i="14"/>
  <c r="BA22" i="14"/>
  <c r="BB22" i="14"/>
  <c r="BC22" i="14"/>
  <c r="BD22" i="14"/>
  <c r="BE22" i="14"/>
  <c r="BF22" i="14"/>
  <c r="AV23" i="14"/>
  <c r="AW23" i="14"/>
  <c r="AX23" i="14"/>
  <c r="AY23" i="14"/>
  <c r="AZ23" i="14"/>
  <c r="BA23" i="14"/>
  <c r="BB23" i="14"/>
  <c r="BC23" i="14"/>
  <c r="BD23" i="14"/>
  <c r="BE23" i="14"/>
  <c r="BF23" i="14"/>
  <c r="AV24" i="14"/>
  <c r="AW24" i="14"/>
  <c r="AX24" i="14"/>
  <c r="AY24" i="14"/>
  <c r="AZ24" i="14"/>
  <c r="BA24" i="14"/>
  <c r="BB24" i="14"/>
  <c r="BC24" i="14"/>
  <c r="BD24" i="14"/>
  <c r="BE24" i="14"/>
  <c r="BF24" i="14"/>
  <c r="AV25" i="14"/>
  <c r="AW25" i="14"/>
  <c r="AX25" i="14"/>
  <c r="AY25" i="14"/>
  <c r="AZ25" i="14"/>
  <c r="BA25" i="14"/>
  <c r="BB25" i="14"/>
  <c r="BC25" i="14"/>
  <c r="BD25" i="14"/>
  <c r="BE25" i="14"/>
  <c r="BF25" i="14"/>
  <c r="AV26" i="14"/>
  <c r="AW26" i="14"/>
  <c r="AX26" i="14"/>
  <c r="AY26" i="14"/>
  <c r="AZ26" i="14"/>
  <c r="BA26" i="14"/>
  <c r="BB26" i="14"/>
  <c r="BC26" i="14"/>
  <c r="BD26" i="14"/>
  <c r="BE26" i="14"/>
  <c r="BF26" i="14"/>
  <c r="AV27" i="14"/>
  <c r="AW27" i="14"/>
  <c r="AX27" i="14"/>
  <c r="AY27" i="14"/>
  <c r="AZ27" i="14"/>
  <c r="BA27" i="14"/>
  <c r="BB27" i="14"/>
  <c r="BC27" i="14"/>
  <c r="BD27" i="14"/>
  <c r="BE27" i="14"/>
  <c r="BF27" i="14"/>
  <c r="AV28" i="14"/>
  <c r="AW28" i="14"/>
  <c r="AX28" i="14"/>
  <c r="AY28" i="14"/>
  <c r="AZ28" i="14"/>
  <c r="BA28" i="14"/>
  <c r="BB28" i="14"/>
  <c r="BC28" i="14"/>
  <c r="BD28" i="14"/>
  <c r="BE28" i="14"/>
  <c r="BF28" i="14"/>
  <c r="AV29" i="14"/>
  <c r="AW29" i="14"/>
  <c r="AX29" i="14"/>
  <c r="AY29" i="14"/>
  <c r="AZ29" i="14"/>
  <c r="BA29" i="14"/>
  <c r="BB29" i="14"/>
  <c r="BC29" i="14"/>
  <c r="BD29" i="14"/>
  <c r="BE29" i="14"/>
  <c r="BF29" i="14"/>
  <c r="AV30" i="14"/>
  <c r="AW30" i="14"/>
  <c r="AX30" i="14"/>
  <c r="AY30" i="14"/>
  <c r="AZ30" i="14"/>
  <c r="BA30" i="14"/>
  <c r="BB30" i="14"/>
  <c r="BC30" i="14"/>
  <c r="BD30" i="14"/>
  <c r="BE30" i="14"/>
  <c r="BF30" i="14"/>
  <c r="AV31" i="14"/>
  <c r="AW31" i="14"/>
  <c r="AX31" i="14"/>
  <c r="AY31" i="14"/>
  <c r="AZ31" i="14"/>
  <c r="BA31" i="14"/>
  <c r="BB31" i="14"/>
  <c r="BC31" i="14"/>
  <c r="BD31" i="14"/>
  <c r="BE31" i="14"/>
  <c r="BF31" i="14"/>
  <c r="AV33" i="14"/>
  <c r="AW33" i="14"/>
  <c r="AX33" i="14"/>
  <c r="AY33" i="14"/>
  <c r="AZ33" i="14"/>
  <c r="BA33" i="14"/>
  <c r="BB33" i="14"/>
  <c r="BC33" i="14"/>
  <c r="BD33" i="14"/>
  <c r="BE33" i="14"/>
  <c r="BF33" i="14"/>
  <c r="AV34" i="14"/>
  <c r="AW34" i="14"/>
  <c r="AX34" i="14"/>
  <c r="AY34" i="14"/>
  <c r="AZ34" i="14"/>
  <c r="BA34" i="14"/>
  <c r="BB34" i="14"/>
  <c r="BC34" i="14"/>
  <c r="BD34" i="14"/>
  <c r="BE34" i="14"/>
  <c r="BF34" i="14"/>
  <c r="AV35" i="14"/>
  <c r="AW35" i="14"/>
  <c r="AX35" i="14"/>
  <c r="AY35" i="14"/>
  <c r="AZ35" i="14"/>
  <c r="BA35" i="14"/>
  <c r="BB35" i="14"/>
  <c r="BC35" i="14"/>
  <c r="BD35" i="14"/>
  <c r="BE35" i="14"/>
  <c r="BF35" i="14"/>
  <c r="AV36" i="14"/>
  <c r="AW36" i="14"/>
  <c r="AX36" i="14"/>
  <c r="AY36" i="14"/>
  <c r="AZ36" i="14"/>
  <c r="BA36" i="14"/>
  <c r="BB36" i="14"/>
  <c r="BC36" i="14"/>
  <c r="BD36" i="14"/>
  <c r="BE36" i="14"/>
  <c r="BF36" i="14"/>
  <c r="AV37" i="14"/>
  <c r="AW37" i="14"/>
  <c r="AX37" i="14"/>
  <c r="AY37" i="14"/>
  <c r="AZ37" i="14"/>
  <c r="BA37" i="14"/>
  <c r="BB37" i="14"/>
  <c r="BC37" i="14"/>
  <c r="BD37" i="14"/>
  <c r="BE37" i="14"/>
  <c r="BF37" i="14"/>
  <c r="AV38" i="14"/>
  <c r="AW38" i="14"/>
  <c r="AX38" i="14"/>
  <c r="AY38" i="14"/>
  <c r="AZ38" i="14"/>
  <c r="BA38" i="14"/>
  <c r="BB38" i="14"/>
  <c r="BC38" i="14"/>
  <c r="BD38" i="14"/>
  <c r="BE38" i="14"/>
  <c r="BF38" i="14"/>
  <c r="AV39" i="14"/>
  <c r="AW39" i="14"/>
  <c r="AX39" i="14"/>
  <c r="AY39" i="14"/>
  <c r="AZ39" i="14"/>
  <c r="BA39" i="14"/>
  <c r="BB39" i="14"/>
  <c r="BC39" i="14"/>
  <c r="BD39" i="14"/>
  <c r="BE39" i="14"/>
  <c r="BF39" i="14"/>
  <c r="AV40" i="14"/>
  <c r="AW40" i="14"/>
  <c r="AX40" i="14"/>
  <c r="AY40" i="14"/>
  <c r="AZ40" i="14"/>
  <c r="BA40" i="14"/>
  <c r="BB40" i="14"/>
  <c r="BC40" i="14"/>
  <c r="BD40" i="14"/>
  <c r="BE40" i="14"/>
  <c r="BF40" i="14"/>
  <c r="AV41" i="14"/>
  <c r="AW41" i="14"/>
  <c r="AX41" i="14"/>
  <c r="AY41" i="14"/>
  <c r="AZ41" i="14"/>
  <c r="BA41" i="14"/>
  <c r="BB41" i="14"/>
  <c r="BC41" i="14"/>
  <c r="BD41" i="14"/>
  <c r="BE41" i="14"/>
  <c r="BF41" i="14"/>
  <c r="AV43" i="14"/>
  <c r="AW43" i="14"/>
  <c r="AX43" i="14"/>
  <c r="AY43" i="14"/>
  <c r="AZ43" i="14"/>
  <c r="BA43" i="14"/>
  <c r="BB43" i="14"/>
  <c r="BC43" i="14"/>
  <c r="BD43" i="14"/>
  <c r="BE43" i="14"/>
  <c r="BF43" i="14"/>
  <c r="AV44" i="14"/>
  <c r="AW44" i="14"/>
  <c r="AX44" i="14"/>
  <c r="AY44" i="14"/>
  <c r="AZ44" i="14"/>
  <c r="BA44" i="14"/>
  <c r="BB44" i="14"/>
  <c r="BC44" i="14"/>
  <c r="BD44" i="14"/>
  <c r="BE44" i="14"/>
  <c r="BF44" i="14"/>
  <c r="AV45" i="14"/>
  <c r="AW45" i="14"/>
  <c r="AX45" i="14"/>
  <c r="AY45" i="14"/>
  <c r="AZ45" i="14"/>
  <c r="BA45" i="14"/>
  <c r="BB45" i="14"/>
  <c r="BC45" i="14"/>
  <c r="BD45" i="14"/>
  <c r="BE45" i="14"/>
  <c r="BF45" i="14"/>
  <c r="AV46" i="14"/>
  <c r="AW46" i="14"/>
  <c r="AX46" i="14"/>
  <c r="AY46" i="14"/>
  <c r="AZ46" i="14"/>
  <c r="BA46" i="14"/>
  <c r="BB46" i="14"/>
  <c r="BC46" i="14"/>
  <c r="BD46" i="14"/>
  <c r="BE46" i="14"/>
  <c r="BF46" i="14"/>
  <c r="AV47" i="14"/>
  <c r="AW47" i="14"/>
  <c r="AX47" i="14"/>
  <c r="AY47" i="14"/>
  <c r="AZ47" i="14"/>
  <c r="BA47" i="14"/>
  <c r="BB47" i="14"/>
  <c r="BC47" i="14"/>
  <c r="BD47" i="14"/>
  <c r="BE47" i="14"/>
  <c r="BF47" i="14"/>
  <c r="AV48" i="14"/>
  <c r="AW48" i="14"/>
  <c r="AX48" i="14"/>
  <c r="AY48" i="14"/>
  <c r="AZ48" i="14"/>
  <c r="BA48" i="14"/>
  <c r="BB48" i="14"/>
  <c r="BC48" i="14"/>
  <c r="BD48" i="14"/>
  <c r="BE48" i="14"/>
  <c r="BF48" i="14"/>
  <c r="AV49" i="14"/>
  <c r="AW49" i="14"/>
  <c r="AX49" i="14"/>
  <c r="AY49" i="14"/>
  <c r="AZ49" i="14"/>
  <c r="BA49" i="14"/>
  <c r="BB49" i="14"/>
  <c r="BC49" i="14"/>
  <c r="BD49" i="14"/>
  <c r="BE49" i="14"/>
  <c r="BF49" i="14"/>
  <c r="AV50" i="14"/>
  <c r="AW50" i="14"/>
  <c r="AX50" i="14"/>
  <c r="AY50" i="14"/>
  <c r="AZ50" i="14"/>
  <c r="BA50" i="14"/>
  <c r="BB50" i="14"/>
  <c r="BC50" i="14"/>
  <c r="BD50" i="14"/>
  <c r="BE50" i="14"/>
  <c r="BF50" i="14"/>
  <c r="AV51" i="14"/>
  <c r="AW51" i="14"/>
  <c r="AX51" i="14"/>
  <c r="AY51" i="14"/>
  <c r="AZ51" i="14"/>
  <c r="BA51" i="14"/>
  <c r="BB51" i="14"/>
  <c r="BC51" i="14"/>
  <c r="BD51" i="14"/>
  <c r="BE51" i="14"/>
  <c r="BF51" i="14"/>
  <c r="AU10" i="14"/>
  <c r="AU11" i="14"/>
  <c r="AU12" i="14"/>
  <c r="AU13" i="14"/>
  <c r="AU14" i="14"/>
  <c r="AU15" i="14"/>
  <c r="AU17" i="14"/>
  <c r="AU18" i="14"/>
  <c r="AU19" i="14"/>
  <c r="AU22" i="14"/>
  <c r="AU23" i="14"/>
  <c r="AU24" i="14"/>
  <c r="AU25" i="14"/>
  <c r="AU26" i="14"/>
  <c r="AU27" i="14"/>
  <c r="AU28" i="14"/>
  <c r="AU29" i="14"/>
  <c r="AU30" i="14"/>
  <c r="AU31" i="14"/>
  <c r="AU33" i="14"/>
  <c r="AU34" i="14"/>
  <c r="AU35" i="14"/>
  <c r="AU36" i="14"/>
  <c r="AU37" i="14"/>
  <c r="AU38" i="14"/>
  <c r="AU39" i="14"/>
  <c r="AU40" i="14"/>
  <c r="AU41" i="14"/>
  <c r="AU43" i="14"/>
  <c r="AU44" i="14"/>
  <c r="AU45" i="14"/>
  <c r="AU46" i="14"/>
  <c r="AU47" i="14"/>
  <c r="AU48" i="14"/>
  <c r="AU49" i="14"/>
  <c r="AU50" i="14"/>
  <c r="AU51" i="14"/>
  <c r="AV8" i="14"/>
  <c r="AW8" i="14"/>
  <c r="AU9" i="14"/>
  <c r="AU8" i="14"/>
  <c r="D63" i="14" a="1"/>
  <c r="D65" i="14" s="1"/>
  <c r="H60" i="14"/>
  <c r="G60" i="14"/>
  <c r="F60" i="14"/>
  <c r="H57" i="14"/>
  <c r="G57" i="14"/>
  <c r="F57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W9" i="14"/>
  <c r="V9" i="14"/>
  <c r="U9" i="14"/>
  <c r="T9" i="14"/>
  <c r="S9" i="14"/>
  <c r="R9" i="14"/>
  <c r="Q9" i="14"/>
  <c r="P9" i="14"/>
  <c r="O9" i="14"/>
  <c r="N9" i="14"/>
  <c r="M9" i="14"/>
  <c r="L9" i="14"/>
  <c r="AX9" i="14" s="1"/>
  <c r="W8" i="14"/>
  <c r="V8" i="14"/>
  <c r="U8" i="14"/>
  <c r="T8" i="14"/>
  <c r="S8" i="14"/>
  <c r="R8" i="14"/>
  <c r="Q8" i="14"/>
  <c r="P8" i="14"/>
  <c r="O8" i="14"/>
  <c r="N8" i="14"/>
  <c r="M8" i="14"/>
  <c r="L8" i="14"/>
  <c r="F2" i="14"/>
  <c r="G1" i="14"/>
  <c r="H1" i="14" s="1"/>
  <c r="J50" i="12"/>
  <c r="J49" i="12"/>
  <c r="BM27" i="12"/>
  <c r="BN27" i="12"/>
  <c r="BO27" i="12"/>
  <c r="BP27" i="12"/>
  <c r="BQ27" i="12"/>
  <c r="BR27" i="12"/>
  <c r="BS27" i="12"/>
  <c r="BT27" i="12"/>
  <c r="BU27" i="12"/>
  <c r="BV27" i="12"/>
  <c r="BW27" i="12"/>
  <c r="AZ11" i="14" l="1"/>
  <c r="AW20" i="14"/>
  <c r="G61" i="14"/>
  <c r="BC8" i="14"/>
  <c r="BC10" i="14"/>
  <c r="BA16" i="14"/>
  <c r="BB21" i="14"/>
  <c r="BC42" i="14"/>
  <c r="AZ10" i="14"/>
  <c r="BF16" i="14"/>
  <c r="BA32" i="14"/>
  <c r="AX16" i="14"/>
  <c r="AZ8" i="14"/>
  <c r="AU42" i="14"/>
  <c r="BB8" i="14"/>
  <c r="BB42" i="14"/>
  <c r="O57" i="14"/>
  <c r="AZ42" i="14"/>
  <c r="AU16" i="14"/>
  <c r="W57" i="14"/>
  <c r="AY21" i="14"/>
  <c r="F61" i="14"/>
  <c r="AZ32" i="14"/>
  <c r="BA21" i="14"/>
  <c r="BD20" i="14"/>
  <c r="AV20" i="14"/>
  <c r="AZ16" i="14"/>
  <c r="AY11" i="14"/>
  <c r="BB10" i="14"/>
  <c r="BE9" i="14"/>
  <c r="BA8" i="14"/>
  <c r="BA42" i="14"/>
  <c r="AY32" i="14"/>
  <c r="AZ21" i="14"/>
  <c r="BC20" i="14"/>
  <c r="AY16" i="14"/>
  <c r="BF11" i="14"/>
  <c r="AX11" i="14"/>
  <c r="BA10" i="14"/>
  <c r="BD9" i="14"/>
  <c r="AX32" i="14"/>
  <c r="AY8" i="14"/>
  <c r="AY42" i="14"/>
  <c r="BE32" i="14"/>
  <c r="AW32" i="14"/>
  <c r="BF21" i="14"/>
  <c r="AX21" i="14"/>
  <c r="BA20" i="14"/>
  <c r="BE16" i="14"/>
  <c r="AW16" i="14"/>
  <c r="BD11" i="14"/>
  <c r="AY10" i="14"/>
  <c r="BB9" i="14"/>
  <c r="AU32" i="14"/>
  <c r="BF8" i="14"/>
  <c r="AX8" i="14"/>
  <c r="BF42" i="14"/>
  <c r="AX42" i="14"/>
  <c r="BD32" i="14"/>
  <c r="AV32" i="14"/>
  <c r="BE21" i="14"/>
  <c r="AW21" i="14"/>
  <c r="AZ20" i="14"/>
  <c r="BD16" i="14"/>
  <c r="AV16" i="14"/>
  <c r="BC11" i="14"/>
  <c r="BF10" i="14"/>
  <c r="AX10" i="14"/>
  <c r="BA9" i="14"/>
  <c r="BE8" i="14"/>
  <c r="AU21" i="14"/>
  <c r="BE42" i="14"/>
  <c r="AW42" i="14"/>
  <c r="BC32" i="14"/>
  <c r="BD21" i="14"/>
  <c r="AV21" i="14"/>
  <c r="AY20" i="14"/>
  <c r="BC16" i="14"/>
  <c r="BB11" i="14"/>
  <c r="BE10" i="14"/>
  <c r="AZ9" i="14"/>
  <c r="BB20" i="14"/>
  <c r="BC9" i="14"/>
  <c r="BD8" i="14"/>
  <c r="AU20" i="14"/>
  <c r="BD42" i="14"/>
  <c r="AV42" i="14"/>
  <c r="BB32" i="14"/>
  <c r="BC21" i="14"/>
  <c r="BF20" i="14"/>
  <c r="AX20" i="14"/>
  <c r="BB16" i="14"/>
  <c r="BA11" i="14"/>
  <c r="BD10" i="14"/>
  <c r="AY9" i="14"/>
  <c r="BF32" i="14"/>
  <c r="BE11" i="14"/>
  <c r="BE20" i="14"/>
  <c r="BF9" i="14"/>
  <c r="H61" i="14"/>
  <c r="L57" i="14"/>
  <c r="T57" i="14"/>
  <c r="Q60" i="14"/>
  <c r="M57" i="14"/>
  <c r="U57" i="14"/>
  <c r="G2" i="14"/>
  <c r="R57" i="14"/>
  <c r="H2" i="14"/>
  <c r="I1" i="14"/>
  <c r="N57" i="14"/>
  <c r="V57" i="14"/>
  <c r="P60" i="14"/>
  <c r="X57" i="14"/>
  <c r="X60" i="14"/>
  <c r="AF57" i="14"/>
  <c r="AF60" i="14"/>
  <c r="AN57" i="14"/>
  <c r="AN60" i="14"/>
  <c r="P57" i="14"/>
  <c r="J60" i="14"/>
  <c r="J57" i="14"/>
  <c r="R60" i="14"/>
  <c r="Z60" i="14"/>
  <c r="Z57" i="14"/>
  <c r="AH60" i="14"/>
  <c r="AH57" i="14"/>
  <c r="AP60" i="14"/>
  <c r="AP57" i="14"/>
  <c r="L60" i="14"/>
  <c r="T60" i="14"/>
  <c r="AB60" i="14"/>
  <c r="AJ60" i="14"/>
  <c r="AR60" i="14"/>
  <c r="Q57" i="14"/>
  <c r="K60" i="14"/>
  <c r="S60" i="14"/>
  <c r="AA60" i="14"/>
  <c r="AI60" i="14"/>
  <c r="AQ60" i="14"/>
  <c r="I57" i="14"/>
  <c r="I60" i="14"/>
  <c r="Y57" i="14"/>
  <c r="Y60" i="14"/>
  <c r="AO57" i="14"/>
  <c r="AO60" i="14"/>
  <c r="AB57" i="14"/>
  <c r="AJ57" i="14"/>
  <c r="AR57" i="14"/>
  <c r="AG57" i="14"/>
  <c r="AG60" i="14"/>
  <c r="S57" i="14"/>
  <c r="M60" i="14"/>
  <c r="M61" i="14" s="1"/>
  <c r="U60" i="14"/>
  <c r="AC57" i="14"/>
  <c r="AC60" i="14"/>
  <c r="AK57" i="14"/>
  <c r="AK60" i="14"/>
  <c r="N60" i="14"/>
  <c r="N61" i="14" s="1"/>
  <c r="V60" i="14"/>
  <c r="AD57" i="14"/>
  <c r="AD60" i="14"/>
  <c r="AL57" i="14"/>
  <c r="AL60" i="14"/>
  <c r="O60" i="14"/>
  <c r="W60" i="14"/>
  <c r="AE57" i="14"/>
  <c r="AE60" i="14"/>
  <c r="AM57" i="14"/>
  <c r="AM60" i="14"/>
  <c r="AQ65" i="14"/>
  <c r="AI65" i="14"/>
  <c r="AA65" i="14"/>
  <c r="S65" i="14"/>
  <c r="K65" i="14"/>
  <c r="AP65" i="14"/>
  <c r="AH65" i="14"/>
  <c r="Z65" i="14"/>
  <c r="R65" i="14"/>
  <c r="J65" i="14"/>
  <c r="AO65" i="14"/>
  <c r="AG65" i="14"/>
  <c r="Y65" i="14"/>
  <c r="Q65" i="14"/>
  <c r="I65" i="14"/>
  <c r="AN65" i="14"/>
  <c r="AF65" i="14"/>
  <c r="X65" i="14"/>
  <c r="P65" i="14"/>
  <c r="H65" i="14"/>
  <c r="AM65" i="14"/>
  <c r="AE65" i="14"/>
  <c r="W65" i="14"/>
  <c r="O65" i="14"/>
  <c r="G65" i="14"/>
  <c r="AL65" i="14"/>
  <c r="AD65" i="14"/>
  <c r="V65" i="14"/>
  <c r="N65" i="14"/>
  <c r="F65" i="14"/>
  <c r="AK65" i="14"/>
  <c r="AC65" i="14"/>
  <c r="U65" i="14"/>
  <c r="M65" i="14"/>
  <c r="AR65" i="14"/>
  <c r="AJ65" i="14"/>
  <c r="AB65" i="14"/>
  <c r="T65" i="14"/>
  <c r="L65" i="14"/>
  <c r="K57" i="14"/>
  <c r="AA57" i="14"/>
  <c r="AI57" i="14"/>
  <c r="AQ57" i="14"/>
  <c r="D63" i="14"/>
  <c r="D64" i="14"/>
  <c r="I61" i="14" l="1"/>
  <c r="O61" i="14"/>
  <c r="Q61" i="14"/>
  <c r="T61" i="14"/>
  <c r="L61" i="14"/>
  <c r="J61" i="14"/>
  <c r="S61" i="14"/>
  <c r="P61" i="14"/>
  <c r="K61" i="14"/>
  <c r="R61" i="14"/>
  <c r="AO63" i="14"/>
  <c r="AG63" i="14"/>
  <c r="Y63" i="14"/>
  <c r="Q63" i="14"/>
  <c r="I63" i="14"/>
  <c r="AN63" i="14"/>
  <c r="AF63" i="14"/>
  <c r="X63" i="14"/>
  <c r="P63" i="14"/>
  <c r="H63" i="14"/>
  <c r="AM63" i="14"/>
  <c r="AE63" i="14"/>
  <c r="W63" i="14"/>
  <c r="O63" i="14"/>
  <c r="G63" i="14"/>
  <c r="AL63" i="14"/>
  <c r="AD63" i="14"/>
  <c r="V63" i="14"/>
  <c r="N63" i="14"/>
  <c r="F63" i="14"/>
  <c r="AK63" i="14"/>
  <c r="AC63" i="14"/>
  <c r="U63" i="14"/>
  <c r="M63" i="14"/>
  <c r="AR63" i="14"/>
  <c r="AJ63" i="14"/>
  <c r="AB63" i="14"/>
  <c r="T63" i="14"/>
  <c r="L63" i="14"/>
  <c r="AQ63" i="14"/>
  <c r="AI63" i="14"/>
  <c r="AA63" i="14"/>
  <c r="S63" i="14"/>
  <c r="K63" i="14"/>
  <c r="AP63" i="14"/>
  <c r="AH63" i="14"/>
  <c r="Z63" i="14"/>
  <c r="R63" i="14"/>
  <c r="J63" i="14"/>
  <c r="J1" i="14"/>
  <c r="I2" i="14"/>
  <c r="AP64" i="14"/>
  <c r="AH64" i="14"/>
  <c r="Z64" i="14"/>
  <c r="R64" i="14"/>
  <c r="J64" i="14"/>
  <c r="AO64" i="14"/>
  <c r="AG64" i="14"/>
  <c r="Y64" i="14"/>
  <c r="Q64" i="14"/>
  <c r="I64" i="14"/>
  <c r="AN64" i="14"/>
  <c r="AF64" i="14"/>
  <c r="X64" i="14"/>
  <c r="P64" i="14"/>
  <c r="H64" i="14"/>
  <c r="AM64" i="14"/>
  <c r="AE64" i="14"/>
  <c r="W64" i="14"/>
  <c r="O64" i="14"/>
  <c r="G64" i="14"/>
  <c r="AL64" i="14"/>
  <c r="AD64" i="14"/>
  <c r="V64" i="14"/>
  <c r="N64" i="14"/>
  <c r="F64" i="14"/>
  <c r="AK64" i="14"/>
  <c r="AC64" i="14"/>
  <c r="U64" i="14"/>
  <c r="M64" i="14"/>
  <c r="AR64" i="14"/>
  <c r="AJ64" i="14"/>
  <c r="AB64" i="14"/>
  <c r="T64" i="14"/>
  <c r="L64" i="14"/>
  <c r="AQ64" i="14"/>
  <c r="AI64" i="14"/>
  <c r="AA64" i="14"/>
  <c r="S64" i="14"/>
  <c r="K64" i="14"/>
  <c r="K1" i="14" l="1"/>
  <c r="J2" i="14"/>
  <c r="L1" i="14" l="1"/>
  <c r="K2" i="14"/>
  <c r="M1" i="14" l="1"/>
  <c r="L2" i="14"/>
  <c r="M2" i="14" l="1"/>
  <c r="N1" i="14"/>
  <c r="N2" i="14" l="1"/>
  <c r="O1" i="14"/>
  <c r="O2" i="14" l="1"/>
  <c r="P1" i="14"/>
  <c r="P2" i="14" l="1"/>
  <c r="Q1" i="14"/>
  <c r="Q2" i="14" l="1"/>
  <c r="R1" i="14"/>
  <c r="S1" i="14" l="1"/>
  <c r="R2" i="14"/>
  <c r="T1" i="14" l="1"/>
  <c r="S2" i="14"/>
  <c r="U1" i="14" l="1"/>
  <c r="T2" i="14"/>
  <c r="V1" i="14" l="1"/>
  <c r="U2" i="14"/>
  <c r="V2" i="14" l="1"/>
  <c r="W1" i="14"/>
  <c r="X1" i="14" l="1"/>
  <c r="W2" i="14"/>
  <c r="X2" i="14" l="1"/>
  <c r="Y1" i="14"/>
  <c r="Y2" i="14" l="1"/>
  <c r="Z1" i="14"/>
  <c r="AA1" i="14" l="1"/>
  <c r="Z2" i="14"/>
  <c r="AB1" i="14" l="1"/>
  <c r="AA2" i="14"/>
  <c r="AB2" i="14" l="1"/>
  <c r="AC1" i="14"/>
  <c r="AD1" i="14" l="1"/>
  <c r="AC2" i="14"/>
  <c r="AE1" i="14" l="1"/>
  <c r="AD2" i="14"/>
  <c r="AE2" i="14" l="1"/>
  <c r="AF1" i="14"/>
  <c r="AF2" i="14" l="1"/>
  <c r="AG1" i="14"/>
  <c r="AG2" i="14" l="1"/>
  <c r="AH1" i="14"/>
  <c r="AI1" i="14" l="1"/>
  <c r="AH2" i="14"/>
  <c r="AI2" i="14" l="1"/>
  <c r="AJ1" i="14"/>
  <c r="AK1" i="14" l="1"/>
  <c r="AJ2" i="14"/>
  <c r="AL1" i="14" l="1"/>
  <c r="AK2" i="14"/>
  <c r="AM1" i="14" l="1"/>
  <c r="AL2" i="14"/>
  <c r="AN1" i="14" l="1"/>
  <c r="AM2" i="14"/>
  <c r="AN2" i="14" l="1"/>
  <c r="AO1" i="14"/>
  <c r="AP1" i="14" l="1"/>
  <c r="AO2" i="14"/>
  <c r="AQ1" i="14" l="1"/>
  <c r="AP2" i="14"/>
  <c r="AQ2" i="14" l="1"/>
  <c r="AR1" i="14"/>
  <c r="AR2" i="14" l="1"/>
  <c r="BM59" i="12" l="1"/>
  <c r="BN59" i="12"/>
  <c r="BO59" i="12"/>
  <c r="BP59" i="12"/>
  <c r="BQ59" i="12"/>
  <c r="BL59" i="12"/>
  <c r="BH59" i="12"/>
  <c r="BL50" i="12"/>
  <c r="BM42" i="12"/>
  <c r="BN42" i="12"/>
  <c r="BO42" i="12"/>
  <c r="BP42" i="12"/>
  <c r="BQ42" i="12"/>
  <c r="BR42" i="12"/>
  <c r="BS42" i="12"/>
  <c r="BT42" i="12"/>
  <c r="BU42" i="12"/>
  <c r="BV42" i="12"/>
  <c r="BW42" i="12"/>
  <c r="BL42" i="12"/>
  <c r="BL40" i="12"/>
  <c r="BL39" i="12"/>
  <c r="BL38" i="12"/>
  <c r="BL37" i="12"/>
  <c r="BL36" i="12"/>
  <c r="BL34" i="12"/>
  <c r="BL33" i="12"/>
  <c r="BL32" i="12"/>
  <c r="BL31" i="12"/>
  <c r="BM28" i="12"/>
  <c r="BN28" i="12"/>
  <c r="BO28" i="12"/>
  <c r="BP28" i="12"/>
  <c r="BQ28" i="12"/>
  <c r="BR28" i="12"/>
  <c r="BS28" i="12"/>
  <c r="BT28" i="12"/>
  <c r="BU28" i="12"/>
  <c r="BV28" i="12"/>
  <c r="BW28" i="12"/>
  <c r="BL28" i="12"/>
  <c r="BL27" i="12"/>
  <c r="BM23" i="12"/>
  <c r="BN23" i="12"/>
  <c r="BO23" i="12"/>
  <c r="BP23" i="12"/>
  <c r="BQ23" i="12"/>
  <c r="BR23" i="12"/>
  <c r="BS23" i="12"/>
  <c r="BT23" i="12"/>
  <c r="BU23" i="12"/>
  <c r="BV23" i="12"/>
  <c r="BW23" i="12"/>
  <c r="BM24" i="12"/>
  <c r="BN24" i="12"/>
  <c r="BO24" i="12"/>
  <c r="BP24" i="12"/>
  <c r="BQ24" i="12"/>
  <c r="BR24" i="12"/>
  <c r="BS24" i="12"/>
  <c r="BT24" i="12"/>
  <c r="BU24" i="12"/>
  <c r="BV24" i="12"/>
  <c r="BW24" i="12"/>
  <c r="BL24" i="12"/>
  <c r="BL23" i="12"/>
  <c r="BL15" i="12"/>
  <c r="BH24" i="12"/>
  <c r="BH23" i="12"/>
  <c r="BM15" i="12"/>
  <c r="BN15" i="12"/>
  <c r="BO15" i="12"/>
  <c r="BP15" i="12"/>
  <c r="BQ15" i="12"/>
  <c r="BR15" i="12"/>
  <c r="BS15" i="12"/>
  <c r="BT15" i="12"/>
  <c r="BU15" i="12"/>
  <c r="BV15" i="12"/>
  <c r="BW15" i="12"/>
  <c r="BE76" i="12"/>
  <c r="BD76" i="12"/>
  <c r="BB76" i="12"/>
  <c r="BA76" i="12"/>
  <c r="AY76" i="12"/>
  <c r="AW76" i="12"/>
  <c r="AV76" i="12"/>
  <c r="AT76" i="12"/>
  <c r="AS76" i="12"/>
  <c r="AQ76" i="12"/>
  <c r="AO76" i="12"/>
  <c r="AN76" i="12"/>
  <c r="AL76" i="12"/>
  <c r="AK76" i="12"/>
  <c r="AI76" i="12"/>
  <c r="AG76" i="12"/>
  <c r="AF76" i="12"/>
  <c r="AD76" i="12"/>
  <c r="AC76" i="12"/>
  <c r="AA76" i="12"/>
  <c r="Y76" i="12"/>
  <c r="X76" i="12"/>
  <c r="V76" i="12"/>
  <c r="U76" i="12"/>
  <c r="S76" i="12"/>
  <c r="Q76" i="12"/>
  <c r="P76" i="12"/>
  <c r="N76" i="12"/>
  <c r="M76" i="12"/>
  <c r="K76" i="12"/>
  <c r="I76" i="12"/>
  <c r="H76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BH57" i="12"/>
  <c r="BH56" i="12"/>
  <c r="BH55" i="12"/>
  <c r="BH50" i="12"/>
  <c r="BH49" i="12"/>
  <c r="BH48" i="12"/>
  <c r="BH40" i="12"/>
  <c r="BH39" i="12"/>
  <c r="BH38" i="12"/>
  <c r="BH37" i="12"/>
  <c r="BH36" i="12"/>
  <c r="BH34" i="12"/>
  <c r="BH33" i="12"/>
  <c r="BH32" i="12"/>
  <c r="BH31" i="12"/>
  <c r="BH28" i="12"/>
  <c r="BH27" i="12"/>
  <c r="BH21" i="12"/>
  <c r="BH20" i="12"/>
  <c r="BH19" i="12"/>
  <c r="BH18" i="12"/>
  <c r="BH17" i="12"/>
  <c r="BH15" i="12"/>
  <c r="BH12" i="12"/>
  <c r="BH11" i="12"/>
  <c r="BH10" i="12"/>
  <c r="BH9" i="12"/>
  <c r="G2" i="12"/>
  <c r="H1" i="12"/>
  <c r="I1" i="12" s="1"/>
  <c r="J1" i="12" s="1"/>
  <c r="J2" i="12" s="1"/>
  <c r="BU59" i="12" l="1"/>
  <c r="BT59" i="12"/>
  <c r="BS59" i="12"/>
  <c r="BR59" i="12"/>
  <c r="BW59" i="12"/>
  <c r="BV59" i="12"/>
  <c r="J76" i="12"/>
  <c r="I2" i="12"/>
  <c r="K1" i="12"/>
  <c r="H2" i="12"/>
  <c r="R76" i="12"/>
  <c r="Z76" i="12"/>
  <c r="AH76" i="12"/>
  <c r="AP76" i="12"/>
  <c r="G76" i="12"/>
  <c r="O76" i="12"/>
  <c r="W76" i="12"/>
  <c r="AX76" i="12"/>
  <c r="AE76" i="12"/>
  <c r="AM76" i="12"/>
  <c r="AU76" i="12"/>
  <c r="BC76" i="12"/>
  <c r="L76" i="12"/>
  <c r="T76" i="12"/>
  <c r="AB76" i="12"/>
  <c r="AJ76" i="12"/>
  <c r="AR76" i="12"/>
  <c r="AZ76" i="12"/>
  <c r="G49" i="12" l="1"/>
  <c r="G48" i="12"/>
  <c r="L1" i="12"/>
  <c r="K2" i="12"/>
  <c r="G50" i="12"/>
  <c r="H50" i="12"/>
  <c r="K50" i="12"/>
  <c r="BM50" i="12" l="1"/>
  <c r="G63" i="12"/>
  <c r="I50" i="12"/>
  <c r="J48" i="12"/>
  <c r="L2" i="12"/>
  <c r="M1" i="12"/>
  <c r="J63" i="12" l="1"/>
  <c r="H49" i="12"/>
  <c r="H48" i="12"/>
  <c r="I48" i="12"/>
  <c r="I49" i="12"/>
  <c r="M2" i="12"/>
  <c r="N1" i="12"/>
  <c r="L50" i="12"/>
  <c r="H63" i="12" l="1"/>
  <c r="I63" i="12"/>
  <c r="BN50" i="12"/>
  <c r="K49" i="12"/>
  <c r="K48" i="12"/>
  <c r="N2" i="12"/>
  <c r="O1" i="12"/>
  <c r="K63" i="12" l="1"/>
  <c r="L49" i="12"/>
  <c r="L48" i="12"/>
  <c r="M50" i="12"/>
  <c r="O2" i="12"/>
  <c r="P1" i="12"/>
  <c r="L63" i="12" l="1"/>
  <c r="BO50" i="12"/>
  <c r="Q1" i="12"/>
  <c r="P2" i="12"/>
  <c r="N50" i="12"/>
  <c r="BP50" i="12" s="1"/>
  <c r="M49" i="12"/>
  <c r="M48" i="12"/>
  <c r="N48" i="12" l="1"/>
  <c r="N49" i="12"/>
  <c r="M63" i="12"/>
  <c r="R1" i="12"/>
  <c r="Q2" i="12"/>
  <c r="O50" i="12"/>
  <c r="BQ50" i="12" s="1"/>
  <c r="N63" i="12" l="1"/>
  <c r="S1" i="12"/>
  <c r="R2" i="12"/>
  <c r="P50" i="12"/>
  <c r="BR50" i="12" s="1"/>
  <c r="O49" i="12"/>
  <c r="O48" i="12"/>
  <c r="O63" i="12" l="1"/>
  <c r="S2" i="12"/>
  <c r="T1" i="12"/>
  <c r="R50" i="12"/>
  <c r="P49" i="12"/>
  <c r="P48" i="12"/>
  <c r="Q50" i="12"/>
  <c r="BS50" i="12" s="1"/>
  <c r="P63" i="12" l="1"/>
  <c r="BT50" i="12"/>
  <c r="Q49" i="12"/>
  <c r="Q48" i="12"/>
  <c r="T2" i="12"/>
  <c r="U1" i="12"/>
  <c r="Q63" i="12" l="1"/>
  <c r="R48" i="12"/>
  <c r="R49" i="12"/>
  <c r="S50" i="12"/>
  <c r="BU50" i="12" s="1"/>
  <c r="U2" i="12"/>
  <c r="V1" i="12"/>
  <c r="T50" i="12"/>
  <c r="BV50" i="12" l="1"/>
  <c r="U50" i="12"/>
  <c r="BW50" i="12" s="1"/>
  <c r="W1" i="12"/>
  <c r="V2" i="12"/>
  <c r="S49" i="12"/>
  <c r="S48" i="12"/>
  <c r="R63" i="12"/>
  <c r="S63" i="12" l="1"/>
  <c r="V50" i="12"/>
  <c r="W2" i="12"/>
  <c r="X1" i="12"/>
  <c r="T49" i="12"/>
  <c r="T48" i="12"/>
  <c r="T63" i="12" l="1"/>
  <c r="X2" i="12"/>
  <c r="Y1" i="12"/>
  <c r="W50" i="12"/>
  <c r="U49" i="12"/>
  <c r="U48" i="12"/>
  <c r="U63" i="12" l="1"/>
  <c r="V48" i="12"/>
  <c r="V49" i="12"/>
  <c r="X50" i="12"/>
  <c r="Y2" i="12"/>
  <c r="Z1" i="12"/>
  <c r="V63" i="12" l="1"/>
  <c r="AA1" i="12"/>
  <c r="Z2" i="12"/>
  <c r="W48" i="12"/>
  <c r="W49" i="12"/>
  <c r="Y50" i="12"/>
  <c r="Z50" i="12" l="1"/>
  <c r="X48" i="12"/>
  <c r="X49" i="12"/>
  <c r="W63" i="12"/>
  <c r="AB1" i="12"/>
  <c r="AA2" i="12"/>
  <c r="AB2" i="12" l="1"/>
  <c r="AC1" i="12"/>
  <c r="X63" i="12"/>
  <c r="Y49" i="12"/>
  <c r="Y48" i="12"/>
  <c r="AA50" i="12"/>
  <c r="Y63" i="12" l="1"/>
  <c r="Z48" i="12"/>
  <c r="Z49" i="12"/>
  <c r="AB50" i="12"/>
  <c r="AC2" i="12"/>
  <c r="AD1" i="12"/>
  <c r="Z63" i="12" l="1"/>
  <c r="AC50" i="12"/>
  <c r="AE1" i="12"/>
  <c r="AD2" i="12"/>
  <c r="AA48" i="12"/>
  <c r="AA49" i="12"/>
  <c r="AA63" i="12" l="1"/>
  <c r="AF1" i="12"/>
  <c r="AE2" i="12"/>
  <c r="AD50" i="12"/>
  <c r="AB49" i="12"/>
  <c r="AB48" i="12"/>
  <c r="AB63" i="12" l="1"/>
  <c r="AC49" i="12"/>
  <c r="AC48" i="12"/>
  <c r="AG1" i="12"/>
  <c r="AF2" i="12"/>
  <c r="AE50" i="12"/>
  <c r="AC63" i="12" l="1"/>
  <c r="AD48" i="12"/>
  <c r="AD49" i="12"/>
  <c r="AH1" i="12"/>
  <c r="AG2" i="12"/>
  <c r="AF50" i="12"/>
  <c r="AE49" i="12" l="1"/>
  <c r="AE48" i="12"/>
  <c r="AG50" i="12"/>
  <c r="AH2" i="12"/>
  <c r="AI1" i="12"/>
  <c r="AD63" i="12"/>
  <c r="AE63" i="12" l="1"/>
  <c r="AH50" i="12"/>
  <c r="AF49" i="12"/>
  <c r="AF48" i="12"/>
  <c r="AI2" i="12"/>
  <c r="AJ1" i="12"/>
  <c r="AF63" i="12" l="1"/>
  <c r="AI50" i="12"/>
  <c r="AG48" i="12"/>
  <c r="AG49" i="12"/>
  <c r="AJ2" i="12"/>
  <c r="AK1" i="12"/>
  <c r="AH49" i="12" l="1"/>
  <c r="AH48" i="12"/>
  <c r="AJ50" i="12"/>
  <c r="AG63" i="12"/>
  <c r="AL1" i="12"/>
  <c r="AK2" i="12"/>
  <c r="AH63" i="12" l="1"/>
  <c r="AI49" i="12"/>
  <c r="AI48" i="12"/>
  <c r="AK50" i="12"/>
  <c r="AL2" i="12"/>
  <c r="AM1" i="12"/>
  <c r="AI63" i="12" l="1"/>
  <c r="AJ48" i="12"/>
  <c r="AJ49" i="12"/>
  <c r="AL50" i="12"/>
  <c r="AN1" i="12"/>
  <c r="AM2" i="12"/>
  <c r="AN2" i="12" l="1"/>
  <c r="AO1" i="12"/>
  <c r="AJ63" i="12"/>
  <c r="AK49" i="12"/>
  <c r="AK48" i="12"/>
  <c r="AM50" i="12"/>
  <c r="AK63" i="12" l="1"/>
  <c r="AL48" i="12"/>
  <c r="AL49" i="12"/>
  <c r="AN50" i="12"/>
  <c r="AP1" i="12"/>
  <c r="AO2" i="12"/>
  <c r="AQ1" i="12" l="1"/>
  <c r="AP2" i="12"/>
  <c r="AO50" i="12"/>
  <c r="AM48" i="12"/>
  <c r="AM49" i="12"/>
  <c r="AL63" i="12"/>
  <c r="AN48" i="12" l="1"/>
  <c r="AN49" i="12"/>
  <c r="AM63" i="12"/>
  <c r="AQ2" i="12"/>
  <c r="AR1" i="12"/>
  <c r="AP50" i="12"/>
  <c r="AN63" i="12" l="1"/>
  <c r="AO48" i="12"/>
  <c r="AO49" i="12"/>
  <c r="AR2" i="12"/>
  <c r="AS1" i="12"/>
  <c r="AQ50" i="12"/>
  <c r="AS2" i="12" l="1"/>
  <c r="AT1" i="12"/>
  <c r="AR50" i="12"/>
  <c r="AP49" i="12"/>
  <c r="AP48" i="12"/>
  <c r="AO63" i="12"/>
  <c r="AP63" i="12" l="1"/>
  <c r="AS50" i="12"/>
  <c r="AQ49" i="12"/>
  <c r="AQ48" i="12"/>
  <c r="AT2" i="12"/>
  <c r="AU1" i="12"/>
  <c r="AQ63" i="12" l="1"/>
  <c r="AU2" i="12"/>
  <c r="AV1" i="12"/>
  <c r="AT50" i="12"/>
  <c r="AR49" i="12"/>
  <c r="AR48" i="12"/>
  <c r="AR63" i="12" l="1"/>
  <c r="AU50" i="12"/>
  <c r="AS49" i="12"/>
  <c r="AS48" i="12"/>
  <c r="AV2" i="12"/>
  <c r="AW1" i="12"/>
  <c r="AS63" i="12" l="1"/>
  <c r="AT48" i="12"/>
  <c r="AT49" i="12"/>
  <c r="AW2" i="12"/>
  <c r="AX1" i="12"/>
  <c r="AV50" i="12"/>
  <c r="AU49" i="12" l="1"/>
  <c r="AU48" i="12"/>
  <c r="AX2" i="12"/>
  <c r="AY1" i="12"/>
  <c r="AW50" i="12"/>
  <c r="AT63" i="12"/>
  <c r="AU63" i="12" l="1"/>
  <c r="AY2" i="12"/>
  <c r="AZ1" i="12"/>
  <c r="AV48" i="12"/>
  <c r="AV49" i="12"/>
  <c r="AX50" i="12"/>
  <c r="AY50" i="12" l="1"/>
  <c r="AW48" i="12"/>
  <c r="AW49" i="12"/>
  <c r="AZ2" i="12"/>
  <c r="BA1" i="12"/>
  <c r="AV63" i="12"/>
  <c r="AZ50" i="12" l="1"/>
  <c r="AW63" i="12"/>
  <c r="BB1" i="12"/>
  <c r="BA2" i="12"/>
  <c r="AX48" i="12"/>
  <c r="AX49" i="12"/>
  <c r="AX63" i="12" l="1"/>
  <c r="BC1" i="12"/>
  <c r="BB2" i="12"/>
  <c r="BA50" i="12"/>
  <c r="AY48" i="12"/>
  <c r="AY49" i="12"/>
  <c r="BD1" i="12" l="1"/>
  <c r="BC2" i="12"/>
  <c r="BB50" i="12"/>
  <c r="AZ49" i="12"/>
  <c r="AZ48" i="12"/>
  <c r="AY63" i="12"/>
  <c r="BC50" i="12" l="1"/>
  <c r="BA49" i="12"/>
  <c r="BA48" i="12"/>
  <c r="AZ63" i="12"/>
  <c r="BD2" i="12"/>
  <c r="BE1" i="12"/>
  <c r="BE2" i="12" s="1"/>
  <c r="BA63" i="12" l="1"/>
  <c r="BD50" i="12"/>
  <c r="BB48" i="12"/>
  <c r="BB49" i="12"/>
  <c r="BB63" i="12" l="1"/>
  <c r="BC48" i="12"/>
  <c r="BC49" i="12"/>
  <c r="BE50" i="12"/>
  <c r="BC63" i="12" l="1"/>
  <c r="BD49" i="12"/>
  <c r="BD48" i="12"/>
  <c r="BE48" i="12"/>
  <c r="BE49" i="12"/>
  <c r="BD63" i="12" l="1"/>
  <c r="BE63" i="12"/>
  <c r="AK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BG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AZ10" i="10"/>
  <c r="AW10" i="10"/>
  <c r="AO10" i="10"/>
  <c r="AJ10" i="10"/>
  <c r="Q10" i="10"/>
  <c r="Q18" i="10" s="1"/>
  <c r="M10" i="10"/>
  <c r="M18" i="10" s="1"/>
  <c r="I10" i="10"/>
  <c r="I18" i="10" s="1"/>
  <c r="E10" i="10"/>
  <c r="E18" i="10" s="1"/>
  <c r="BF9" i="10"/>
  <c r="BF10" i="10" s="1"/>
  <c r="BB16" i="10"/>
  <c r="BA10" i="10"/>
  <c r="AZ16" i="10"/>
  <c r="AY16" i="10"/>
  <c r="AX16" i="10"/>
  <c r="AW16" i="10"/>
  <c r="AV16" i="10"/>
  <c r="AU16" i="10"/>
  <c r="AT16" i="10"/>
  <c r="AS10" i="10"/>
  <c r="AR16" i="10"/>
  <c r="AQ16" i="10"/>
  <c r="AP16" i="10"/>
  <c r="AO16" i="10"/>
  <c r="AN16" i="10"/>
  <c r="AM16" i="10"/>
  <c r="AL16" i="10"/>
  <c r="AK10" i="10"/>
  <c r="AJ16" i="10"/>
  <c r="AI16" i="10"/>
  <c r="AH16" i="10"/>
  <c r="AG16" i="10"/>
  <c r="AF16" i="10"/>
  <c r="AE16" i="10"/>
  <c r="AD16" i="10"/>
  <c r="AC10" i="10"/>
  <c r="AB16" i="10"/>
  <c r="AA16" i="10"/>
  <c r="Z16" i="10"/>
  <c r="Y16" i="10"/>
  <c r="X16" i="10"/>
  <c r="W16" i="10"/>
  <c r="V16" i="10"/>
  <c r="U10" i="10"/>
  <c r="U18" i="10" s="1"/>
  <c r="T16" i="10"/>
  <c r="S16" i="10"/>
  <c r="BB10" i="10"/>
  <c r="AY10" i="10"/>
  <c r="AX10" i="10"/>
  <c r="AV10" i="10"/>
  <c r="AU10" i="10"/>
  <c r="AT10" i="10"/>
  <c r="AR10" i="10"/>
  <c r="AQ10" i="10"/>
  <c r="AP10" i="10"/>
  <c r="AN10" i="10"/>
  <c r="AM10" i="10"/>
  <c r="AL10" i="10"/>
  <c r="AI10" i="10"/>
  <c r="AH10" i="10"/>
  <c r="AF10" i="10"/>
  <c r="AE10" i="10"/>
  <c r="AD10" i="10"/>
  <c r="AB10" i="10"/>
  <c r="AA10" i="10"/>
  <c r="Z10" i="10"/>
  <c r="X10" i="10"/>
  <c r="W10" i="10"/>
  <c r="V10" i="10"/>
  <c r="V18" i="10" s="1"/>
  <c r="T10" i="10"/>
  <c r="T18" i="10" s="1"/>
  <c r="S10" i="10"/>
  <c r="S18" i="10" s="1"/>
  <c r="R10" i="10"/>
  <c r="R18" i="10" s="1"/>
  <c r="P10" i="10"/>
  <c r="P18" i="10" s="1"/>
  <c r="O10" i="10"/>
  <c r="O18" i="10" s="1"/>
  <c r="N10" i="10"/>
  <c r="N18" i="10" s="1"/>
  <c r="L10" i="10"/>
  <c r="L18" i="10" s="1"/>
  <c r="K10" i="10"/>
  <c r="K18" i="10" s="1"/>
  <c r="J10" i="10"/>
  <c r="J18" i="10" s="1"/>
  <c r="H10" i="10"/>
  <c r="H18" i="10" s="1"/>
  <c r="G10" i="10"/>
  <c r="G18" i="10" s="1"/>
  <c r="F10" i="10"/>
  <c r="F18" i="10" s="1"/>
  <c r="D10" i="10"/>
  <c r="D18" i="10" s="1"/>
  <c r="D2" i="10"/>
  <c r="E1" i="10"/>
  <c r="F1" i="10" s="1"/>
  <c r="G1" i="10" s="1"/>
  <c r="G2" i="10" s="1"/>
  <c r="BJ115" i="9"/>
  <c r="BK115" i="9"/>
  <c r="BL115" i="9"/>
  <c r="BM115" i="9"/>
  <c r="BN115" i="9"/>
  <c r="BO115" i="9"/>
  <c r="BP115" i="9"/>
  <c r="BQ115" i="9"/>
  <c r="BR115" i="9"/>
  <c r="BS115" i="9"/>
  <c r="BT115" i="9"/>
  <c r="BI115" i="9"/>
  <c r="BJ29" i="9"/>
  <c r="BK29" i="9"/>
  <c r="BL29" i="9"/>
  <c r="BM29" i="9"/>
  <c r="BN29" i="9"/>
  <c r="BO29" i="9"/>
  <c r="BP29" i="9"/>
  <c r="BQ29" i="9"/>
  <c r="BR29" i="9"/>
  <c r="BS29" i="9"/>
  <c r="BT29" i="9"/>
  <c r="BJ30" i="9"/>
  <c r="BK30" i="9"/>
  <c r="BL30" i="9"/>
  <c r="BM30" i="9"/>
  <c r="BN30" i="9"/>
  <c r="BO30" i="9"/>
  <c r="BP30" i="9"/>
  <c r="BQ30" i="9"/>
  <c r="BR30" i="9"/>
  <c r="BS30" i="9"/>
  <c r="BT30" i="9"/>
  <c r="BJ31" i="9"/>
  <c r="BK31" i="9"/>
  <c r="BL31" i="9"/>
  <c r="BM31" i="9"/>
  <c r="BN31" i="9"/>
  <c r="BO31" i="9"/>
  <c r="BP31" i="9"/>
  <c r="BQ31" i="9"/>
  <c r="BR31" i="9"/>
  <c r="BS31" i="9"/>
  <c r="BT31" i="9"/>
  <c r="BJ32" i="9"/>
  <c r="BK32" i="9"/>
  <c r="BL32" i="9"/>
  <c r="BM32" i="9"/>
  <c r="BN32" i="9"/>
  <c r="BO32" i="9"/>
  <c r="BP32" i="9"/>
  <c r="BQ32" i="9"/>
  <c r="BR32" i="9"/>
  <c r="BS32" i="9"/>
  <c r="BT32" i="9"/>
  <c r="BJ33" i="9"/>
  <c r="BK33" i="9"/>
  <c r="BL33" i="9"/>
  <c r="BM33" i="9"/>
  <c r="BN33" i="9"/>
  <c r="BO33" i="9"/>
  <c r="BP33" i="9"/>
  <c r="BQ33" i="9"/>
  <c r="BR33" i="9"/>
  <c r="BS33" i="9"/>
  <c r="BT33" i="9"/>
  <c r="BJ34" i="9"/>
  <c r="BK34" i="9"/>
  <c r="BL34" i="9"/>
  <c r="BM34" i="9"/>
  <c r="BN34" i="9"/>
  <c r="BO34" i="9"/>
  <c r="BP34" i="9"/>
  <c r="BQ34" i="9"/>
  <c r="BR34" i="9"/>
  <c r="BS34" i="9"/>
  <c r="BT34" i="9"/>
  <c r="BJ35" i="9"/>
  <c r="BK35" i="9"/>
  <c r="BL35" i="9"/>
  <c r="BM35" i="9"/>
  <c r="BN35" i="9"/>
  <c r="BO35" i="9"/>
  <c r="BP35" i="9"/>
  <c r="BQ35" i="9"/>
  <c r="BR35" i="9"/>
  <c r="BS35" i="9"/>
  <c r="BT35" i="9"/>
  <c r="BJ36" i="9"/>
  <c r="BK36" i="9"/>
  <c r="BL36" i="9"/>
  <c r="BM36" i="9"/>
  <c r="BN36" i="9"/>
  <c r="BO36" i="9"/>
  <c r="BP36" i="9"/>
  <c r="BQ36" i="9"/>
  <c r="BR36" i="9"/>
  <c r="BS36" i="9"/>
  <c r="BT36" i="9"/>
  <c r="BJ37" i="9"/>
  <c r="BK37" i="9"/>
  <c r="BL37" i="9"/>
  <c r="BM37" i="9"/>
  <c r="BN37" i="9"/>
  <c r="BO37" i="9"/>
  <c r="BP37" i="9"/>
  <c r="BQ37" i="9"/>
  <c r="BR37" i="9"/>
  <c r="BS37" i="9"/>
  <c r="BT37" i="9"/>
  <c r="BJ38" i="9"/>
  <c r="BK38" i="9"/>
  <c r="BL38" i="9"/>
  <c r="BM38" i="9"/>
  <c r="BN38" i="9"/>
  <c r="BO38" i="9"/>
  <c r="BP38" i="9"/>
  <c r="BQ38" i="9"/>
  <c r="BR38" i="9"/>
  <c r="BS38" i="9"/>
  <c r="BT38" i="9"/>
  <c r="BJ39" i="9"/>
  <c r="BK39" i="9"/>
  <c r="BL39" i="9"/>
  <c r="BM39" i="9"/>
  <c r="BN39" i="9"/>
  <c r="BO39" i="9"/>
  <c r="BP39" i="9"/>
  <c r="BQ39" i="9"/>
  <c r="BR39" i="9"/>
  <c r="BS39" i="9"/>
  <c r="BT39" i="9"/>
  <c r="BJ40" i="9"/>
  <c r="BK40" i="9"/>
  <c r="BL40" i="9"/>
  <c r="BM40" i="9"/>
  <c r="BN40" i="9"/>
  <c r="BO40" i="9"/>
  <c r="BP40" i="9"/>
  <c r="BQ40" i="9"/>
  <c r="BR40" i="9"/>
  <c r="BS40" i="9"/>
  <c r="BT40" i="9"/>
  <c r="BJ41" i="9"/>
  <c r="BK41" i="9"/>
  <c r="BL41" i="9"/>
  <c r="BM41" i="9"/>
  <c r="BN41" i="9"/>
  <c r="BO41" i="9"/>
  <c r="BP41" i="9"/>
  <c r="BQ41" i="9"/>
  <c r="BR41" i="9"/>
  <c r="BS41" i="9"/>
  <c r="BT41" i="9"/>
  <c r="BJ42" i="9"/>
  <c r="BK42" i="9"/>
  <c r="BL42" i="9"/>
  <c r="BM42" i="9"/>
  <c r="BN42" i="9"/>
  <c r="BO42" i="9"/>
  <c r="BP42" i="9"/>
  <c r="BQ42" i="9"/>
  <c r="BR42" i="9"/>
  <c r="BS42" i="9"/>
  <c r="BT42" i="9"/>
  <c r="BJ43" i="9"/>
  <c r="BK43" i="9"/>
  <c r="BL43" i="9"/>
  <c r="BM43" i="9"/>
  <c r="BN43" i="9"/>
  <c r="BO43" i="9"/>
  <c r="BP43" i="9"/>
  <c r="BQ43" i="9"/>
  <c r="BR43" i="9"/>
  <c r="BS43" i="9"/>
  <c r="BT43" i="9"/>
  <c r="BJ44" i="9"/>
  <c r="BK44" i="9"/>
  <c r="BL44" i="9"/>
  <c r="BM44" i="9"/>
  <c r="BN44" i="9"/>
  <c r="BO44" i="9"/>
  <c r="BP44" i="9"/>
  <c r="BQ44" i="9"/>
  <c r="BR44" i="9"/>
  <c r="BS44" i="9"/>
  <c r="BT44" i="9"/>
  <c r="BJ45" i="9"/>
  <c r="BK45" i="9"/>
  <c r="BL45" i="9"/>
  <c r="BM45" i="9"/>
  <c r="BN45" i="9"/>
  <c r="BO45" i="9"/>
  <c r="BP45" i="9"/>
  <c r="BQ45" i="9"/>
  <c r="BR45" i="9"/>
  <c r="BS45" i="9"/>
  <c r="BT45" i="9"/>
  <c r="BJ46" i="9"/>
  <c r="BK46" i="9"/>
  <c r="BL46" i="9"/>
  <c r="BM46" i="9"/>
  <c r="BN46" i="9"/>
  <c r="BO46" i="9"/>
  <c r="BP46" i="9"/>
  <c r="BQ46" i="9"/>
  <c r="BR46" i="9"/>
  <c r="BS46" i="9"/>
  <c r="BT46" i="9"/>
  <c r="BJ47" i="9"/>
  <c r="BK47" i="9"/>
  <c r="BL47" i="9"/>
  <c r="BM47" i="9"/>
  <c r="BN47" i="9"/>
  <c r="BO47" i="9"/>
  <c r="BP47" i="9"/>
  <c r="BQ47" i="9"/>
  <c r="BR47" i="9"/>
  <c r="BS47" i="9"/>
  <c r="BT47" i="9"/>
  <c r="BJ48" i="9"/>
  <c r="BK48" i="9"/>
  <c r="BL48" i="9"/>
  <c r="BM48" i="9"/>
  <c r="BN48" i="9"/>
  <c r="BO48" i="9"/>
  <c r="BP48" i="9"/>
  <c r="BQ48" i="9"/>
  <c r="BR48" i="9"/>
  <c r="BS48" i="9"/>
  <c r="BT48" i="9"/>
  <c r="BJ49" i="9"/>
  <c r="BK49" i="9"/>
  <c r="BL49" i="9"/>
  <c r="BM49" i="9"/>
  <c r="BN49" i="9"/>
  <c r="BO49" i="9"/>
  <c r="BP49" i="9"/>
  <c r="BQ49" i="9"/>
  <c r="BR49" i="9"/>
  <c r="BS49" i="9"/>
  <c r="BT49" i="9"/>
  <c r="BJ50" i="9"/>
  <c r="BK50" i="9"/>
  <c r="BL50" i="9"/>
  <c r="BM50" i="9"/>
  <c r="BN50" i="9"/>
  <c r="BO50" i="9"/>
  <c r="BP50" i="9"/>
  <c r="BQ50" i="9"/>
  <c r="BR50" i="9"/>
  <c r="BS50" i="9"/>
  <c r="BT50" i="9"/>
  <c r="BJ51" i="9"/>
  <c r="BK51" i="9"/>
  <c r="BL51" i="9"/>
  <c r="BM51" i="9"/>
  <c r="BN51" i="9"/>
  <c r="BO51" i="9"/>
  <c r="BP51" i="9"/>
  <c r="BQ51" i="9"/>
  <c r="BR51" i="9"/>
  <c r="BS51" i="9"/>
  <c r="BT51" i="9"/>
  <c r="BJ52" i="9"/>
  <c r="BK52" i="9"/>
  <c r="BL52" i="9"/>
  <c r="BM52" i="9"/>
  <c r="BN52" i="9"/>
  <c r="BO52" i="9"/>
  <c r="BP52" i="9"/>
  <c r="BQ52" i="9"/>
  <c r="BR52" i="9"/>
  <c r="BS52" i="9"/>
  <c r="BT52" i="9"/>
  <c r="BJ53" i="9"/>
  <c r="BK53" i="9"/>
  <c r="BL53" i="9"/>
  <c r="BM53" i="9"/>
  <c r="BN53" i="9"/>
  <c r="BO53" i="9"/>
  <c r="BP53" i="9"/>
  <c r="BQ53" i="9"/>
  <c r="BR53" i="9"/>
  <c r="BS53" i="9"/>
  <c r="BT53" i="9"/>
  <c r="BJ54" i="9"/>
  <c r="BK54" i="9"/>
  <c r="BL54" i="9"/>
  <c r="BM54" i="9"/>
  <c r="BN54" i="9"/>
  <c r="BO54" i="9"/>
  <c r="BP54" i="9"/>
  <c r="BQ54" i="9"/>
  <c r="BR54" i="9"/>
  <c r="BS54" i="9"/>
  <c r="BT54" i="9"/>
  <c r="BJ55" i="9"/>
  <c r="BK55" i="9"/>
  <c r="BL55" i="9"/>
  <c r="BM55" i="9"/>
  <c r="BN55" i="9"/>
  <c r="BO55" i="9"/>
  <c r="BP55" i="9"/>
  <c r="BQ55" i="9"/>
  <c r="BR55" i="9"/>
  <c r="BS55" i="9"/>
  <c r="BT55" i="9"/>
  <c r="BJ56" i="9"/>
  <c r="BK56" i="9"/>
  <c r="BL56" i="9"/>
  <c r="BM56" i="9"/>
  <c r="BN56" i="9"/>
  <c r="BO56" i="9"/>
  <c r="BP56" i="9"/>
  <c r="BQ56" i="9"/>
  <c r="BR56" i="9"/>
  <c r="BS56" i="9"/>
  <c r="BT56" i="9"/>
  <c r="BJ57" i="9"/>
  <c r="BK57" i="9"/>
  <c r="BL57" i="9"/>
  <c r="BM57" i="9"/>
  <c r="BN57" i="9"/>
  <c r="BO57" i="9"/>
  <c r="BP57" i="9"/>
  <c r="BQ57" i="9"/>
  <c r="BR57" i="9"/>
  <c r="BS57" i="9"/>
  <c r="BT57" i="9"/>
  <c r="BJ58" i="9"/>
  <c r="BK58" i="9"/>
  <c r="BL58" i="9"/>
  <c r="BM58" i="9"/>
  <c r="BN58" i="9"/>
  <c r="BO58" i="9"/>
  <c r="BP58" i="9"/>
  <c r="BQ58" i="9"/>
  <c r="BR58" i="9"/>
  <c r="BS58" i="9"/>
  <c r="BT58" i="9"/>
  <c r="BJ59" i="9"/>
  <c r="BK59" i="9"/>
  <c r="BL59" i="9"/>
  <c r="BM59" i="9"/>
  <c r="BN59" i="9"/>
  <c r="BO59" i="9"/>
  <c r="BP59" i="9"/>
  <c r="BQ59" i="9"/>
  <c r="BR59" i="9"/>
  <c r="BS59" i="9"/>
  <c r="BT59" i="9"/>
  <c r="BJ60" i="9"/>
  <c r="BK60" i="9"/>
  <c r="BL60" i="9"/>
  <c r="BM60" i="9"/>
  <c r="BN60" i="9"/>
  <c r="BO60" i="9"/>
  <c r="BP60" i="9"/>
  <c r="BQ60" i="9"/>
  <c r="BR60" i="9"/>
  <c r="BS60" i="9"/>
  <c r="BT60" i="9"/>
  <c r="BJ61" i="9"/>
  <c r="BK61" i="9"/>
  <c r="BL61" i="9"/>
  <c r="BM61" i="9"/>
  <c r="BN61" i="9"/>
  <c r="BO61" i="9"/>
  <c r="BP61" i="9"/>
  <c r="BQ61" i="9"/>
  <c r="BR61" i="9"/>
  <c r="BS61" i="9"/>
  <c r="BT61" i="9"/>
  <c r="BJ62" i="9"/>
  <c r="BK62" i="9"/>
  <c r="BL62" i="9"/>
  <c r="BM62" i="9"/>
  <c r="BN62" i="9"/>
  <c r="BO62" i="9"/>
  <c r="BP62" i="9"/>
  <c r="BQ62" i="9"/>
  <c r="BR62" i="9"/>
  <c r="BS62" i="9"/>
  <c r="BT62" i="9"/>
  <c r="BJ63" i="9"/>
  <c r="BK63" i="9"/>
  <c r="BL63" i="9"/>
  <c r="BM63" i="9"/>
  <c r="BN63" i="9"/>
  <c r="BO63" i="9"/>
  <c r="BP63" i="9"/>
  <c r="BQ63" i="9"/>
  <c r="BR63" i="9"/>
  <c r="BS63" i="9"/>
  <c r="BT63" i="9"/>
  <c r="BJ64" i="9"/>
  <c r="BK64" i="9"/>
  <c r="BL64" i="9"/>
  <c r="BM64" i="9"/>
  <c r="BN64" i="9"/>
  <c r="BO64" i="9"/>
  <c r="BP64" i="9"/>
  <c r="BQ64" i="9"/>
  <c r="BR64" i="9"/>
  <c r="BS64" i="9"/>
  <c r="BT64" i="9"/>
  <c r="BJ65" i="9"/>
  <c r="BK65" i="9"/>
  <c r="BL65" i="9"/>
  <c r="BM65" i="9"/>
  <c r="BN65" i="9"/>
  <c r="BO65" i="9"/>
  <c r="BP65" i="9"/>
  <c r="BQ65" i="9"/>
  <c r="BR65" i="9"/>
  <c r="BS65" i="9"/>
  <c r="BT65" i="9"/>
  <c r="BJ66" i="9"/>
  <c r="BK66" i="9"/>
  <c r="BL66" i="9"/>
  <c r="BM66" i="9"/>
  <c r="BN66" i="9"/>
  <c r="BO66" i="9"/>
  <c r="BP66" i="9"/>
  <c r="BQ66" i="9"/>
  <c r="BR66" i="9"/>
  <c r="BS66" i="9"/>
  <c r="BT66" i="9"/>
  <c r="BJ67" i="9"/>
  <c r="BK67" i="9"/>
  <c r="BL67" i="9"/>
  <c r="BM67" i="9"/>
  <c r="BN67" i="9"/>
  <c r="BO67" i="9"/>
  <c r="BP67" i="9"/>
  <c r="BQ67" i="9"/>
  <c r="BR67" i="9"/>
  <c r="BS67" i="9"/>
  <c r="BT67" i="9"/>
  <c r="BJ68" i="9"/>
  <c r="BK68" i="9"/>
  <c r="BL68" i="9"/>
  <c r="BM68" i="9"/>
  <c r="BN68" i="9"/>
  <c r="BO68" i="9"/>
  <c r="BP68" i="9"/>
  <c r="BQ68" i="9"/>
  <c r="BR68" i="9"/>
  <c r="BS68" i="9"/>
  <c r="BT68" i="9"/>
  <c r="BJ69" i="9"/>
  <c r="BK69" i="9"/>
  <c r="BL69" i="9"/>
  <c r="BM69" i="9"/>
  <c r="BN69" i="9"/>
  <c r="BO69" i="9"/>
  <c r="BP69" i="9"/>
  <c r="BQ69" i="9"/>
  <c r="BR69" i="9"/>
  <c r="BS69" i="9"/>
  <c r="BT69" i="9"/>
  <c r="BJ70" i="9"/>
  <c r="BK70" i="9"/>
  <c r="BL70" i="9"/>
  <c r="BM70" i="9"/>
  <c r="BN70" i="9"/>
  <c r="BO70" i="9"/>
  <c r="BP70" i="9"/>
  <c r="BQ70" i="9"/>
  <c r="BR70" i="9"/>
  <c r="BS70" i="9"/>
  <c r="BT70" i="9"/>
  <c r="BJ71" i="9"/>
  <c r="BK71" i="9"/>
  <c r="BL71" i="9"/>
  <c r="BM71" i="9"/>
  <c r="BN71" i="9"/>
  <c r="BO71" i="9"/>
  <c r="BP71" i="9"/>
  <c r="BQ71" i="9"/>
  <c r="BR71" i="9"/>
  <c r="BS71" i="9"/>
  <c r="BT71" i="9"/>
  <c r="BJ72" i="9"/>
  <c r="BK72" i="9"/>
  <c r="BL72" i="9"/>
  <c r="BM72" i="9"/>
  <c r="BN72" i="9"/>
  <c r="BO72" i="9"/>
  <c r="BP72" i="9"/>
  <c r="BQ72" i="9"/>
  <c r="BR72" i="9"/>
  <c r="BS72" i="9"/>
  <c r="BT72" i="9"/>
  <c r="BJ73" i="9"/>
  <c r="BK73" i="9"/>
  <c r="BL73" i="9"/>
  <c r="BM73" i="9"/>
  <c r="BN73" i="9"/>
  <c r="BO73" i="9"/>
  <c r="BP73" i="9"/>
  <c r="BQ73" i="9"/>
  <c r="BR73" i="9"/>
  <c r="BS73" i="9"/>
  <c r="BT73" i="9"/>
  <c r="BJ74" i="9"/>
  <c r="BK74" i="9"/>
  <c r="BL74" i="9"/>
  <c r="BM74" i="9"/>
  <c r="BN74" i="9"/>
  <c r="BO74" i="9"/>
  <c r="BP74" i="9"/>
  <c r="BQ74" i="9"/>
  <c r="BR74" i="9"/>
  <c r="BS74" i="9"/>
  <c r="BT74" i="9"/>
  <c r="BJ75" i="9"/>
  <c r="BK75" i="9"/>
  <c r="BL75" i="9"/>
  <c r="BM75" i="9"/>
  <c r="BN75" i="9"/>
  <c r="BO75" i="9"/>
  <c r="BP75" i="9"/>
  <c r="BQ75" i="9"/>
  <c r="BR75" i="9"/>
  <c r="BS75" i="9"/>
  <c r="BT75" i="9"/>
  <c r="BJ76" i="9"/>
  <c r="BK76" i="9"/>
  <c r="BL76" i="9"/>
  <c r="BM76" i="9"/>
  <c r="BN76" i="9"/>
  <c r="BO76" i="9"/>
  <c r="BP76" i="9"/>
  <c r="BQ76" i="9"/>
  <c r="BR76" i="9"/>
  <c r="BS76" i="9"/>
  <c r="BT76" i="9"/>
  <c r="BJ77" i="9"/>
  <c r="BK77" i="9"/>
  <c r="BL77" i="9"/>
  <c r="BM77" i="9"/>
  <c r="BN77" i="9"/>
  <c r="BO77" i="9"/>
  <c r="BP77" i="9"/>
  <c r="BQ77" i="9"/>
  <c r="BR77" i="9"/>
  <c r="BS77" i="9"/>
  <c r="BT77" i="9"/>
  <c r="BJ78" i="9"/>
  <c r="BK78" i="9"/>
  <c r="BL78" i="9"/>
  <c r="BM78" i="9"/>
  <c r="BN78" i="9"/>
  <c r="BO78" i="9"/>
  <c r="BP78" i="9"/>
  <c r="BQ78" i="9"/>
  <c r="BR78" i="9"/>
  <c r="BS78" i="9"/>
  <c r="BT78" i="9"/>
  <c r="BJ79" i="9"/>
  <c r="BK79" i="9"/>
  <c r="BL79" i="9"/>
  <c r="BM79" i="9"/>
  <c r="BN79" i="9"/>
  <c r="BO79" i="9"/>
  <c r="BP79" i="9"/>
  <c r="BQ79" i="9"/>
  <c r="BR79" i="9"/>
  <c r="BS79" i="9"/>
  <c r="BT79" i="9"/>
  <c r="BJ80" i="9"/>
  <c r="BK80" i="9"/>
  <c r="BL80" i="9"/>
  <c r="BM80" i="9"/>
  <c r="BN80" i="9"/>
  <c r="BO80" i="9"/>
  <c r="BP80" i="9"/>
  <c r="BQ80" i="9"/>
  <c r="BR80" i="9"/>
  <c r="BS80" i="9"/>
  <c r="BT80" i="9"/>
  <c r="BJ81" i="9"/>
  <c r="BK81" i="9"/>
  <c r="BL81" i="9"/>
  <c r="BM81" i="9"/>
  <c r="BN81" i="9"/>
  <c r="BO81" i="9"/>
  <c r="BP81" i="9"/>
  <c r="BQ81" i="9"/>
  <c r="BR81" i="9"/>
  <c r="BS81" i="9"/>
  <c r="BT81" i="9"/>
  <c r="BJ82" i="9"/>
  <c r="BK82" i="9"/>
  <c r="BL82" i="9"/>
  <c r="BM82" i="9"/>
  <c r="BN82" i="9"/>
  <c r="BO82" i="9"/>
  <c r="BP82" i="9"/>
  <c r="BQ82" i="9"/>
  <c r="BR82" i="9"/>
  <c r="BS82" i="9"/>
  <c r="BT82" i="9"/>
  <c r="BJ83" i="9"/>
  <c r="BK83" i="9"/>
  <c r="BL83" i="9"/>
  <c r="BM83" i="9"/>
  <c r="BN83" i="9"/>
  <c r="BO83" i="9"/>
  <c r="BP83" i="9"/>
  <c r="BQ83" i="9"/>
  <c r="BR83" i="9"/>
  <c r="BS83" i="9"/>
  <c r="BT83" i="9"/>
  <c r="BJ84" i="9"/>
  <c r="BK84" i="9"/>
  <c r="BL84" i="9"/>
  <c r="BM84" i="9"/>
  <c r="BN84" i="9"/>
  <c r="BO84" i="9"/>
  <c r="BP84" i="9"/>
  <c r="BQ84" i="9"/>
  <c r="BR84" i="9"/>
  <c r="BS84" i="9"/>
  <c r="BT84" i="9"/>
  <c r="BJ85" i="9"/>
  <c r="BK85" i="9"/>
  <c r="BL85" i="9"/>
  <c r="BM85" i="9"/>
  <c r="BN85" i="9"/>
  <c r="BO85" i="9"/>
  <c r="BP85" i="9"/>
  <c r="BQ85" i="9"/>
  <c r="BR85" i="9"/>
  <c r="BS85" i="9"/>
  <c r="BT85" i="9"/>
  <c r="BJ86" i="9"/>
  <c r="BK86" i="9"/>
  <c r="BL86" i="9"/>
  <c r="BM86" i="9"/>
  <c r="BN86" i="9"/>
  <c r="BO86" i="9"/>
  <c r="BP86" i="9"/>
  <c r="BQ86" i="9"/>
  <c r="BR86" i="9"/>
  <c r="BS86" i="9"/>
  <c r="BT86" i="9"/>
  <c r="BJ87" i="9"/>
  <c r="BK87" i="9"/>
  <c r="BL87" i="9"/>
  <c r="BM87" i="9"/>
  <c r="BN87" i="9"/>
  <c r="BO87" i="9"/>
  <c r="BP87" i="9"/>
  <c r="BQ87" i="9"/>
  <c r="BR87" i="9"/>
  <c r="BS87" i="9"/>
  <c r="BT87" i="9"/>
  <c r="BJ88" i="9"/>
  <c r="BK88" i="9"/>
  <c r="BL88" i="9"/>
  <c r="BM88" i="9"/>
  <c r="BN88" i="9"/>
  <c r="BO88" i="9"/>
  <c r="BP88" i="9"/>
  <c r="BQ88" i="9"/>
  <c r="BR88" i="9"/>
  <c r="BS88" i="9"/>
  <c r="BT88" i="9"/>
  <c r="BJ89" i="9"/>
  <c r="BK89" i="9"/>
  <c r="BL89" i="9"/>
  <c r="BM89" i="9"/>
  <c r="BN89" i="9"/>
  <c r="BO89" i="9"/>
  <c r="BP89" i="9"/>
  <c r="BQ89" i="9"/>
  <c r="BR89" i="9"/>
  <c r="BS89" i="9"/>
  <c r="BT89" i="9"/>
  <c r="BJ90" i="9"/>
  <c r="BK90" i="9"/>
  <c r="BL90" i="9"/>
  <c r="BM90" i="9"/>
  <c r="BN90" i="9"/>
  <c r="BO90" i="9"/>
  <c r="BP90" i="9"/>
  <c r="BQ90" i="9"/>
  <c r="BR90" i="9"/>
  <c r="BS90" i="9"/>
  <c r="BT90" i="9"/>
  <c r="BJ91" i="9"/>
  <c r="BK91" i="9"/>
  <c r="BL91" i="9"/>
  <c r="BM91" i="9"/>
  <c r="BN91" i="9"/>
  <c r="BO91" i="9"/>
  <c r="BP91" i="9"/>
  <c r="BQ91" i="9"/>
  <c r="BR91" i="9"/>
  <c r="BS91" i="9"/>
  <c r="BT91" i="9"/>
  <c r="BJ92" i="9"/>
  <c r="BK92" i="9"/>
  <c r="BL92" i="9"/>
  <c r="BM92" i="9"/>
  <c r="BN92" i="9"/>
  <c r="BO92" i="9"/>
  <c r="BP92" i="9"/>
  <c r="BQ92" i="9"/>
  <c r="BR92" i="9"/>
  <c r="BS92" i="9"/>
  <c r="BT92" i="9"/>
  <c r="BJ93" i="9"/>
  <c r="BK93" i="9"/>
  <c r="BL93" i="9"/>
  <c r="BM93" i="9"/>
  <c r="BN93" i="9"/>
  <c r="BO93" i="9"/>
  <c r="BP93" i="9"/>
  <c r="BQ93" i="9"/>
  <c r="BR93" i="9"/>
  <c r="BS93" i="9"/>
  <c r="BT93" i="9"/>
  <c r="BJ94" i="9"/>
  <c r="BK94" i="9"/>
  <c r="BL94" i="9"/>
  <c r="BM94" i="9"/>
  <c r="BN94" i="9"/>
  <c r="BO94" i="9"/>
  <c r="BP94" i="9"/>
  <c r="BQ94" i="9"/>
  <c r="BR94" i="9"/>
  <c r="BS94" i="9"/>
  <c r="BT94" i="9"/>
  <c r="BJ95" i="9"/>
  <c r="BK95" i="9"/>
  <c r="BL95" i="9"/>
  <c r="BM95" i="9"/>
  <c r="BN95" i="9"/>
  <c r="BO95" i="9"/>
  <c r="BP95" i="9"/>
  <c r="BQ95" i="9"/>
  <c r="BR95" i="9"/>
  <c r="BS95" i="9"/>
  <c r="BT95" i="9"/>
  <c r="BJ96" i="9"/>
  <c r="BK96" i="9"/>
  <c r="BL96" i="9"/>
  <c r="BM96" i="9"/>
  <c r="BN96" i="9"/>
  <c r="BO96" i="9"/>
  <c r="BP96" i="9"/>
  <c r="BQ96" i="9"/>
  <c r="BR96" i="9"/>
  <c r="BS96" i="9"/>
  <c r="BT96" i="9"/>
  <c r="BJ97" i="9"/>
  <c r="BK97" i="9"/>
  <c r="BL97" i="9"/>
  <c r="BM97" i="9"/>
  <c r="BN97" i="9"/>
  <c r="BO97" i="9"/>
  <c r="BP97" i="9"/>
  <c r="BQ97" i="9"/>
  <c r="BR97" i="9"/>
  <c r="BS97" i="9"/>
  <c r="BT97" i="9"/>
  <c r="BJ98" i="9"/>
  <c r="BK98" i="9"/>
  <c r="BL98" i="9"/>
  <c r="BM98" i="9"/>
  <c r="BN98" i="9"/>
  <c r="BO98" i="9"/>
  <c r="BP98" i="9"/>
  <c r="BQ98" i="9"/>
  <c r="BR98" i="9"/>
  <c r="BS98" i="9"/>
  <c r="BT98" i="9"/>
  <c r="BJ99" i="9"/>
  <c r="BK99" i="9"/>
  <c r="BL99" i="9"/>
  <c r="BM99" i="9"/>
  <c r="BN99" i="9"/>
  <c r="BO99" i="9"/>
  <c r="BP99" i="9"/>
  <c r="BQ99" i="9"/>
  <c r="BR99" i="9"/>
  <c r="BS99" i="9"/>
  <c r="BT99" i="9"/>
  <c r="BJ100" i="9"/>
  <c r="BK100" i="9"/>
  <c r="BL100" i="9"/>
  <c r="BM100" i="9"/>
  <c r="BN100" i="9"/>
  <c r="BO100" i="9"/>
  <c r="BP100" i="9"/>
  <c r="BQ100" i="9"/>
  <c r="BR100" i="9"/>
  <c r="BS100" i="9"/>
  <c r="BT100" i="9"/>
  <c r="BJ101" i="9"/>
  <c r="BK101" i="9"/>
  <c r="BL101" i="9"/>
  <c r="BM101" i="9"/>
  <c r="BN101" i="9"/>
  <c r="BO101" i="9"/>
  <c r="BP101" i="9"/>
  <c r="BQ101" i="9"/>
  <c r="BR101" i="9"/>
  <c r="BS101" i="9"/>
  <c r="BT101" i="9"/>
  <c r="BJ102" i="9"/>
  <c r="BK102" i="9"/>
  <c r="BL102" i="9"/>
  <c r="BM102" i="9"/>
  <c r="BN102" i="9"/>
  <c r="BO102" i="9"/>
  <c r="BP102" i="9"/>
  <c r="BQ102" i="9"/>
  <c r="BR102" i="9"/>
  <c r="BS102" i="9"/>
  <c r="BT102" i="9"/>
  <c r="BI30" i="9"/>
  <c r="BI31" i="9"/>
  <c r="BI32" i="9"/>
  <c r="BI33" i="9"/>
  <c r="BI34" i="9"/>
  <c r="BI35" i="9"/>
  <c r="BI36" i="9"/>
  <c r="BI37" i="9"/>
  <c r="BI38" i="9"/>
  <c r="BI39" i="9"/>
  <c r="BI40" i="9"/>
  <c r="BI41" i="9"/>
  <c r="BI42" i="9"/>
  <c r="BI43" i="9"/>
  <c r="BI44" i="9"/>
  <c r="BI45" i="9"/>
  <c r="BI46" i="9"/>
  <c r="BI47" i="9"/>
  <c r="BI48" i="9"/>
  <c r="BI49" i="9"/>
  <c r="BI50" i="9"/>
  <c r="BI51" i="9"/>
  <c r="BI52" i="9"/>
  <c r="BI53" i="9"/>
  <c r="BI54" i="9"/>
  <c r="BI55" i="9"/>
  <c r="BI56" i="9"/>
  <c r="BI57" i="9"/>
  <c r="BI58" i="9"/>
  <c r="BI59" i="9"/>
  <c r="BI60" i="9"/>
  <c r="BI61" i="9"/>
  <c r="BI62" i="9"/>
  <c r="BI63" i="9"/>
  <c r="BI64" i="9"/>
  <c r="BI65" i="9"/>
  <c r="BI66" i="9"/>
  <c r="BI67" i="9"/>
  <c r="BI68" i="9"/>
  <c r="BI69" i="9"/>
  <c r="BI70" i="9"/>
  <c r="BI71" i="9"/>
  <c r="BI72" i="9"/>
  <c r="BI73" i="9"/>
  <c r="BI74" i="9"/>
  <c r="BI75" i="9"/>
  <c r="BI76" i="9"/>
  <c r="BI77" i="9"/>
  <c r="BI78" i="9"/>
  <c r="BI79" i="9"/>
  <c r="BI80" i="9"/>
  <c r="BI81" i="9"/>
  <c r="BI82" i="9"/>
  <c r="BI83" i="9"/>
  <c r="BI84" i="9"/>
  <c r="BI85" i="9"/>
  <c r="BI86" i="9"/>
  <c r="BI87" i="9"/>
  <c r="BI88" i="9"/>
  <c r="BI89" i="9"/>
  <c r="BI90" i="9"/>
  <c r="BI91" i="9"/>
  <c r="BI92" i="9"/>
  <c r="BI93" i="9"/>
  <c r="BI94" i="9"/>
  <c r="BI95" i="9"/>
  <c r="BI96" i="9"/>
  <c r="BI97" i="9"/>
  <c r="BI98" i="9"/>
  <c r="BI99" i="9"/>
  <c r="BI100" i="9"/>
  <c r="BI101" i="9"/>
  <c r="BI102" i="9"/>
  <c r="BI29" i="9"/>
  <c r="H109" i="9"/>
  <c r="BC148" i="9"/>
  <c r="BB148" i="9"/>
  <c r="BA148" i="9"/>
  <c r="AZ148" i="9"/>
  <c r="AY148" i="9"/>
  <c r="AX148" i="9"/>
  <c r="AW148" i="9"/>
  <c r="AV148" i="9"/>
  <c r="AU148" i="9"/>
  <c r="AT148" i="9"/>
  <c r="AS148" i="9"/>
  <c r="AR148" i="9"/>
  <c r="AQ148" i="9"/>
  <c r="AP148" i="9"/>
  <c r="AO148" i="9"/>
  <c r="AN148" i="9"/>
  <c r="AM148" i="9"/>
  <c r="AL148" i="9"/>
  <c r="AK148" i="9"/>
  <c r="AJ148" i="9"/>
  <c r="AI148" i="9"/>
  <c r="AH148" i="9"/>
  <c r="AG148" i="9"/>
  <c r="AF148" i="9"/>
  <c r="AE148" i="9"/>
  <c r="AD148" i="9"/>
  <c r="AC148" i="9"/>
  <c r="AB148" i="9"/>
  <c r="AA148" i="9"/>
  <c r="Z148" i="9"/>
  <c r="Y148" i="9"/>
  <c r="X148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E148" i="9"/>
  <c r="E2" i="9"/>
  <c r="F1" i="9"/>
  <c r="F2" i="9" s="1"/>
  <c r="BE45" i="8"/>
  <c r="BE42" i="8"/>
  <c r="BE40" i="8"/>
  <c r="BE39" i="8"/>
  <c r="BE37" i="8"/>
  <c r="BE36" i="8"/>
  <c r="BE34" i="8"/>
  <c r="BF33" i="8"/>
  <c r="BE33" i="8"/>
  <c r="AZ33" i="8"/>
  <c r="AY33" i="8"/>
  <c r="AR33" i="8"/>
  <c r="AQ33" i="8"/>
  <c r="AJ33" i="8"/>
  <c r="AI33" i="8"/>
  <c r="AB33" i="8"/>
  <c r="AA33" i="8"/>
  <c r="T33" i="8"/>
  <c r="S33" i="8"/>
  <c r="L33" i="8"/>
  <c r="K33" i="8"/>
  <c r="BE31" i="8"/>
  <c r="BA33" i="8"/>
  <c r="AS33" i="8"/>
  <c r="AK33" i="8"/>
  <c r="AC33" i="8"/>
  <c r="U33" i="8"/>
  <c r="M33" i="8"/>
  <c r="E33" i="8"/>
  <c r="BE30" i="8"/>
  <c r="BC33" i="8"/>
  <c r="BB33" i="8"/>
  <c r="AX33" i="8"/>
  <c r="AW33" i="8"/>
  <c r="AV33" i="8"/>
  <c r="AU33" i="8"/>
  <c r="AT33" i="8"/>
  <c r="AP33" i="8"/>
  <c r="AO33" i="8"/>
  <c r="AN33" i="8"/>
  <c r="AM33" i="8"/>
  <c r="AL33" i="8"/>
  <c r="AH33" i="8"/>
  <c r="AG33" i="8"/>
  <c r="AF33" i="8"/>
  <c r="AE33" i="8"/>
  <c r="AD33" i="8"/>
  <c r="Z33" i="8"/>
  <c r="Y33" i="8"/>
  <c r="X33" i="8"/>
  <c r="W33" i="8"/>
  <c r="V33" i="8"/>
  <c r="R33" i="8"/>
  <c r="Q33" i="8"/>
  <c r="P33" i="8"/>
  <c r="O33" i="8"/>
  <c r="N33" i="8"/>
  <c r="J33" i="8"/>
  <c r="I33" i="8"/>
  <c r="H33" i="8"/>
  <c r="G33" i="8"/>
  <c r="F33" i="8"/>
  <c r="BE29" i="8"/>
  <c r="BE27" i="8"/>
  <c r="BE26" i="8"/>
  <c r="BE25" i="8"/>
  <c r="BE24" i="8"/>
  <c r="BF23" i="8"/>
  <c r="BE23" i="8"/>
  <c r="AX23" i="8"/>
  <c r="AW23" i="8"/>
  <c r="AP23" i="8"/>
  <c r="AO23" i="8"/>
  <c r="AH23" i="8"/>
  <c r="AG23" i="8"/>
  <c r="Z23" i="8"/>
  <c r="Y23" i="8"/>
  <c r="R23" i="8"/>
  <c r="Q23" i="8"/>
  <c r="J23" i="8"/>
  <c r="I23" i="8"/>
  <c r="BE20" i="8"/>
  <c r="AY23" i="8"/>
  <c r="AQ23" i="8"/>
  <c r="AI23" i="8"/>
  <c r="AA23" i="8"/>
  <c r="S23" i="8"/>
  <c r="K23" i="8"/>
  <c r="BE19" i="8"/>
  <c r="BC23" i="8"/>
  <c r="BB23" i="8"/>
  <c r="BA23" i="8"/>
  <c r="AV23" i="8"/>
  <c r="AU23" i="8"/>
  <c r="AT23" i="8"/>
  <c r="AS23" i="8"/>
  <c r="AN23" i="8"/>
  <c r="AM23" i="8"/>
  <c r="AL23" i="8"/>
  <c r="AK23" i="8"/>
  <c r="AF23" i="8"/>
  <c r="AE23" i="8"/>
  <c r="AD23" i="8"/>
  <c r="AC23" i="8"/>
  <c r="X23" i="8"/>
  <c r="W23" i="8"/>
  <c r="V23" i="8"/>
  <c r="U23" i="8"/>
  <c r="P23" i="8"/>
  <c r="O23" i="8"/>
  <c r="N23" i="8"/>
  <c r="M23" i="8"/>
  <c r="H23" i="8"/>
  <c r="G23" i="8"/>
  <c r="F23" i="8"/>
  <c r="E23" i="8"/>
  <c r="BE16" i="8"/>
  <c r="BF15" i="8"/>
  <c r="BE15" i="8"/>
  <c r="AX15" i="8"/>
  <c r="V15" i="8"/>
  <c r="Q15" i="8"/>
  <c r="N15" i="8"/>
  <c r="BE12" i="8"/>
  <c r="M39" i="8"/>
  <c r="E39" i="8"/>
  <c r="BE11" i="8"/>
  <c r="AZ39" i="8"/>
  <c r="AR39" i="8"/>
  <c r="AJ39" i="8"/>
  <c r="AB39" i="8"/>
  <c r="T39" i="8"/>
  <c r="L39" i="8"/>
  <c r="BE10" i="8"/>
  <c r="BA15" i="8"/>
  <c r="AZ15" i="8"/>
  <c r="AX39" i="8"/>
  <c r="AW15" i="8"/>
  <c r="AS15" i="8"/>
  <c r="AR15" i="8"/>
  <c r="AP39" i="8"/>
  <c r="AK15" i="8"/>
  <c r="AJ15" i="8"/>
  <c r="AH39" i="8"/>
  <c r="AG15" i="8"/>
  <c r="AC15" i="8"/>
  <c r="AB15" i="8"/>
  <c r="Z39" i="8"/>
  <c r="Y15" i="8"/>
  <c r="U15" i="8"/>
  <c r="T15" i="8"/>
  <c r="R39" i="8"/>
  <c r="M15" i="8"/>
  <c r="L15" i="8"/>
  <c r="J39" i="8"/>
  <c r="I15" i="8"/>
  <c r="E15" i="8"/>
  <c r="BE9" i="8"/>
  <c r="BE8" i="8"/>
  <c r="E2" i="8"/>
  <c r="F1" i="8"/>
  <c r="F2" i="8" s="1"/>
  <c r="BP15" i="10" l="1"/>
  <c r="BM16" i="10"/>
  <c r="AX52" i="8"/>
  <c r="E52" i="8"/>
  <c r="BQ18" i="10"/>
  <c r="BF11" i="10"/>
  <c r="BF12" i="10" s="1"/>
  <c r="BF13" i="10" s="1"/>
  <c r="BF14" i="10" s="1"/>
  <c r="BO15" i="10"/>
  <c r="BT16" i="10"/>
  <c r="BL16" i="10"/>
  <c r="BP18" i="10"/>
  <c r="BV15" i="10"/>
  <c r="BN15" i="10"/>
  <c r="BS16" i="10"/>
  <c r="BK18" i="10"/>
  <c r="BO18" i="10"/>
  <c r="BU15" i="10"/>
  <c r="BM15" i="10"/>
  <c r="BR16" i="10"/>
  <c r="BV18" i="10"/>
  <c r="BN18" i="10"/>
  <c r="H1" i="10"/>
  <c r="I1" i="10" s="1"/>
  <c r="BT15" i="10"/>
  <c r="BL15" i="10"/>
  <c r="BQ16" i="10"/>
  <c r="BU18" i="10"/>
  <c r="BM18" i="10"/>
  <c r="BS15" i="10"/>
  <c r="BK15" i="10"/>
  <c r="BP16" i="10"/>
  <c r="BT18" i="10"/>
  <c r="BL18" i="10"/>
  <c r="BR15" i="10"/>
  <c r="BK16" i="10"/>
  <c r="BO16" i="10"/>
  <c r="BS18" i="10"/>
  <c r="BQ15" i="10"/>
  <c r="BV16" i="10"/>
  <c r="BN16" i="10"/>
  <c r="BR18" i="10"/>
  <c r="BU16" i="10"/>
  <c r="BI108" i="9"/>
  <c r="G1" i="9"/>
  <c r="G2" i="9" s="1"/>
  <c r="BO108" i="9"/>
  <c r="BM108" i="9"/>
  <c r="BR108" i="9"/>
  <c r="BJ108" i="9"/>
  <c r="BP108" i="9"/>
  <c r="BS108" i="9"/>
  <c r="BK108" i="9"/>
  <c r="BN108" i="9"/>
  <c r="BQ108" i="9"/>
  <c r="BT108" i="9"/>
  <c r="BL108" i="9"/>
  <c r="U16" i="10"/>
  <c r="AG10" i="10"/>
  <c r="AC16" i="10"/>
  <c r="AS16" i="10"/>
  <c r="BA16" i="10"/>
  <c r="E2" i="10"/>
  <c r="F2" i="10"/>
  <c r="Y10" i="10"/>
  <c r="T40" i="8"/>
  <c r="T42" i="8" s="1"/>
  <c r="E40" i="8"/>
  <c r="E42" i="8" s="1"/>
  <c r="M40" i="8"/>
  <c r="M42" i="8" s="1"/>
  <c r="AB40" i="8"/>
  <c r="AB42" i="8" s="1"/>
  <c r="AJ40" i="8"/>
  <c r="AJ42" i="8" s="1"/>
  <c r="AR40" i="8"/>
  <c r="AR42" i="8" s="1"/>
  <c r="AZ40" i="8"/>
  <c r="AZ42" i="8" s="1"/>
  <c r="M52" i="8"/>
  <c r="L40" i="8"/>
  <c r="L42" i="8" s="1"/>
  <c r="AP15" i="8"/>
  <c r="AP52" i="8" s="1"/>
  <c r="Z53" i="8"/>
  <c r="K15" i="8"/>
  <c r="K39" i="8"/>
  <c r="S15" i="8"/>
  <c r="S39" i="8"/>
  <c r="AA15" i="8"/>
  <c r="AA39" i="8"/>
  <c r="AI15" i="8"/>
  <c r="AI39" i="8"/>
  <c r="AQ15" i="8"/>
  <c r="AQ39" i="8"/>
  <c r="AY15" i="8"/>
  <c r="AY39" i="8"/>
  <c r="R15" i="8"/>
  <c r="R52" i="8" s="1"/>
  <c r="L23" i="8"/>
  <c r="L52" i="8" s="1"/>
  <c r="T23" i="8"/>
  <c r="T52" i="8" s="1"/>
  <c r="AB23" i="8"/>
  <c r="AB52" i="8" s="1"/>
  <c r="AJ23" i="8"/>
  <c r="AJ52" i="8" s="1"/>
  <c r="AR23" i="8"/>
  <c r="AR52" i="8" s="1"/>
  <c r="AZ23" i="8"/>
  <c r="AZ52" i="8" s="1"/>
  <c r="AS39" i="8"/>
  <c r="AS53" i="8" s="1"/>
  <c r="R40" i="8"/>
  <c r="R42" i="8" s="1"/>
  <c r="AX40" i="8"/>
  <c r="AX42" i="8" s="1"/>
  <c r="G1" i="8"/>
  <c r="AH53" i="8"/>
  <c r="U39" i="8"/>
  <c r="U52" i="8" s="1"/>
  <c r="BA39" i="8"/>
  <c r="BA53" i="8" s="1"/>
  <c r="Z40" i="8"/>
  <c r="Z42" i="8" s="1"/>
  <c r="F39" i="8"/>
  <c r="N39" i="8"/>
  <c r="N52" i="8" s="1"/>
  <c r="V39" i="8"/>
  <c r="V53" i="8" s="1"/>
  <c r="AD15" i="8"/>
  <c r="AD39" i="8"/>
  <c r="AD53" i="8" s="1"/>
  <c r="AL15" i="8"/>
  <c r="AL39" i="8"/>
  <c r="AL53" i="8" s="1"/>
  <c r="AT15" i="8"/>
  <c r="AT39" i="8"/>
  <c r="AT53" i="8" s="1"/>
  <c r="BB15" i="8"/>
  <c r="BB39" i="8"/>
  <c r="BB53" i="8" s="1"/>
  <c r="F15" i="8"/>
  <c r="Z15" i="8"/>
  <c r="Z52" i="8" s="1"/>
  <c r="J53" i="8"/>
  <c r="AP53" i="8"/>
  <c r="G39" i="8"/>
  <c r="O39" i="8"/>
  <c r="O53" i="8" s="1"/>
  <c r="W39" i="8"/>
  <c r="AE39" i="8"/>
  <c r="AM39" i="8"/>
  <c r="AM53" i="8" s="1"/>
  <c r="AU39" i="8"/>
  <c r="BC39" i="8"/>
  <c r="BC53" i="8" s="1"/>
  <c r="L53" i="8"/>
  <c r="T53" i="8"/>
  <c r="AB53" i="8"/>
  <c r="AJ53" i="8"/>
  <c r="AR53" i="8"/>
  <c r="AZ53" i="8"/>
  <c r="AC39" i="8"/>
  <c r="AC53" i="8" s="1"/>
  <c r="AH40" i="8"/>
  <c r="AH42" i="8" s="1"/>
  <c r="H39" i="8"/>
  <c r="H53" i="8" s="1"/>
  <c r="P39" i="8"/>
  <c r="P53" i="8" s="1"/>
  <c r="X39" i="8"/>
  <c r="X53" i="8" s="1"/>
  <c r="AF39" i="8"/>
  <c r="AN39" i="8"/>
  <c r="AN53" i="8" s="1"/>
  <c r="AV39" i="8"/>
  <c r="AV53" i="8" s="1"/>
  <c r="J15" i="8"/>
  <c r="J52" i="8" s="1"/>
  <c r="AH15" i="8"/>
  <c r="AH52" i="8" s="1"/>
  <c r="E53" i="8"/>
  <c r="M53" i="8"/>
  <c r="R53" i="8"/>
  <c r="AX53" i="8"/>
  <c r="I39" i="8"/>
  <c r="Q39" i="8"/>
  <c r="Q52" i="8" s="1"/>
  <c r="Y39" i="8"/>
  <c r="Y53" i="8" s="1"/>
  <c r="AG39" i="8"/>
  <c r="AG52" i="8" s="1"/>
  <c r="AO39" i="8"/>
  <c r="AO53" i="8" s="1"/>
  <c r="AW39" i="8"/>
  <c r="AW52" i="8" s="1"/>
  <c r="AO15" i="8"/>
  <c r="AK39" i="8"/>
  <c r="AK53" i="8" s="1"/>
  <c r="J40" i="8"/>
  <c r="J42" i="8" s="1"/>
  <c r="AP40" i="8"/>
  <c r="AP42" i="8" s="1"/>
  <c r="G15" i="8"/>
  <c r="O15" i="8"/>
  <c r="W15" i="8"/>
  <c r="AE15" i="8"/>
  <c r="AM15" i="8"/>
  <c r="AU15" i="8"/>
  <c r="BC15" i="8"/>
  <c r="H15" i="8"/>
  <c r="P15" i="8"/>
  <c r="X15" i="8"/>
  <c r="AF15" i="8"/>
  <c r="AN15" i="8"/>
  <c r="AV15" i="8"/>
  <c r="D12" i="10" l="1"/>
  <c r="G12" i="10"/>
  <c r="G32" i="10" s="1"/>
  <c r="H1" i="9"/>
  <c r="I1" i="9" s="1"/>
  <c r="P52" i="8"/>
  <c r="G52" i="8"/>
  <c r="D15" i="10"/>
  <c r="BC52" i="8"/>
  <c r="H52" i="8"/>
  <c r="U53" i="8"/>
  <c r="AV52" i="8"/>
  <c r="AM52" i="8"/>
  <c r="H2" i="10"/>
  <c r="N53" i="8"/>
  <c r="AE52" i="8"/>
  <c r="AN52" i="8"/>
  <c r="AF52" i="8"/>
  <c r="W52" i="8"/>
  <c r="J1" i="10"/>
  <c r="I2" i="10"/>
  <c r="H12" i="10"/>
  <c r="F26" i="9"/>
  <c r="E134" i="9"/>
  <c r="E26" i="9"/>
  <c r="G26" i="9"/>
  <c r="F134" i="9"/>
  <c r="G134" i="9"/>
  <c r="AU40" i="8"/>
  <c r="AU42" i="8" s="1"/>
  <c r="AG40" i="8"/>
  <c r="AG42" i="8" s="1"/>
  <c r="AN40" i="8"/>
  <c r="AN42" i="8" s="1"/>
  <c r="AE40" i="8"/>
  <c r="AE42" i="8" s="1"/>
  <c r="BB40" i="8"/>
  <c r="BB42" i="8" s="1"/>
  <c r="V40" i="8"/>
  <c r="V42" i="8" s="1"/>
  <c r="AI40" i="8"/>
  <c r="AI42" i="8" s="1"/>
  <c r="AI53" i="8"/>
  <c r="AC52" i="8"/>
  <c r="K53" i="8"/>
  <c r="K40" i="8"/>
  <c r="K42" i="8" s="1"/>
  <c r="AS52" i="8"/>
  <c r="X52" i="8"/>
  <c r="O52" i="8"/>
  <c r="Y40" i="8"/>
  <c r="Y42" i="8" s="1"/>
  <c r="AF40" i="8"/>
  <c r="AF42" i="8" s="1"/>
  <c r="W40" i="8"/>
  <c r="W42" i="8" s="1"/>
  <c r="BB52" i="8"/>
  <c r="N40" i="8"/>
  <c r="N42" i="8" s="1"/>
  <c r="AG53" i="8"/>
  <c r="AI52" i="8"/>
  <c r="V52" i="8"/>
  <c r="AD40" i="8"/>
  <c r="AD42" i="8" s="1"/>
  <c r="I40" i="8"/>
  <c r="I42" i="8" s="1"/>
  <c r="AT52" i="8"/>
  <c r="G2" i="8"/>
  <c r="H1" i="8"/>
  <c r="AA52" i="8"/>
  <c r="I52" i="8"/>
  <c r="AQ53" i="8"/>
  <c r="AQ40" i="8"/>
  <c r="AQ42" i="8" s="1"/>
  <c r="O40" i="8"/>
  <c r="O42" i="8" s="1"/>
  <c r="F40" i="8"/>
  <c r="F42" i="8" s="1"/>
  <c r="Y52" i="8"/>
  <c r="G40" i="8"/>
  <c r="G42" i="8" s="1"/>
  <c r="F53" i="8"/>
  <c r="H40" i="8"/>
  <c r="H42" i="8" s="1"/>
  <c r="AL40" i="8"/>
  <c r="AL42" i="8" s="1"/>
  <c r="BA40" i="8"/>
  <c r="BA42" i="8" s="1"/>
  <c r="I53" i="8"/>
  <c r="AY53" i="8"/>
  <c r="AY40" i="8"/>
  <c r="AY42" i="8" s="1"/>
  <c r="S53" i="8"/>
  <c r="S40" i="8"/>
  <c r="S42" i="8" s="1"/>
  <c r="AE53" i="8"/>
  <c r="AC40" i="8"/>
  <c r="AC42" i="8" s="1"/>
  <c r="AS40" i="8"/>
  <c r="AS42" i="8" s="1"/>
  <c r="Q40" i="8"/>
  <c r="Q42" i="8" s="1"/>
  <c r="X40" i="8"/>
  <c r="X42" i="8" s="1"/>
  <c r="AT40" i="8"/>
  <c r="AT42" i="8" s="1"/>
  <c r="AA40" i="8"/>
  <c r="AA42" i="8" s="1"/>
  <c r="AA53" i="8"/>
  <c r="AU53" i="8"/>
  <c r="P40" i="8"/>
  <c r="P42" i="8" s="1"/>
  <c r="Q53" i="8"/>
  <c r="AU52" i="8"/>
  <c r="AK40" i="8"/>
  <c r="AK42" i="8" s="1"/>
  <c r="AO52" i="8"/>
  <c r="BC40" i="8"/>
  <c r="BC42" i="8" s="1"/>
  <c r="AL52" i="8"/>
  <c r="U40" i="8"/>
  <c r="U42" i="8" s="1"/>
  <c r="AY52" i="8"/>
  <c r="S52" i="8"/>
  <c r="W53" i="8"/>
  <c r="BA52" i="8"/>
  <c r="AW40" i="8"/>
  <c r="AW42" i="8" s="1"/>
  <c r="AO40" i="8"/>
  <c r="AO42" i="8" s="1"/>
  <c r="AV40" i="8"/>
  <c r="AV42" i="8" s="1"/>
  <c r="AM40" i="8"/>
  <c r="AM42" i="8" s="1"/>
  <c r="F52" i="8"/>
  <c r="AD52" i="8"/>
  <c r="AW53" i="8"/>
  <c r="AF53" i="8"/>
  <c r="AQ52" i="8"/>
  <c r="K52" i="8"/>
  <c r="G53" i="8"/>
  <c r="AK52" i="8"/>
  <c r="D31" i="10" l="1"/>
  <c r="H2" i="9"/>
  <c r="G31" i="10"/>
  <c r="G42" i="10" s="1"/>
  <c r="D32" i="10"/>
  <c r="D42" i="10" s="1"/>
  <c r="H32" i="10"/>
  <c r="H31" i="10"/>
  <c r="F15" i="10"/>
  <c r="F12" i="10"/>
  <c r="I12" i="10"/>
  <c r="K1" i="10"/>
  <c r="J2" i="10"/>
  <c r="E15" i="10"/>
  <c r="E12" i="10"/>
  <c r="H134" i="9"/>
  <c r="J1" i="9"/>
  <c r="I2" i="9"/>
  <c r="E109" i="9"/>
  <c r="E108" i="9"/>
  <c r="H2" i="8"/>
  <c r="I1" i="8"/>
  <c r="J12" i="10" l="1"/>
  <c r="K2" i="10"/>
  <c r="L1" i="10"/>
  <c r="I32" i="10"/>
  <c r="I31" i="10"/>
  <c r="F32" i="10"/>
  <c r="F31" i="10"/>
  <c r="E31" i="10"/>
  <c r="E32" i="10"/>
  <c r="H42" i="10"/>
  <c r="K1" i="9"/>
  <c r="J2" i="9"/>
  <c r="F108" i="9"/>
  <c r="F109" i="9"/>
  <c r="G109" i="9"/>
  <c r="G108" i="9"/>
  <c r="E113" i="9"/>
  <c r="E123" i="9" s="1"/>
  <c r="J1" i="8"/>
  <c r="I2" i="8"/>
  <c r="I42" i="10" l="1"/>
  <c r="G113" i="9"/>
  <c r="G123" i="9" s="1"/>
  <c r="F42" i="10"/>
  <c r="F113" i="9"/>
  <c r="F123" i="9" s="1"/>
  <c r="M1" i="10"/>
  <c r="L2" i="10"/>
  <c r="K12" i="10"/>
  <c r="E42" i="10"/>
  <c r="J32" i="10"/>
  <c r="J31" i="10"/>
  <c r="H26" i="9"/>
  <c r="I26" i="9"/>
  <c r="I134" i="9"/>
  <c r="J134" i="9"/>
  <c r="K2" i="9"/>
  <c r="L1" i="9"/>
  <c r="K1" i="8"/>
  <c r="J2" i="8"/>
  <c r="J42" i="10" l="1"/>
  <c r="K32" i="10"/>
  <c r="K31" i="10"/>
  <c r="L12" i="10"/>
  <c r="N1" i="10"/>
  <c r="M2" i="10"/>
  <c r="J26" i="9"/>
  <c r="L2" i="9"/>
  <c r="M1" i="9"/>
  <c r="H108" i="9"/>
  <c r="K2" i="8"/>
  <c r="L1" i="8"/>
  <c r="M12" i="10" l="1"/>
  <c r="O1" i="10"/>
  <c r="N2" i="10"/>
  <c r="L32" i="10"/>
  <c r="L31" i="10"/>
  <c r="K42" i="10"/>
  <c r="M2" i="9"/>
  <c r="N1" i="9"/>
  <c r="K134" i="9"/>
  <c r="H113" i="9"/>
  <c r="H123" i="9" s="1"/>
  <c r="I109" i="9"/>
  <c r="I108" i="9"/>
  <c r="M1" i="8"/>
  <c r="L2" i="8"/>
  <c r="L42" i="10" l="1"/>
  <c r="I113" i="9"/>
  <c r="I123" i="9" s="1"/>
  <c r="N12" i="10"/>
  <c r="O2" i="10"/>
  <c r="P1" i="10"/>
  <c r="M31" i="10"/>
  <c r="M32" i="10"/>
  <c r="M134" i="9"/>
  <c r="K26" i="9"/>
  <c r="L134" i="9"/>
  <c r="J108" i="9"/>
  <c r="J109" i="9"/>
  <c r="L26" i="9"/>
  <c r="N2" i="9"/>
  <c r="O1" i="9"/>
  <c r="N1" i="8"/>
  <c r="M2" i="8"/>
  <c r="M42" i="10" l="1"/>
  <c r="Q1" i="10"/>
  <c r="P2" i="10"/>
  <c r="O12" i="10"/>
  <c r="N32" i="10"/>
  <c r="N31" i="10"/>
  <c r="O2" i="9"/>
  <c r="P1" i="9"/>
  <c r="K108" i="9"/>
  <c r="K109" i="9"/>
  <c r="J113" i="9"/>
  <c r="J123" i="9" s="1"/>
  <c r="O1" i="8"/>
  <c r="N2" i="8"/>
  <c r="N42" i="10" l="1"/>
  <c r="O32" i="10"/>
  <c r="O31" i="10"/>
  <c r="P12" i="10"/>
  <c r="R1" i="10"/>
  <c r="Q2" i="10"/>
  <c r="K113" i="9"/>
  <c r="K123" i="9" s="1"/>
  <c r="M26" i="9"/>
  <c r="Q1" i="9"/>
  <c r="P2" i="9"/>
  <c r="N134" i="9"/>
  <c r="L108" i="9"/>
  <c r="L109" i="9"/>
  <c r="O2" i="8"/>
  <c r="P1" i="8"/>
  <c r="Q12" i="10" l="1"/>
  <c r="R2" i="10"/>
  <c r="S1" i="10"/>
  <c r="P32" i="10"/>
  <c r="P31" i="10"/>
  <c r="O42" i="10"/>
  <c r="M109" i="9"/>
  <c r="M108" i="9"/>
  <c r="O134" i="9"/>
  <c r="R1" i="9"/>
  <c r="Q2" i="9"/>
  <c r="N26" i="9"/>
  <c r="L113" i="9"/>
  <c r="L123" i="9" s="1"/>
  <c r="P2" i="8"/>
  <c r="Q1" i="8"/>
  <c r="M113" i="9" l="1"/>
  <c r="M123" i="9" s="1"/>
  <c r="P42" i="10"/>
  <c r="S2" i="10"/>
  <c r="T1" i="10"/>
  <c r="R12" i="10"/>
  <c r="Q32" i="10"/>
  <c r="Q31" i="10"/>
  <c r="P134" i="9"/>
  <c r="Q134" i="9"/>
  <c r="N108" i="9"/>
  <c r="N109" i="9"/>
  <c r="S1" i="9"/>
  <c r="R2" i="9"/>
  <c r="O26" i="9"/>
  <c r="Q2" i="8"/>
  <c r="R1" i="8"/>
  <c r="Q42" i="10" l="1"/>
  <c r="N113" i="9"/>
  <c r="N123" i="9" s="1"/>
  <c r="R32" i="10"/>
  <c r="R31" i="10"/>
  <c r="T2" i="10"/>
  <c r="U1" i="10"/>
  <c r="P26" i="9"/>
  <c r="O109" i="9"/>
  <c r="O108" i="9"/>
  <c r="S2" i="9"/>
  <c r="T1" i="9"/>
  <c r="R2" i="8"/>
  <c r="S1" i="8"/>
  <c r="S12" i="10" l="1"/>
  <c r="S15" i="10"/>
  <c r="V1" i="10"/>
  <c r="U2" i="10"/>
  <c r="R42" i="10"/>
  <c r="Q26" i="9"/>
  <c r="T2" i="9"/>
  <c r="U1" i="9"/>
  <c r="P108" i="9"/>
  <c r="P109" i="9"/>
  <c r="R134" i="9"/>
  <c r="O113" i="9"/>
  <c r="O123" i="9" s="1"/>
  <c r="S2" i="8"/>
  <c r="T1" i="8"/>
  <c r="T15" i="10" l="1"/>
  <c r="T12" i="10"/>
  <c r="W1" i="10"/>
  <c r="V2" i="10"/>
  <c r="S32" i="10"/>
  <c r="S31" i="10"/>
  <c r="Q109" i="9"/>
  <c r="Q108" i="9"/>
  <c r="S134" i="9"/>
  <c r="U2" i="9"/>
  <c r="V1" i="9"/>
  <c r="R26" i="9"/>
  <c r="P113" i="9"/>
  <c r="P123" i="9" s="1"/>
  <c r="S26" i="9"/>
  <c r="T2" i="8"/>
  <c r="U1" i="8"/>
  <c r="S42" i="10" l="1"/>
  <c r="W2" i="10"/>
  <c r="X1" i="10"/>
  <c r="U15" i="10"/>
  <c r="U12" i="10"/>
  <c r="T32" i="10"/>
  <c r="T31" i="10"/>
  <c r="T134" i="9"/>
  <c r="V2" i="9"/>
  <c r="W1" i="9"/>
  <c r="Q113" i="9"/>
  <c r="Q123" i="9" s="1"/>
  <c r="R108" i="9"/>
  <c r="R109" i="9"/>
  <c r="V1" i="8"/>
  <c r="U2" i="8"/>
  <c r="T42" i="10" l="1"/>
  <c r="U31" i="10"/>
  <c r="U32" i="10"/>
  <c r="Y1" i="10"/>
  <c r="X2" i="10"/>
  <c r="V15" i="10"/>
  <c r="V12" i="10"/>
  <c r="W2" i="9"/>
  <c r="X1" i="9"/>
  <c r="R113" i="9"/>
  <c r="R123" i="9" s="1"/>
  <c r="T26" i="9"/>
  <c r="U134" i="9"/>
  <c r="S109" i="9"/>
  <c r="S108" i="9"/>
  <c r="W1" i="8"/>
  <c r="V2" i="8"/>
  <c r="U42" i="10" l="1"/>
  <c r="S113" i="9"/>
  <c r="S123" i="9" s="1"/>
  <c r="V32" i="10"/>
  <c r="V31" i="10"/>
  <c r="W15" i="10"/>
  <c r="W12" i="10"/>
  <c r="Z1" i="10"/>
  <c r="Y2" i="10"/>
  <c r="V134" i="9"/>
  <c r="T108" i="9"/>
  <c r="T109" i="9"/>
  <c r="Y1" i="9"/>
  <c r="X2" i="9"/>
  <c r="U26" i="9"/>
  <c r="V26" i="9"/>
  <c r="W2" i="8"/>
  <c r="X1" i="8"/>
  <c r="V42" i="10" l="1"/>
  <c r="AA1" i="10"/>
  <c r="Z2" i="10"/>
  <c r="X12" i="10"/>
  <c r="X15" i="10"/>
  <c r="W32" i="10"/>
  <c r="W31" i="10"/>
  <c r="X134" i="9"/>
  <c r="Y2" i="9"/>
  <c r="Z1" i="9"/>
  <c r="T113" i="9"/>
  <c r="T123" i="9" s="1"/>
  <c r="W134" i="9"/>
  <c r="U109" i="9"/>
  <c r="U108" i="9"/>
  <c r="X2" i="8"/>
  <c r="Y1" i="8"/>
  <c r="W42" i="10" l="1"/>
  <c r="U113" i="9"/>
  <c r="U123" i="9" s="1"/>
  <c r="X32" i="10"/>
  <c r="X31" i="10"/>
  <c r="AA2" i="10"/>
  <c r="AB1" i="10"/>
  <c r="Y12" i="10"/>
  <c r="Y15" i="10"/>
  <c r="Z2" i="9"/>
  <c r="AA1" i="9"/>
  <c r="V108" i="9"/>
  <c r="V109" i="9"/>
  <c r="W26" i="9"/>
  <c r="Z1" i="8"/>
  <c r="Y2" i="8"/>
  <c r="V113" i="9" l="1"/>
  <c r="V123" i="9" s="1"/>
  <c r="Y32" i="10"/>
  <c r="Y31" i="10"/>
  <c r="Z15" i="10"/>
  <c r="Z12" i="10"/>
  <c r="AB2" i="10"/>
  <c r="AC1" i="10"/>
  <c r="X42" i="10"/>
  <c r="AA2" i="9"/>
  <c r="AB1" i="9"/>
  <c r="W109" i="9"/>
  <c r="W108" i="9"/>
  <c r="X26" i="9"/>
  <c r="Y134" i="9"/>
  <c r="AA1" i="8"/>
  <c r="Z2" i="8"/>
  <c r="AA12" i="10" l="1"/>
  <c r="AA15" i="10"/>
  <c r="Z32" i="10"/>
  <c r="Z31" i="10"/>
  <c r="Y42" i="10"/>
  <c r="AD1" i="10"/>
  <c r="AC2" i="10"/>
  <c r="Y26" i="9"/>
  <c r="W113" i="9"/>
  <c r="W123" i="9" s="1"/>
  <c r="X108" i="9"/>
  <c r="X109" i="9"/>
  <c r="AB2" i="9"/>
  <c r="AC1" i="9"/>
  <c r="Z134" i="9"/>
  <c r="AA2" i="8"/>
  <c r="AB1" i="8"/>
  <c r="X113" i="9" l="1"/>
  <c r="X123" i="9" s="1"/>
  <c r="AD2" i="10"/>
  <c r="AE1" i="10"/>
  <c r="Z42" i="10"/>
  <c r="AA32" i="10"/>
  <c r="AA31" i="10"/>
  <c r="AB15" i="10"/>
  <c r="AB12" i="10"/>
  <c r="AC2" i="9"/>
  <c r="AD1" i="9"/>
  <c r="AA134" i="9"/>
  <c r="Y109" i="9"/>
  <c r="Y108" i="9"/>
  <c r="Z26" i="9"/>
  <c r="AC1" i="8"/>
  <c r="AB2" i="8"/>
  <c r="Y113" i="9" l="1"/>
  <c r="Y123" i="9" s="1"/>
  <c r="AB32" i="10"/>
  <c r="AB31" i="10"/>
  <c r="AA42" i="10"/>
  <c r="AC15" i="10"/>
  <c r="AC12" i="10"/>
  <c r="AE2" i="10"/>
  <c r="AF1" i="10"/>
  <c r="AA26" i="9"/>
  <c r="Z108" i="9"/>
  <c r="Z109" i="9"/>
  <c r="AB134" i="9"/>
  <c r="AD2" i="9"/>
  <c r="AE1" i="9"/>
  <c r="AB26" i="9"/>
  <c r="AC134" i="9"/>
  <c r="AD1" i="8"/>
  <c r="AC2" i="8"/>
  <c r="AF2" i="10" l="1"/>
  <c r="AG1" i="10"/>
  <c r="AC31" i="10"/>
  <c r="AC32" i="10"/>
  <c r="AD15" i="10"/>
  <c r="AD12" i="10"/>
  <c r="AB42" i="10"/>
  <c r="AA108" i="9"/>
  <c r="AA109" i="9"/>
  <c r="Z113" i="9"/>
  <c r="Z123" i="9" s="1"/>
  <c r="AE2" i="9"/>
  <c r="AF1" i="9"/>
  <c r="AD2" i="8"/>
  <c r="AE1" i="8"/>
  <c r="AA113" i="9" l="1"/>
  <c r="AA123" i="9" s="1"/>
  <c r="AC42" i="10"/>
  <c r="AD32" i="10"/>
  <c r="AD31" i="10"/>
  <c r="AE12" i="10"/>
  <c r="AE15" i="10"/>
  <c r="AH1" i="10"/>
  <c r="AG2" i="10"/>
  <c r="AB109" i="9"/>
  <c r="AB108" i="9"/>
  <c r="AC26" i="9"/>
  <c r="AG1" i="9"/>
  <c r="AF2" i="9"/>
  <c r="AD26" i="9"/>
  <c r="AD134" i="9"/>
  <c r="AE2" i="8"/>
  <c r="AF1" i="8"/>
  <c r="AB113" i="9" l="1"/>
  <c r="AB123" i="9" s="1"/>
  <c r="AD42" i="10"/>
  <c r="AI1" i="10"/>
  <c r="AH2" i="10"/>
  <c r="AF12" i="10"/>
  <c r="AF15" i="10"/>
  <c r="AE32" i="10"/>
  <c r="AE31" i="10"/>
  <c r="AG2" i="9"/>
  <c r="AH1" i="9"/>
  <c r="AE26" i="9"/>
  <c r="AE134" i="9"/>
  <c r="AC109" i="9"/>
  <c r="AC108" i="9"/>
  <c r="AF2" i="8"/>
  <c r="AG1" i="8"/>
  <c r="AC113" i="9" l="1"/>
  <c r="AC123" i="9" s="1"/>
  <c r="AE42" i="10"/>
  <c r="AF32" i="10"/>
  <c r="AF31" i="10"/>
  <c r="AI2" i="10"/>
  <c r="AJ1" i="10"/>
  <c r="AG12" i="10"/>
  <c r="AG15" i="10"/>
  <c r="AF134" i="9"/>
  <c r="AD108" i="9"/>
  <c r="AD109" i="9"/>
  <c r="AH2" i="9"/>
  <c r="AI1" i="9"/>
  <c r="AH1" i="8"/>
  <c r="AG2" i="8"/>
  <c r="AF42" i="10" l="1"/>
  <c r="AG32" i="10"/>
  <c r="AG31" i="10"/>
  <c r="AK1" i="10"/>
  <c r="AJ2" i="10"/>
  <c r="AH15" i="10"/>
  <c r="AH12" i="10"/>
  <c r="AH134" i="9"/>
  <c r="AD113" i="9"/>
  <c r="AD123" i="9" s="1"/>
  <c r="AI2" i="9"/>
  <c r="AJ1" i="9"/>
  <c r="AG134" i="9"/>
  <c r="AE109" i="9"/>
  <c r="AE108" i="9"/>
  <c r="AF26" i="9"/>
  <c r="AI1" i="8"/>
  <c r="AH2" i="8"/>
  <c r="AG42" i="10" l="1"/>
  <c r="AH32" i="10"/>
  <c r="AH31" i="10"/>
  <c r="AI12" i="10"/>
  <c r="AI15" i="10"/>
  <c r="AL1" i="10"/>
  <c r="AK2" i="10"/>
  <c r="AE113" i="9"/>
  <c r="AE123" i="9" s="1"/>
  <c r="AG26" i="9"/>
  <c r="AJ2" i="9"/>
  <c r="AK1" i="9"/>
  <c r="AF108" i="9"/>
  <c r="AF109" i="9"/>
  <c r="AI2" i="8"/>
  <c r="AJ1" i="8"/>
  <c r="AH42" i="10" l="1"/>
  <c r="AF113" i="9"/>
  <c r="AF123" i="9" s="1"/>
  <c r="AM1" i="10"/>
  <c r="AL2" i="10"/>
  <c r="AJ15" i="10"/>
  <c r="AJ12" i="10"/>
  <c r="AI32" i="10"/>
  <c r="AI31" i="10"/>
  <c r="AI134" i="9"/>
  <c r="AG109" i="9"/>
  <c r="AG108" i="9"/>
  <c r="AH26" i="9"/>
  <c r="AK2" i="9"/>
  <c r="AL1" i="9"/>
  <c r="AK1" i="8"/>
  <c r="AJ2" i="8"/>
  <c r="AI42" i="10" l="1"/>
  <c r="AJ32" i="10"/>
  <c r="AJ31" i="10"/>
  <c r="AM2" i="10"/>
  <c r="AN1" i="10"/>
  <c r="AK15" i="10"/>
  <c r="AK12" i="10"/>
  <c r="AL2" i="9"/>
  <c r="AM1" i="9"/>
  <c r="AI26" i="9"/>
  <c r="AG113" i="9"/>
  <c r="AG123" i="9" s="1"/>
  <c r="AJ134" i="9"/>
  <c r="AH108" i="9"/>
  <c r="AH109" i="9"/>
  <c r="AL1" i="8"/>
  <c r="AK2" i="8"/>
  <c r="AJ42" i="10" l="1"/>
  <c r="AK31" i="10"/>
  <c r="AK32" i="10"/>
  <c r="AN2" i="10"/>
  <c r="AO1" i="10"/>
  <c r="AL15" i="10"/>
  <c r="AL12" i="10"/>
  <c r="AH113" i="9"/>
  <c r="AH123" i="9" s="1"/>
  <c r="AJ26" i="9"/>
  <c r="AM2" i="9"/>
  <c r="AN1" i="9"/>
  <c r="AK134" i="9"/>
  <c r="AI108" i="9"/>
  <c r="AI109" i="9"/>
  <c r="AL2" i="8"/>
  <c r="AM1" i="8"/>
  <c r="AL32" i="10" l="1"/>
  <c r="AL31" i="10"/>
  <c r="AM15" i="10"/>
  <c r="AM12" i="10"/>
  <c r="AP1" i="10"/>
  <c r="AO2" i="10"/>
  <c r="AK42" i="10"/>
  <c r="AL134" i="9"/>
  <c r="AK26" i="9"/>
  <c r="AO1" i="9"/>
  <c r="AN2" i="9"/>
  <c r="AJ108" i="9"/>
  <c r="AJ109" i="9"/>
  <c r="AI113" i="9"/>
  <c r="AI123" i="9" s="1"/>
  <c r="AM2" i="8"/>
  <c r="AN1" i="8"/>
  <c r="AJ113" i="9" l="1"/>
  <c r="AJ123" i="9" s="1"/>
  <c r="AL42" i="10"/>
  <c r="AQ1" i="10"/>
  <c r="AP2" i="10"/>
  <c r="AM32" i="10"/>
  <c r="AM31" i="10"/>
  <c r="AN12" i="10"/>
  <c r="AN15" i="10"/>
  <c r="AM26" i="9"/>
  <c r="AL26" i="9"/>
  <c r="AM134" i="9"/>
  <c r="AK109" i="9"/>
  <c r="AK108" i="9"/>
  <c r="AO2" i="9"/>
  <c r="AP1" i="9"/>
  <c r="AN2" i="8"/>
  <c r="AO1" i="8"/>
  <c r="AN32" i="10" l="1"/>
  <c r="AN31" i="10"/>
  <c r="AM42" i="10"/>
  <c r="AQ2" i="10"/>
  <c r="AR1" i="10"/>
  <c r="AO12" i="10"/>
  <c r="AO15" i="10"/>
  <c r="AN134" i="9"/>
  <c r="AQ1" i="9"/>
  <c r="AP2" i="9"/>
  <c r="AK113" i="9"/>
  <c r="AK123" i="9" s="1"/>
  <c r="AL108" i="9"/>
  <c r="AL109" i="9"/>
  <c r="AP1" i="8"/>
  <c r="AO2" i="8"/>
  <c r="AN42" i="10" l="1"/>
  <c r="AO32" i="10"/>
  <c r="AO31" i="10"/>
  <c r="AS1" i="10"/>
  <c r="AR2" i="10"/>
  <c r="AP15" i="10"/>
  <c r="AP12" i="10"/>
  <c r="AM109" i="9"/>
  <c r="AM108" i="9"/>
  <c r="AN26" i="9"/>
  <c r="AL113" i="9"/>
  <c r="AL123" i="9" s="1"/>
  <c r="AO134" i="9"/>
  <c r="AQ2" i="9"/>
  <c r="AR1" i="9"/>
  <c r="AQ1" i="8"/>
  <c r="AP2" i="8"/>
  <c r="AO42" i="10" l="1"/>
  <c r="AM113" i="9"/>
  <c r="AM123" i="9" s="1"/>
  <c r="AP32" i="10"/>
  <c r="AP31" i="10"/>
  <c r="AT1" i="10"/>
  <c r="AS2" i="10"/>
  <c r="AQ12" i="10"/>
  <c r="AQ15" i="10"/>
  <c r="AR2" i="9"/>
  <c r="AS1" i="9"/>
  <c r="AP26" i="9"/>
  <c r="AN108" i="9"/>
  <c r="AN109" i="9"/>
  <c r="AO26" i="9"/>
  <c r="AP134" i="9"/>
  <c r="AQ2" i="8"/>
  <c r="AR1" i="8"/>
  <c r="AR15" i="10" l="1"/>
  <c r="AR12" i="10"/>
  <c r="AQ32" i="10"/>
  <c r="AQ31" i="10"/>
  <c r="AU1" i="10"/>
  <c r="AT2" i="10"/>
  <c r="AP42" i="10"/>
  <c r="AQ134" i="9"/>
  <c r="AQ26" i="9"/>
  <c r="AN113" i="9"/>
  <c r="AN123" i="9" s="1"/>
  <c r="AO109" i="9"/>
  <c r="AO108" i="9"/>
  <c r="AS2" i="9"/>
  <c r="AT1" i="9"/>
  <c r="AS1" i="8"/>
  <c r="AR2" i="8"/>
  <c r="AO113" i="9" l="1"/>
  <c r="AO123" i="9" s="1"/>
  <c r="AQ42" i="10"/>
  <c r="AR32" i="10"/>
  <c r="AR31" i="10"/>
  <c r="AU2" i="10"/>
  <c r="AV1" i="10"/>
  <c r="AS15" i="10"/>
  <c r="AS12" i="10"/>
  <c r="AP108" i="9"/>
  <c r="AP109" i="9"/>
  <c r="AR134" i="9"/>
  <c r="AT2" i="9"/>
  <c r="AU1" i="9"/>
  <c r="AT1" i="8"/>
  <c r="AS2" i="8"/>
  <c r="AR42" i="10" l="1"/>
  <c r="AS31" i="10"/>
  <c r="AS32" i="10"/>
  <c r="AW1" i="10"/>
  <c r="AV2" i="10"/>
  <c r="AT15" i="10"/>
  <c r="AT12" i="10"/>
  <c r="AR26" i="9"/>
  <c r="AU2" i="9"/>
  <c r="AV1" i="9"/>
  <c r="AS134" i="9"/>
  <c r="AP113" i="9"/>
  <c r="AP123" i="9" s="1"/>
  <c r="AQ109" i="9"/>
  <c r="AQ108" i="9"/>
  <c r="AS26" i="9"/>
  <c r="AU1" i="8"/>
  <c r="AT2" i="8"/>
  <c r="AQ113" i="9" l="1"/>
  <c r="AQ123" i="9" s="1"/>
  <c r="AS42" i="10"/>
  <c r="AT32" i="10"/>
  <c r="AT31" i="10"/>
  <c r="AU15" i="10"/>
  <c r="AU12" i="10"/>
  <c r="AX1" i="10"/>
  <c r="AW2" i="10"/>
  <c r="AT134" i="9"/>
  <c r="AW1" i="9"/>
  <c r="AV2" i="9"/>
  <c r="AU134" i="9"/>
  <c r="AR109" i="9"/>
  <c r="AR108" i="9"/>
  <c r="AU2" i="8"/>
  <c r="AV1" i="8"/>
  <c r="AT42" i="10" l="1"/>
  <c r="AX2" i="10"/>
  <c r="AY1" i="10"/>
  <c r="AV12" i="10"/>
  <c r="AV15" i="10"/>
  <c r="AU32" i="10"/>
  <c r="AU31" i="10"/>
  <c r="AR113" i="9"/>
  <c r="AR123" i="9" s="1"/>
  <c r="AW2" i="9"/>
  <c r="AX1" i="9"/>
  <c r="AS109" i="9"/>
  <c r="AS108" i="9"/>
  <c r="AT26" i="9"/>
  <c r="AV2" i="8"/>
  <c r="AW1" i="8"/>
  <c r="AS113" i="9" l="1"/>
  <c r="AS123" i="9" s="1"/>
  <c r="AU42" i="10"/>
  <c r="AV32" i="10"/>
  <c r="AV31" i="10"/>
  <c r="AY2" i="10"/>
  <c r="AZ1" i="10"/>
  <c r="AW12" i="10"/>
  <c r="AW15" i="10"/>
  <c r="AV134" i="9"/>
  <c r="AU26" i="9"/>
  <c r="AX2" i="9"/>
  <c r="AY1" i="9"/>
  <c r="AW134" i="9"/>
  <c r="AT108" i="9"/>
  <c r="AT109" i="9"/>
  <c r="AW2" i="8"/>
  <c r="AX1" i="8"/>
  <c r="AV42" i="10" l="1"/>
  <c r="AT113" i="9"/>
  <c r="AT123" i="9" s="1"/>
  <c r="AW32" i="10"/>
  <c r="AW31" i="10"/>
  <c r="AX15" i="10"/>
  <c r="AX12" i="10"/>
  <c r="AZ2" i="10"/>
  <c r="BA1" i="10"/>
  <c r="AV26" i="9"/>
  <c r="AU109" i="9"/>
  <c r="AU108" i="9"/>
  <c r="AY2" i="9"/>
  <c r="AZ1" i="9"/>
  <c r="AX2" i="8"/>
  <c r="AY1" i="8"/>
  <c r="AW42" i="10" l="1"/>
  <c r="AU113" i="9"/>
  <c r="AU123" i="9" s="1"/>
  <c r="BB1" i="10"/>
  <c r="BB2" i="10" s="1"/>
  <c r="BA2" i="10"/>
  <c r="AX32" i="10"/>
  <c r="AX31" i="10"/>
  <c r="AY12" i="10"/>
  <c r="AY15" i="10"/>
  <c r="AZ2" i="9"/>
  <c r="BA1" i="9"/>
  <c r="AV108" i="9"/>
  <c r="AV109" i="9"/>
  <c r="AX134" i="9"/>
  <c r="AW26" i="9"/>
  <c r="AY2" i="8"/>
  <c r="AZ1" i="8"/>
  <c r="AV113" i="9" l="1"/>
  <c r="AV123" i="9" s="1"/>
  <c r="AY32" i="10"/>
  <c r="AY31" i="10"/>
  <c r="AX42" i="10"/>
  <c r="AZ15" i="10"/>
  <c r="AZ12" i="10"/>
  <c r="AX26" i="9"/>
  <c r="AY134" i="9"/>
  <c r="BA2" i="9"/>
  <c r="BB1" i="9"/>
  <c r="AW109" i="9"/>
  <c r="AW108" i="9"/>
  <c r="BA1" i="8"/>
  <c r="AZ2" i="8"/>
  <c r="AW113" i="9" l="1"/>
  <c r="AW123" i="9" s="1"/>
  <c r="AY42" i="10"/>
  <c r="BA15" i="10"/>
  <c r="BA12" i="10"/>
  <c r="AZ32" i="10"/>
  <c r="AZ31" i="10"/>
  <c r="BB15" i="10"/>
  <c r="BB12" i="10"/>
  <c r="BA134" i="9"/>
  <c r="AX108" i="9"/>
  <c r="AX109" i="9"/>
  <c r="BB2" i="9"/>
  <c r="BC1" i="9"/>
  <c r="BC2" i="9" s="1"/>
  <c r="AY26" i="9"/>
  <c r="AZ134" i="9"/>
  <c r="BB1" i="8"/>
  <c r="BA2" i="8"/>
  <c r="AZ42" i="10" l="1"/>
  <c r="BB32" i="10"/>
  <c r="BB31" i="10"/>
  <c r="BA31" i="10"/>
  <c r="BA32" i="10"/>
  <c r="BB134" i="9"/>
  <c r="AZ26" i="9"/>
  <c r="AY108" i="9"/>
  <c r="AY109" i="9"/>
  <c r="AX113" i="9"/>
  <c r="AX123" i="9" s="1"/>
  <c r="BB2" i="8"/>
  <c r="BC1" i="8"/>
  <c r="BC2" i="8" s="1"/>
  <c r="BB42" i="10" l="1"/>
  <c r="AY113" i="9"/>
  <c r="AY123" i="9" s="1"/>
  <c r="BA42" i="10"/>
  <c r="AZ108" i="9"/>
  <c r="AZ109" i="9"/>
  <c r="BA26" i="9"/>
  <c r="BC134" i="9"/>
  <c r="BB26" i="9" l="1"/>
  <c r="AZ113" i="9"/>
  <c r="AZ123" i="9" s="1"/>
  <c r="BC26" i="9"/>
  <c r="BA109" i="9"/>
  <c r="BA108" i="9"/>
  <c r="BG4" i="8" a="1"/>
  <c r="BB108" i="9" l="1"/>
  <c r="BB109" i="9"/>
  <c r="BA113" i="9"/>
  <c r="BA123" i="9" s="1"/>
  <c r="BC109" i="9"/>
  <c r="BC108" i="9"/>
  <c r="BG4" i="8"/>
  <c r="BC113" i="9" l="1"/>
  <c r="BC123" i="9" s="1"/>
  <c r="BB113" i="9"/>
  <c r="BB123" i="9" s="1"/>
  <c r="BG39" i="8"/>
  <c r="BG25" i="8"/>
  <c r="BG37" i="8"/>
  <c r="BG31" i="8"/>
  <c r="BG19" i="8"/>
  <c r="BG48" i="8"/>
  <c r="BG47" i="8"/>
  <c r="BG45" i="8"/>
  <c r="BG36" i="8"/>
  <c r="BG24" i="8"/>
  <c r="BG16" i="8"/>
  <c r="BG13" i="8"/>
  <c r="BG30" i="8"/>
  <c r="BG40" i="8"/>
  <c r="BG33" i="8"/>
  <c r="BG27" i="8"/>
  <c r="BG21" i="8"/>
  <c r="BG9" i="8"/>
  <c r="BG26" i="8"/>
  <c r="BG20" i="8"/>
  <c r="BG8" i="8"/>
  <c r="BG11" i="8"/>
  <c r="BG10" i="8"/>
  <c r="BG34" i="8"/>
  <c r="BG29" i="8"/>
  <c r="BG15" i="8"/>
  <c r="BG42" i="8"/>
  <c r="BG23" i="8"/>
  <c r="BG12" i="8"/>
  <c r="D6" i="2" l="1"/>
  <c r="D7" i="2" l="1"/>
  <c r="D12" i="2" s="1"/>
  <c r="BK4" i="8" l="1"/>
  <c r="BJ4" i="8"/>
  <c r="BI4" i="8"/>
  <c r="BH4" i="8"/>
  <c r="BJ26" i="8" l="1"/>
  <c r="BJ20" i="8"/>
  <c r="BJ31" i="8"/>
  <c r="BJ8" i="8"/>
  <c r="BJ23" i="8"/>
  <c r="BJ36" i="8"/>
  <c r="BJ9" i="8"/>
  <c r="BJ37" i="8"/>
  <c r="BJ10" i="8"/>
  <c r="BJ45" i="8"/>
  <c r="BJ39" i="8"/>
  <c r="BJ42" i="8"/>
  <c r="BJ27" i="8"/>
  <c r="BJ15" i="8"/>
  <c r="BJ19" i="8"/>
  <c r="BJ48" i="8"/>
  <c r="BJ34" i="8"/>
  <c r="BJ16" i="8"/>
  <c r="BJ30" i="8"/>
  <c r="BJ24" i="8"/>
  <c r="BJ33" i="8"/>
  <c r="BJ25" i="8"/>
  <c r="BJ21" i="8"/>
  <c r="BJ29" i="8"/>
  <c r="BJ47" i="8"/>
  <c r="BJ11" i="8"/>
  <c r="BJ40" i="8"/>
  <c r="BI19" i="8"/>
  <c r="BI39" i="8"/>
  <c r="BI8" i="8"/>
  <c r="BI25" i="8"/>
  <c r="BI9" i="8"/>
  <c r="BI37" i="8"/>
  <c r="BI40" i="8"/>
  <c r="BI24" i="8"/>
  <c r="BI34" i="8"/>
  <c r="BI27" i="8"/>
  <c r="BI16" i="8"/>
  <c r="BI15" i="8"/>
  <c r="BI21" i="8"/>
  <c r="BI30" i="8"/>
  <c r="BI48" i="8"/>
  <c r="BI31" i="8"/>
  <c r="BI42" i="8"/>
  <c r="BI26" i="8"/>
  <c r="BI20" i="8"/>
  <c r="BI47" i="8"/>
  <c r="BI33" i="8"/>
  <c r="BI10" i="8"/>
  <c r="BI23" i="8"/>
  <c r="BI36" i="8"/>
  <c r="BI29" i="8"/>
  <c r="BI11" i="8"/>
  <c r="BI45" i="8"/>
  <c r="BK42" i="8"/>
  <c r="BK45" i="8"/>
  <c r="BK37" i="8"/>
  <c r="BK48" i="8"/>
  <c r="BK29" i="8"/>
  <c r="BK11" i="8"/>
  <c r="BK15" i="8"/>
  <c r="BK20" i="8"/>
  <c r="BK8" i="8"/>
  <c r="BK40" i="8"/>
  <c r="BK30" i="8"/>
  <c r="BK19" i="8"/>
  <c r="BK10" i="8"/>
  <c r="BK39" i="8"/>
  <c r="BK25" i="8"/>
  <c r="BK33" i="8"/>
  <c r="BK26" i="8"/>
  <c r="BK34" i="8"/>
  <c r="BK36" i="8"/>
  <c r="BK24" i="8"/>
  <c r="BK27" i="8"/>
  <c r="BK47" i="8"/>
  <c r="BK21" i="8"/>
  <c r="BK16" i="8"/>
  <c r="BK9" i="8"/>
  <c r="BK31" i="8"/>
  <c r="BK23" i="8"/>
  <c r="BH15" i="8"/>
  <c r="BH37" i="8"/>
  <c r="BH31" i="8"/>
  <c r="BH48" i="8"/>
  <c r="BH11" i="8"/>
  <c r="BH40" i="8"/>
  <c r="BH30" i="8"/>
  <c r="BH33" i="8"/>
  <c r="BH39" i="8"/>
  <c r="BH42" i="8"/>
  <c r="BH12" i="8"/>
  <c r="BH25" i="8"/>
  <c r="BH47" i="8"/>
  <c r="BH34" i="8"/>
  <c r="BH26" i="8"/>
  <c r="BH10" i="8"/>
  <c r="BH19" i="8"/>
  <c r="BH21" i="8"/>
  <c r="BH24" i="8"/>
  <c r="BH20" i="8"/>
  <c r="BH29" i="8"/>
  <c r="BH16" i="8"/>
  <c r="BH23" i="8"/>
  <c r="BH27" i="8"/>
  <c r="BH45" i="8"/>
  <c r="BH8" i="8"/>
  <c r="BH36" i="8"/>
  <c r="BH9" i="8"/>
  <c r="BM10" i="8" l="1"/>
  <c r="BM30" i="8"/>
  <c r="BM23" i="8"/>
  <c r="BM24" i="8"/>
  <c r="BM20" i="8"/>
  <c r="BM11" i="8"/>
  <c r="BM39" i="8"/>
  <c r="BM29" i="8"/>
  <c r="BM34" i="8"/>
  <c r="BM40" i="8"/>
  <c r="BM31" i="8"/>
  <c r="BM42" i="8"/>
  <c r="BM19" i="8"/>
  <c r="BM15" i="8"/>
  <c r="BM3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Zhiludko Stanislav</author>
  </authors>
  <commentList>
    <comment ref="B17" authorId="0" shapeId="0" xr:uid="{4B0F7C0E-5245-49A0-8FE5-1792916ECCB9}">
      <text>
        <r>
          <rPr>
            <sz val="9"/>
            <color indexed="81"/>
            <rFont val="Tahoma"/>
            <family val="2"/>
            <charset val="204"/>
          </rPr>
          <t xml:space="preserve">+
Phone
</t>
        </r>
      </text>
    </comment>
    <comment ref="B82" authorId="0" shapeId="0" xr:uid="{4AD48C8F-241F-4C99-8B26-F5961437743B}">
      <text>
        <r>
          <rPr>
            <sz val="9"/>
            <color indexed="81"/>
            <rFont val="Tahoma"/>
            <family val="2"/>
            <charset val="204"/>
          </rPr>
          <t xml:space="preserve">+
Phone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CFE370-1D11-48AD-AD52-EB11A5044BF7}" keepAlive="1" name="Query - bs_acc" description="Connection to the 'bs_acc' query in the workbook." type="5" refreshedVersion="0" background="1">
    <dbPr connection="Provider=Microsoft.Mashup.OleDb.1;Data Source=$Workbook$;Location=bs_acc;Extended Properties=&quot;&quot;" command="SELECT * FROM [bs_acc]"/>
  </connection>
  <connection id="2" xr16:uid="{9543DB36-78D3-4F23-9968-1C8D4E176D97}" keepAlive="1" name="Query - BS_full_IFRS" description="Connection to the 'BS_full_IFRS' query in the workbook." type="5" refreshedVersion="6" background="1" saveData="1">
    <dbPr connection="Provider=Microsoft.Mashup.OleDb.1;Data Source=$Workbook$;Location=BS_full_IFRS;Extended Properties=&quot;&quot;" command="SELECT * FROM [BS_full_IFRS]"/>
  </connection>
  <connection id="3" xr16:uid="{28CD227E-F50D-4F08-A0DB-2A0063F762C0}" keepAlive="1" name="Query - BS_full_IFRS_int" description="Connection to the 'BS_full_IFRS_int' query in the workbook." type="5" refreshedVersion="6" background="1" saveData="1">
    <dbPr connection="Provider=Microsoft.Mashup.OleDb.1;Data Source=$Workbook$;Location=BS_full_IFRS_int;Extended Properties=&quot;&quot;" command="SELECT * FROM [BS_full_IFRS_int]"/>
  </connection>
  <connection id="4" xr16:uid="{57FF4883-1A79-4B02-8C45-8B20245931C0}" name="Query - Calendar" description="Connection to the 'Calendar' query in the workbook." type="100" refreshedVersion="6" minRefreshableVersion="5">
    <extLst>
      <ext xmlns:x15="http://schemas.microsoft.com/office/spreadsheetml/2010/11/main" uri="{DE250136-89BD-433C-8126-D09CA5730AF9}">
        <x15:connection id="168aaea9-fbd5-467f-a9d9-50bada5f1da8">
          <x15:oledbPr connection="Provider=Microsoft.Mashup.OleDb.1;Data Source=$Workbook$;Location=Calendar;Extended Properties=&quot;&quot;">
            <x15:dbTables>
              <x15:dbTable name="Calendar"/>
            </x15:dbTables>
          </x15:oledbPr>
        </x15:connection>
      </ext>
    </extLst>
  </connection>
  <connection id="5" xr16:uid="{F66C942F-D010-4018-AC6B-A1B8FDF1D527}" keepAlive="1" name="Query - const" description="Connection to the 'const' query in the workbook." type="5" refreshedVersion="0" background="1">
    <dbPr connection="Provider=Microsoft.Mashup.OleDb.1;Data Source=$Workbook$;Location=const;Extended Properties=&quot;&quot;" command="SELECT * FROM [const]"/>
  </connection>
  <connection id="6" xr16:uid="{1B7AC39F-7BFB-42B4-A0B1-1FC5DA69ED2E}" keepAlive="1" name="Query - cr_hier" description="Connection to the 'cr_hier' query in the workbook." type="5" refreshedVersion="0" background="1">
    <dbPr connection="Provider=Microsoft.Mashup.OleDb.1;Data Source=$Workbook$;Location=cr_hier;Extended Properties=&quot;&quot;" command="SELECT * FROM [cr_hier]"/>
  </connection>
  <connection id="7" xr16:uid="{D1C7CC65-6667-4DC9-B580-57B8E90DE341}" keepAlive="1" name="Query - Date1" description="Connection to the 'Date1' query in the workbook." type="5" refreshedVersion="0" background="1">
    <dbPr connection="Provider=Microsoft.Mashup.OleDb.1;Data Source=$Workbook$;Location=Date1;Extended Properties=&quot;&quot;" command="SELECT * FROM [Date1]"/>
  </connection>
  <connection id="8" xr16:uid="{3FFDD4DE-083C-4F9E-AAC3-A8DED9E207E6}" keepAlive="1" name="Query - Date2" description="Connection to the 'Date2' query in the workbook." type="5" refreshedVersion="0" background="1">
    <dbPr connection="Provider=Microsoft.Mashup.OleDb.1;Data Source=$Workbook$;Location=Date2;Extended Properties=&quot;&quot;" command="SELECT * FROM [Date2]"/>
  </connection>
  <connection id="9" xr16:uid="{2EBE4C61-FCAB-4D5A-B3FC-CC639B9B8A62}" keepAlive="1" name="Query - del_col" description="Connection to the 'del_col' query in the workbook." type="5" refreshedVersion="0" background="1">
    <dbPr connection="Provider=Microsoft.Mashup.OleDb.1;Data Source=$Workbook$;Location=del_col;Extended Properties=&quot;&quot;" command="SELECT * FROM [del_col]"/>
  </connection>
  <connection id="10" xr16:uid="{D56F9592-3834-46DA-9808-6B1ED0213A53}" keepAlive="1" name="Query - dictionary" description="Connection to the 'dictionary' query in the workbook." type="5" refreshedVersion="0" background="1">
    <dbPr connection="Provider=Microsoft.Mashup.OleDb.1;Data Source=$Workbook$;Location=dictionary;Extended Properties=&quot;&quot;" command="SELECT * FROM [dictionary]"/>
  </connection>
  <connection id="11" xr16:uid="{DF3FF4A2-AE45-4961-93B0-CFAEAB52E3CA}" keepAlive="1" name="Query - f_child" description="Connection to the 'f_child' query in the workbook." type="5" refreshedVersion="0" background="1">
    <dbPr connection="Provider=Microsoft.Mashup.OleDb.1;Data Source=$Workbook$;Location=f_child;Extended Properties=&quot;&quot;" command="SELECT * FROM [f_child]"/>
  </connection>
  <connection id="12" xr16:uid="{C6BE892B-FD02-4241-91AA-1C12E9E012C2}" keepAlive="1" name="Query - f_pad" description="Connection to the 'f_pad' query in the workbook." type="5" refreshedVersion="0" background="1">
    <dbPr connection="Provider=Microsoft.Mashup.OleDb.1;Data Source=$Workbook$;Location=f_pad;Extended Properties=&quot;&quot;" command="SELECT * FROM [f_pad]"/>
  </connection>
  <connection id="13" xr16:uid="{9FA3F392-A775-4AF3-8A56-8CBEA9AFFAEF}" keepAlive="1" name="Query - f_par1" description="Connection to the 'f_par1' query in the workbook." type="5" refreshedVersion="0" background="1">
    <dbPr connection="Provider=Microsoft.Mashup.OleDb.1;Data Source=$Workbook$;Location=f_par1;Extended Properties=&quot;&quot;" command="SELECT * FROM [f_par1]"/>
  </connection>
  <connection id="14" xr16:uid="{AA085007-2050-4A0F-9A8C-8583760E4814}" keepAlive="1" name="Query - f_trim" description="Connection to the 'f_trim' query in the workbook." type="5" refreshedVersion="0" background="1">
    <dbPr connection="Provider=Microsoft.Mashup.OleDb.1;Data Source=$Workbook$;Location=f_trim;Extended Properties=&quot;&quot;" command="SELECT * FROM [f_trim]"/>
  </connection>
  <connection id="15" xr16:uid="{A63125EA-EAA7-4E1D-A89B-A0D2E8D79876}" keepAlive="1" name="Query - path" description="Connection to the 'path' query in the workbook." type="5" refreshedVersion="6" background="1" saveData="1">
    <dbPr connection="Provider=Microsoft.Mashup.OleDb.1;Data Source=$Workbook$;Location=path;Extended Properties=&quot;&quot;" command="SELECT * FROM [path]"/>
  </connection>
  <connection id="16" xr16:uid="{1452A659-B7B2-47A0-9207-23ED8C0507BA}" keepAlive="1" name="Query - rep_dates" description="Connection to the 'rep_dates' query in the workbook." type="5" refreshedVersion="0" background="1">
    <dbPr connection="Provider=Microsoft.Mashup.OleDb.1;Data Source=$Workbook$;Location=rep_dates;Extended Properties=&quot;&quot;" command="SELECT * FROM [rep_dates]"/>
  </connection>
  <connection id="17" xr16:uid="{5C40AFA5-63AD-4524-A411-0CB2FE56C43C}" keepAlive="1" name="Query - repdate" description="Connection to the 'repdate' query in the workbook." type="5" refreshedVersion="6" background="1" saveData="1">
    <dbPr connection="Provider=Microsoft.Mashup.OleDb.1;Data Source=$Workbook$;Location=repdate;Extended Properties=&quot;&quot;" command="SELECT * FROM [repdate]"/>
  </connection>
  <connection id="18" xr16:uid="{82DD0058-CFA8-4A72-87F8-9513D62E84E2}" keepAlive="1" name="Query - wb_sheets" description="Connection to the 'wb_sheets' query in the workbook." type="5" refreshedVersion="6" background="1" saveData="1">
    <dbPr connection="Provider=Microsoft.Mashup.OleDb.1;Data Source=$Workbook$;Location=wb_sheets;Extended Properties=&quot;&quot;" command="SELECT * FROM [wb_sheets]"/>
  </connection>
  <connection id="19" xr16:uid="{061BC8C6-58D9-49FB-9BBE-39165C0F919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<sst xmlns="http://schemas.openxmlformats.org/spreadsheetml/2006/main" count="14312" uniqueCount="3206">
  <si>
    <t>path</t>
  </si>
  <si>
    <t>full path</t>
  </si>
  <si>
    <t>subs</t>
  </si>
  <si>
    <t>subs2</t>
  </si>
  <si>
    <t>RepDate</t>
  </si>
  <si>
    <t>Валюта</t>
  </si>
  <si>
    <t>Дебет</t>
  </si>
  <si>
    <t>Кредит</t>
  </si>
  <si>
    <t>БУ</t>
  </si>
  <si>
    <t>Здания, сооружения и передаточные устройства</t>
  </si>
  <si>
    <t>0120.4</t>
  </si>
  <si>
    <t>Сооружения (НОБ)</t>
  </si>
  <si>
    <t>0120.1</t>
  </si>
  <si>
    <t>Здания</t>
  </si>
  <si>
    <t>0120.2</t>
  </si>
  <si>
    <t>Сооружения</t>
  </si>
  <si>
    <t>0120.3</t>
  </si>
  <si>
    <t>Передаточные устройства</t>
  </si>
  <si>
    <t>Машины и оборудование</t>
  </si>
  <si>
    <t>0130.3</t>
  </si>
  <si>
    <t>Измерительные приборы и устройства</t>
  </si>
  <si>
    <t>0130.1</t>
  </si>
  <si>
    <t>Силовые машины и оборудования</t>
  </si>
  <si>
    <t>0130.2</t>
  </si>
  <si>
    <t>Рабочие машины и оборудование</t>
  </si>
  <si>
    <t>0130.4</t>
  </si>
  <si>
    <t>Прочие машины и оборудования</t>
  </si>
  <si>
    <t>Мебель и офисное оборудование</t>
  </si>
  <si>
    <t>Компьютерное оборудование и вычислительная техника</t>
  </si>
  <si>
    <t>0150.1</t>
  </si>
  <si>
    <t>Компьютерное оборудование и вычислительная техника (другие)</t>
  </si>
  <si>
    <t>0150.2</t>
  </si>
  <si>
    <t>Компьютерное оборудование и вычислительная техника (сервер)</t>
  </si>
  <si>
    <t>Транспортные средства</t>
  </si>
  <si>
    <t>0160.1</t>
  </si>
  <si>
    <t>Грузовые транспортные средства</t>
  </si>
  <si>
    <t>0160.2</t>
  </si>
  <si>
    <t>Легковые транспортные средства</t>
  </si>
  <si>
    <t>Прочие  основные средства</t>
  </si>
  <si>
    <t>Износ здания, сооружении и передаточных устройств</t>
  </si>
  <si>
    <t>0220.1</t>
  </si>
  <si>
    <t>Износ зданий</t>
  </si>
  <si>
    <t>0220.2</t>
  </si>
  <si>
    <t>Износ cооружений</t>
  </si>
  <si>
    <t>0220.3</t>
  </si>
  <si>
    <t>Износ передаточных устройств</t>
  </si>
  <si>
    <t>0220.4</t>
  </si>
  <si>
    <t>Износ cооружений (НОБ)</t>
  </si>
  <si>
    <t>Износ машин и оборудования</t>
  </si>
  <si>
    <t>0230.1</t>
  </si>
  <si>
    <t>Износ силовых машин и оборудования</t>
  </si>
  <si>
    <t>0230.2</t>
  </si>
  <si>
    <t>Износ рабочих машин и оборудование</t>
  </si>
  <si>
    <t>0230.3</t>
  </si>
  <si>
    <t>Износ измерительных приборов и устройства</t>
  </si>
  <si>
    <t>0230.4</t>
  </si>
  <si>
    <t>Износ прочие машин и оборудования</t>
  </si>
  <si>
    <t>Износ мебели и офисного оборудования</t>
  </si>
  <si>
    <t>Износ компьютерного оборудования и вычислительной техники</t>
  </si>
  <si>
    <t>0250.1</t>
  </si>
  <si>
    <t>Износ компьютерного оборудования и вычислительной техники (другие)</t>
  </si>
  <si>
    <t>0250.2</t>
  </si>
  <si>
    <t>Износ компьютерного оборудования и вычислительной техники (сервер)</t>
  </si>
  <si>
    <t>Износ транспортных средств</t>
  </si>
  <si>
    <t>0260.1</t>
  </si>
  <si>
    <t>Износ грузовых транспортных средств</t>
  </si>
  <si>
    <t>0260.2</t>
  </si>
  <si>
    <t>Износ легковых транспортных средств</t>
  </si>
  <si>
    <t>Износ прочих основных средств</t>
  </si>
  <si>
    <t>Патенты, лицензии и ноу-хау</t>
  </si>
  <si>
    <t>Торговые марки, знаки и промышленные образцы</t>
  </si>
  <si>
    <t>Программное обеспечение</t>
  </si>
  <si>
    <t>Прочие НМА</t>
  </si>
  <si>
    <t>Амортизация патентов, лицензий и ноу-хау</t>
  </si>
  <si>
    <t>Амортизация торговых марок, знаков и промышленных образцов</t>
  </si>
  <si>
    <t>Амортизация программного обеспечения</t>
  </si>
  <si>
    <t>Инвестиции в зависимые хозяйств.общества</t>
  </si>
  <si>
    <t>Инвестиции в предприятие с иностранным капиталом</t>
  </si>
  <si>
    <t>Оборудование к установке - отечественное</t>
  </si>
  <si>
    <t>Оборудование к установке - импортное</t>
  </si>
  <si>
    <t>Незавершенное строительство объектов</t>
  </si>
  <si>
    <t>0810.1</t>
  </si>
  <si>
    <t>Незавершенное строительство объектов ОС</t>
  </si>
  <si>
    <t>0810.2</t>
  </si>
  <si>
    <t>Незавершенное строительство - Геологоразведочные работы</t>
  </si>
  <si>
    <t>0810.3</t>
  </si>
  <si>
    <t>Незавершенное строительство объектов ОС- ТЗК</t>
  </si>
  <si>
    <t>0810.4</t>
  </si>
  <si>
    <t>Оборудование, переданное подрядчику для строительства</t>
  </si>
  <si>
    <t>0810.5</t>
  </si>
  <si>
    <t>Геологическое изучение, разведку и подготовительные работы к добыче природных ресурсов</t>
  </si>
  <si>
    <t>Приобретение основных средств</t>
  </si>
  <si>
    <t>0820.4</t>
  </si>
  <si>
    <t>Приобретение ОС</t>
  </si>
  <si>
    <t>Приобретение нематериальных активов</t>
  </si>
  <si>
    <t>Многолетние насаждения</t>
  </si>
  <si>
    <t>Сырье и материалы</t>
  </si>
  <si>
    <t>1010.4</t>
  </si>
  <si>
    <t>Сырье и материалы_Добыча</t>
  </si>
  <si>
    <t>1010.1</t>
  </si>
  <si>
    <t>Покупные полуфабрикаты и комплектующие изделия</t>
  </si>
  <si>
    <t>Покупные полуфабрикаты и комплектующие изделия (местный)</t>
  </si>
  <si>
    <t>Топливо</t>
  </si>
  <si>
    <t>Запасные части</t>
  </si>
  <si>
    <t>Строительные материалы</t>
  </si>
  <si>
    <t>1050.1</t>
  </si>
  <si>
    <t>1050.2</t>
  </si>
  <si>
    <t>Материалы капитальные строительства</t>
  </si>
  <si>
    <t>Тара и тарные материалы</t>
  </si>
  <si>
    <t>Материалы, переданные в переработку на сторону</t>
  </si>
  <si>
    <t>Материалы, переданные в переработку на сторону в пути</t>
  </si>
  <si>
    <t>Инвентарь и хозяйственные принадлежности</t>
  </si>
  <si>
    <t>1080.3</t>
  </si>
  <si>
    <t>Инвентарь и хозяйственные принадлежности_ТЗК</t>
  </si>
  <si>
    <t>1080.4</t>
  </si>
  <si>
    <t>Инвентарь и хозяйственные принадлежности_НП</t>
  </si>
  <si>
    <t>1080.1</t>
  </si>
  <si>
    <t>1080.2</t>
  </si>
  <si>
    <t>Инвентарь и хозяйственные принадлежности_АЗС</t>
  </si>
  <si>
    <t>Прочие материалы</t>
  </si>
  <si>
    <t>Заготовление и приобретение материалов</t>
  </si>
  <si>
    <t>Заготовление и приобретение материалов (по режима ИМ74)</t>
  </si>
  <si>
    <t>Основное производство</t>
  </si>
  <si>
    <t>2010.1</t>
  </si>
  <si>
    <t>ТПП Карши</t>
  </si>
  <si>
    <t>2010.2</t>
  </si>
  <si>
    <t>ТПП Мубарек</t>
  </si>
  <si>
    <t>2010.3</t>
  </si>
  <si>
    <t>ТПП Андижан</t>
  </si>
  <si>
    <t>2010.4</t>
  </si>
  <si>
    <t>ТПП Янги Узбекистон</t>
  </si>
  <si>
    <t>2010.5</t>
  </si>
  <si>
    <t>ТПП Устюрт</t>
  </si>
  <si>
    <t>2010.6</t>
  </si>
  <si>
    <t>УПГР Бухара</t>
  </si>
  <si>
    <t>Производство продукции из давальческого сырья</t>
  </si>
  <si>
    <t>Производство продукции из давальческого сырья природный газ</t>
  </si>
  <si>
    <t>Конечная процесс производство</t>
  </si>
  <si>
    <t>Полуфабрикаты собственного производства</t>
  </si>
  <si>
    <t>Полуфабрикаты собственного производства (спецодежда)</t>
  </si>
  <si>
    <t>Вспомогательные производства</t>
  </si>
  <si>
    <t>2310.1</t>
  </si>
  <si>
    <t>Вспомогательные производства (ТПП Карши)</t>
  </si>
  <si>
    <t>2310.2</t>
  </si>
  <si>
    <t>Вспомогательные производства (ТПП Мубарек)</t>
  </si>
  <si>
    <t>2310.3</t>
  </si>
  <si>
    <t>Вспомогательные производства (ТПП Андижан)</t>
  </si>
  <si>
    <t>2310.5</t>
  </si>
  <si>
    <t>Вспомогательные производства (ТПП Устюрт)</t>
  </si>
  <si>
    <t>2310.6</t>
  </si>
  <si>
    <t>Вспомогательные производства (УПГР Бухара, Газли)</t>
  </si>
  <si>
    <t>2310.7</t>
  </si>
  <si>
    <t>Вспомогательные производства (ТКРС)</t>
  </si>
  <si>
    <t>Общепроизводственные расходы</t>
  </si>
  <si>
    <t>Готовая продукция на складе</t>
  </si>
  <si>
    <t>2810.1</t>
  </si>
  <si>
    <t>Готовая продукция на складе (основное)</t>
  </si>
  <si>
    <t>2810.2</t>
  </si>
  <si>
    <t>Готовая продукция на складе (переработке)</t>
  </si>
  <si>
    <t>Готовая продукция в пути</t>
  </si>
  <si>
    <t>Готовая продукция, переданная на комиссию</t>
  </si>
  <si>
    <t>2830.1</t>
  </si>
  <si>
    <t>Готовая продукция отгруженная на комиссию</t>
  </si>
  <si>
    <t>Товары на складах</t>
  </si>
  <si>
    <t>2910.1</t>
  </si>
  <si>
    <t>Предоплаченные услуги</t>
  </si>
  <si>
    <t>Отсроченный зачет НДС</t>
  </si>
  <si>
    <t>Прочие отсроченные расходы</t>
  </si>
  <si>
    <t>Прочие отсроченные расходы (к-во)</t>
  </si>
  <si>
    <t>Счета к получению от покупателей и заказчиков</t>
  </si>
  <si>
    <t>4010.4</t>
  </si>
  <si>
    <t>Счета к получению от покупателей и заказчиков (продажа через биржы)</t>
  </si>
  <si>
    <t>4010.5</t>
  </si>
  <si>
    <t>Счета к получению от покупателей и заказчиков (прямые продажи)</t>
  </si>
  <si>
    <t>Счета к получению от покупателей и заказчиков (в валюте)</t>
  </si>
  <si>
    <t>4015.1</t>
  </si>
  <si>
    <t>Авансы, выданные персоналу по оплате труда</t>
  </si>
  <si>
    <t>4210.2</t>
  </si>
  <si>
    <t>Авансы, выданные персоналу по оплате труда НПК</t>
  </si>
  <si>
    <t>Авансы, выданные персоналу на служебные командировки</t>
  </si>
  <si>
    <t>Авансы, выданные поставщикам и подрядчикам</t>
  </si>
  <si>
    <t>4310.1</t>
  </si>
  <si>
    <t>4310.3</t>
  </si>
  <si>
    <t>Авансы, выданные поставщикам и подрядчикам под ТМЦ - ТЗК</t>
  </si>
  <si>
    <t>4310.4</t>
  </si>
  <si>
    <t>Авансы, выданные поставщикам и подрядчикам (в валюте)</t>
  </si>
  <si>
    <t>4315.1</t>
  </si>
  <si>
    <t>НДС по приобретенным ценностям</t>
  </si>
  <si>
    <t>4410.1</t>
  </si>
  <si>
    <t>НДС при приобретении основных средств</t>
  </si>
  <si>
    <t>4410.3</t>
  </si>
  <si>
    <t>НДС по приобретенным материально-производственным запасам</t>
  </si>
  <si>
    <t>4410.4</t>
  </si>
  <si>
    <t>НДС по приобретенным услугам</t>
  </si>
  <si>
    <t>4410.5</t>
  </si>
  <si>
    <t>НДС, уплачиваемый таможенным органам по ввозимым товарам</t>
  </si>
  <si>
    <t>4410.8</t>
  </si>
  <si>
    <t>НДС при строительстве основных средств</t>
  </si>
  <si>
    <t>Авансовые платежи по НДФЛ</t>
  </si>
  <si>
    <t>4420.8</t>
  </si>
  <si>
    <t>Авансовые платежи по НДФЛ (арендодатели)</t>
  </si>
  <si>
    <t>4420.1</t>
  </si>
  <si>
    <t>Авансовые платежи по НДФЛ (по оплате труда)</t>
  </si>
  <si>
    <t>Авансовые платежи по налогу на прибыль (ЕНП при УСН)</t>
  </si>
  <si>
    <t>Авансовые платежи по акцизному налогу</t>
  </si>
  <si>
    <t>Авансовые платежи по налогу на имущество</t>
  </si>
  <si>
    <t>Авансовые платежи по Налогу на землю</t>
  </si>
  <si>
    <t>Авансовые платежи по налог за пользование водными ресурсами</t>
  </si>
  <si>
    <t>Авансовые платежи по налог за пользование недрами</t>
  </si>
  <si>
    <t>Авансовые платежи по прочим налогам и сборам в бюджет</t>
  </si>
  <si>
    <t>Авансовые платежи по в государственные целевые фонды</t>
  </si>
  <si>
    <t>4520.1</t>
  </si>
  <si>
    <t>Авансовые платежи по социальному налогу</t>
  </si>
  <si>
    <t>Авансовые платежи по взносам на ИНПС</t>
  </si>
  <si>
    <t>4530.1</t>
  </si>
  <si>
    <t>Авансовые платежи по взносам на ИНПС (обязательная часть)</t>
  </si>
  <si>
    <t>Прочая задолженность персонала</t>
  </si>
  <si>
    <t>4790.1</t>
  </si>
  <si>
    <t>Расчеты по прочим операциям НПК</t>
  </si>
  <si>
    <t>Проценты к получению</t>
  </si>
  <si>
    <t>4830.1</t>
  </si>
  <si>
    <t>Проценты к получению (сум)</t>
  </si>
  <si>
    <t>Дивиденды к получению</t>
  </si>
  <si>
    <t>Счета к получению по претензиям</t>
  </si>
  <si>
    <t>Расчеты по претензиям (в валюте)</t>
  </si>
  <si>
    <t>Задолженность прочих дебиторов</t>
  </si>
  <si>
    <t>4890.1</t>
  </si>
  <si>
    <t>Задолженность прочих дебиторов (НПК)</t>
  </si>
  <si>
    <t>4890.3</t>
  </si>
  <si>
    <t>Задолженность прочих дебиторов (АЗС)</t>
  </si>
  <si>
    <t>4890.4</t>
  </si>
  <si>
    <t>Задолженность прочих дебиторов (Пенсия пособие и др)</t>
  </si>
  <si>
    <t>4890.8</t>
  </si>
  <si>
    <t>Задолженность прочих дебиторов (аренда жилья)</t>
  </si>
  <si>
    <t>4890.91</t>
  </si>
  <si>
    <t>Задолженность прочих дебиторов (КПК)</t>
  </si>
  <si>
    <t>4890.92</t>
  </si>
  <si>
    <t>Задолженность прочих дебиторов (КПК бензин)</t>
  </si>
  <si>
    <t>Задолженность прочих дебиторов (в валюте)</t>
  </si>
  <si>
    <t>4895.1</t>
  </si>
  <si>
    <t>Задолженность прочих дебиторов (в валюте) ГАЗ</t>
  </si>
  <si>
    <t>4895.3</t>
  </si>
  <si>
    <t>Задолженность прочих дебиторов (в валюте) ТЗК</t>
  </si>
  <si>
    <t>5110.5</t>
  </si>
  <si>
    <t>Основной счёт ПСБ</t>
  </si>
  <si>
    <t>5110.6</t>
  </si>
  <si>
    <t>Вторичный счёт (OFB)</t>
  </si>
  <si>
    <t>5110.8</t>
  </si>
  <si>
    <t>Вторичный счёт (TENGEBANK)</t>
  </si>
  <si>
    <t>5110.2</t>
  </si>
  <si>
    <t>Вторичный счёт (ПСБ)</t>
  </si>
  <si>
    <t>5110.4</t>
  </si>
  <si>
    <t>Вторичный счёт (ПСБ) АЗС</t>
  </si>
  <si>
    <t>Валютные счета внутри республики</t>
  </si>
  <si>
    <t>5210.1</t>
  </si>
  <si>
    <t>Долл. США  основной (OFB)</t>
  </si>
  <si>
    <t>5210.4</t>
  </si>
  <si>
    <t>Долл. США  (ПСБ) АЗС</t>
  </si>
  <si>
    <t>5210.5</t>
  </si>
  <si>
    <t>ЕВРО (ПСБ) АЗС</t>
  </si>
  <si>
    <t>5210.6</t>
  </si>
  <si>
    <t>Рубль Россия  (ПСБ)</t>
  </si>
  <si>
    <t>5210.7</t>
  </si>
  <si>
    <t>Валютный счет  (TENGEBANK)</t>
  </si>
  <si>
    <t>Прочие специальные счета</t>
  </si>
  <si>
    <t>5530.10</t>
  </si>
  <si>
    <t>Блок счёт для конвертации (Тенге банк)</t>
  </si>
  <si>
    <t>5530.8</t>
  </si>
  <si>
    <t>Спец.счёт для расчётов по соц.страхованию (Пенсия, ЖКУ)</t>
  </si>
  <si>
    <t>5530.9</t>
  </si>
  <si>
    <t>Блок счёт для конвертации (АЗС)</t>
  </si>
  <si>
    <t>5530.90</t>
  </si>
  <si>
    <t>Транзитный счёт для зачисление ЗП и приравненных к ней платежей</t>
  </si>
  <si>
    <t>Прочие специальные счета (в валюте)</t>
  </si>
  <si>
    <t>5535.1</t>
  </si>
  <si>
    <t>Счёт для конвертации</t>
  </si>
  <si>
    <t>5535.2</t>
  </si>
  <si>
    <t>Корпоративная валютная карта 1</t>
  </si>
  <si>
    <t>5535.4</t>
  </si>
  <si>
    <t>Корпоративная валютная карта 2 ОФБ</t>
  </si>
  <si>
    <t>5535.5</t>
  </si>
  <si>
    <t>Корпоративная валютная карта 3</t>
  </si>
  <si>
    <t>Корпоративные карточки</t>
  </si>
  <si>
    <t>Специальные счета УзРТСБ</t>
  </si>
  <si>
    <t>Корпоративные карточки (в валюте)</t>
  </si>
  <si>
    <t>Реализация иностранной валюты</t>
  </si>
  <si>
    <t>Приобретение иностранной валюты</t>
  </si>
  <si>
    <t>Переводы в пути (в валюте)</t>
  </si>
  <si>
    <t>Краткосрочные предоставленные займы</t>
  </si>
  <si>
    <t>Недостачи и потери от порчи ценностей</t>
  </si>
  <si>
    <t>Счета к оплате поставщикам и подрядчикам</t>
  </si>
  <si>
    <t>6010.4</t>
  </si>
  <si>
    <t>Расчеты с поставщиками и подрядчиками</t>
  </si>
  <si>
    <t>Расчеты с поставщиками и подрядчиками (в валюте)</t>
  </si>
  <si>
    <t>6015.1</t>
  </si>
  <si>
    <t>Прочие отсроченные доходы</t>
  </si>
  <si>
    <t>Отсроченные обязательства по налогам и другим обязательным платежам</t>
  </si>
  <si>
    <t>Прочие отсроченные обязательства</t>
  </si>
  <si>
    <t>Авансы, полученные от покупателей и заказчиков</t>
  </si>
  <si>
    <t>6310.4</t>
  </si>
  <si>
    <t>Авансы полученные от покупателей (продажа через биржы)</t>
  </si>
  <si>
    <t>6310.5</t>
  </si>
  <si>
    <t>Авансы полученные от покупателей (прямые продажи)</t>
  </si>
  <si>
    <t>6315.1</t>
  </si>
  <si>
    <t>Авансы полученные от покупателей (в валюте)</t>
  </si>
  <si>
    <t>Налог на добавленную стоимость</t>
  </si>
  <si>
    <t>Налог на доходы физических лиц</t>
  </si>
  <si>
    <t>6420.1</t>
  </si>
  <si>
    <t>Налог на доходы физических лиц (по оплате труда)</t>
  </si>
  <si>
    <t>6420.8</t>
  </si>
  <si>
    <t>Налог на доходы физических лиц (арендодатели)</t>
  </si>
  <si>
    <t>Налог на прибыль (ЕНП при УСН)</t>
  </si>
  <si>
    <t>Акцизный налог</t>
  </si>
  <si>
    <t>Налог на имущество</t>
  </si>
  <si>
    <t>Налог на землю</t>
  </si>
  <si>
    <t>налог за пользование водными ресурсами</t>
  </si>
  <si>
    <t>Налог на пользование недрами</t>
  </si>
  <si>
    <t>Подписной бонус</t>
  </si>
  <si>
    <t>Прочие налоги и сборы</t>
  </si>
  <si>
    <t>Платежи в государственные целевые фонды</t>
  </si>
  <si>
    <t>6520.1</t>
  </si>
  <si>
    <t>Расчеты по социальному налогу</t>
  </si>
  <si>
    <t>6520.6</t>
  </si>
  <si>
    <t>Расчеты по регрес пенсия</t>
  </si>
  <si>
    <t>Расчеты по взносам на ИНПС</t>
  </si>
  <si>
    <t>6530.1</t>
  </si>
  <si>
    <t>Расчеты по взносам на ИНПС (обязательная часть)</t>
  </si>
  <si>
    <t>Расчеты с профсоюзным фондом</t>
  </si>
  <si>
    <t>6560.2</t>
  </si>
  <si>
    <t>Расчеты с профсоюзным фондом (взносы работодателей)</t>
  </si>
  <si>
    <t>Вклады учредителей по увеличению уставного капитала</t>
  </si>
  <si>
    <t>Расчеты с персоналом по оплате труда</t>
  </si>
  <si>
    <t>6710.2</t>
  </si>
  <si>
    <t>6710.3</t>
  </si>
  <si>
    <t>Расчеты с персоналом по оплате труда (проект АЗС)</t>
  </si>
  <si>
    <t>6710.5</t>
  </si>
  <si>
    <t>Расчеты с персоналом по оплате труда (пенсия, пособие и др)</t>
  </si>
  <si>
    <t>6710.1</t>
  </si>
  <si>
    <t>Расчеты с персоналом по оплате труда (проект НПК)</t>
  </si>
  <si>
    <t>Краткосрочные банковские кредиты (в валюте)</t>
  </si>
  <si>
    <t>Краткосрочные займы</t>
  </si>
  <si>
    <t>Краткосрочные внебанковские займы (в валюте)</t>
  </si>
  <si>
    <t>6825.1</t>
  </si>
  <si>
    <t>Оперативная аренда к оплате</t>
  </si>
  <si>
    <t>Начисленные проценты по кредитам и займам (в валюте)</t>
  </si>
  <si>
    <t>6925.1</t>
  </si>
  <si>
    <t>Расчеты по претензиям в иностранной валюте</t>
  </si>
  <si>
    <t>Задолженность подотчетным лицам</t>
  </si>
  <si>
    <t>Расчеты с подотчетными лицами (в валюте)</t>
  </si>
  <si>
    <t>Расчеты по исполнительным документам работников</t>
  </si>
  <si>
    <t>6980.1</t>
  </si>
  <si>
    <t>6980.2</t>
  </si>
  <si>
    <t>Расчёты удержаний по заявлениям сотрудников</t>
  </si>
  <si>
    <t>Прочие обязательства</t>
  </si>
  <si>
    <t>6990.1</t>
  </si>
  <si>
    <t>Прочие расчеты с разными кредиторами</t>
  </si>
  <si>
    <t>6990.2</t>
  </si>
  <si>
    <t>Прочие расчеты с разными кредиторами (АЗС)</t>
  </si>
  <si>
    <t>6990.3</t>
  </si>
  <si>
    <t>Прочие расчеты с разными кредиторами (ТЗК)</t>
  </si>
  <si>
    <t>6990.8</t>
  </si>
  <si>
    <t>Прочие расчеты с разными кредиторами (аренда жилья)</t>
  </si>
  <si>
    <t>6990.91</t>
  </si>
  <si>
    <t>Прочие расчеты с разными кредиторами (КПК)</t>
  </si>
  <si>
    <t>6990.92</t>
  </si>
  <si>
    <t>Прочие расчеты с разными кредиторами (КПК бензин)</t>
  </si>
  <si>
    <t>Прочие расчеты с разными кредиторами (в валюте)</t>
  </si>
  <si>
    <t>6995.1</t>
  </si>
  <si>
    <t>6995.3</t>
  </si>
  <si>
    <t>Долгосрочные банковские кредиты (в валюте)</t>
  </si>
  <si>
    <t>Паи и вклады</t>
  </si>
  <si>
    <t>Корректировки по переоценке долгосрочных активов</t>
  </si>
  <si>
    <t>8510.1</t>
  </si>
  <si>
    <t>Прирост стоимости имущества по переоценке ОС</t>
  </si>
  <si>
    <t>8510.4</t>
  </si>
  <si>
    <t>Прирост стоимости объектов строительства</t>
  </si>
  <si>
    <t>Нераспределенная прибыль (непокрытый убыток) отчетного периода</t>
  </si>
  <si>
    <t>Доходы от реализаци готовой продукции</t>
  </si>
  <si>
    <t>9010.1</t>
  </si>
  <si>
    <t>Доходы от реализаци готовой продукции (продажа сырья)</t>
  </si>
  <si>
    <t>9010.4</t>
  </si>
  <si>
    <t>Доходы от реализаци готовой продукции (продажа через биржы)</t>
  </si>
  <si>
    <t>9010.5</t>
  </si>
  <si>
    <t>Доходы от реализаци готовой продукции (прямые продажи)</t>
  </si>
  <si>
    <t>9010.6</t>
  </si>
  <si>
    <t>Доходы от реализаци готовой продукции (экспорт)</t>
  </si>
  <si>
    <t>Доходы от реализаци товаров</t>
  </si>
  <si>
    <t>9020.1</t>
  </si>
  <si>
    <t>9020.3</t>
  </si>
  <si>
    <t>Доходы от реализаци товаров (ТМЦ)</t>
  </si>
  <si>
    <t>9020.6</t>
  </si>
  <si>
    <t>Доходы от реализаци товаров (экспорт)</t>
  </si>
  <si>
    <t>Доходы от выполнения работ и оказания услуг</t>
  </si>
  <si>
    <t>9030.1</t>
  </si>
  <si>
    <t>Доходы от возмещение затрат за транспортные услуги</t>
  </si>
  <si>
    <t>9030.4</t>
  </si>
  <si>
    <t>Доходы от вознаграждение для возмещения административных расходов</t>
  </si>
  <si>
    <t>9030.5</t>
  </si>
  <si>
    <t>Доходы от возмещение затрат за ЖД услуги</t>
  </si>
  <si>
    <t>9030.2</t>
  </si>
  <si>
    <t>Доходы от реализаци работ и услуг, облагаемых ЕНП</t>
  </si>
  <si>
    <t>Скидки, предоставленные покупателям и заказчикам</t>
  </si>
  <si>
    <t>9050.1</t>
  </si>
  <si>
    <t>Скидки,предоставленные покупателям, не облагаемые ЕНП</t>
  </si>
  <si>
    <t>9050.2</t>
  </si>
  <si>
    <t>Скидки предоставленные покупателям, облагаемые ЕНП</t>
  </si>
  <si>
    <t>Себестоимость реализованной готовой продукции</t>
  </si>
  <si>
    <t>9110.1</t>
  </si>
  <si>
    <t>Себестоимость реализованной готовой продукции (продажа сырья)</t>
  </si>
  <si>
    <t>9110.4</t>
  </si>
  <si>
    <t>Себестоимость реализованной готовой продукции (продажа через биржы)</t>
  </si>
  <si>
    <t>9110.5</t>
  </si>
  <si>
    <t>Себестоимость реализованной готовой продукции (прямые продажи)</t>
  </si>
  <si>
    <t>9110.6</t>
  </si>
  <si>
    <t>Себестоимость реализованной готовой продукции (экспорт)</t>
  </si>
  <si>
    <t>Себестоимость реализованных товаров</t>
  </si>
  <si>
    <t>9120.1</t>
  </si>
  <si>
    <t>9120.3</t>
  </si>
  <si>
    <t>Себестоимость реализованных товаров (ТМЦ)</t>
  </si>
  <si>
    <t>9120.6</t>
  </si>
  <si>
    <t>Себестоимость реализованных товаров (экспорт)</t>
  </si>
  <si>
    <t>Взысканные пени, штрафы и неустойки</t>
  </si>
  <si>
    <t>Доходы от списания кредиторской и депонентской задолженности</t>
  </si>
  <si>
    <t>Прочие операционные доходы</t>
  </si>
  <si>
    <t>Расходы по реализации</t>
  </si>
  <si>
    <t>9410.1</t>
  </si>
  <si>
    <t>Расходы по реализации (Основная деятельность)</t>
  </si>
  <si>
    <t>9410.2</t>
  </si>
  <si>
    <t>9410.4</t>
  </si>
  <si>
    <t>Расходы по реализации (Добыча)</t>
  </si>
  <si>
    <t>9410.5</t>
  </si>
  <si>
    <t>Расходы по реализации (ТЗК)</t>
  </si>
  <si>
    <t>9410.6</t>
  </si>
  <si>
    <t>Расходы по реализации (терминал Мараканд)</t>
  </si>
  <si>
    <t>Административные расходы</t>
  </si>
  <si>
    <t>9420.1</t>
  </si>
  <si>
    <t>Административные расходы (Основная деятельность)</t>
  </si>
  <si>
    <t>9420.2</t>
  </si>
  <si>
    <t>Административные расходы (АЗС)</t>
  </si>
  <si>
    <t>9420.3</t>
  </si>
  <si>
    <t>Административные расходы (ТЗК)</t>
  </si>
  <si>
    <t>9420.4</t>
  </si>
  <si>
    <t>Административные расходы (НП)</t>
  </si>
  <si>
    <t>Административные расходы (ТПП Устюрт)</t>
  </si>
  <si>
    <t>Административные расходы (УТКРС)</t>
  </si>
  <si>
    <t>Прочие операционные расходы</t>
  </si>
  <si>
    <t>9430.1</t>
  </si>
  <si>
    <t>Прочие операционные расходы (Основная деятельность)</t>
  </si>
  <si>
    <t>9430.2</t>
  </si>
  <si>
    <t>Прочие операционные расходы (АЗС)</t>
  </si>
  <si>
    <t>9430.4</t>
  </si>
  <si>
    <t>Прочие операционные расходы (Добыча)</t>
  </si>
  <si>
    <t>Доходы в виде дивидендов</t>
  </si>
  <si>
    <t>Доходы в виде процентов</t>
  </si>
  <si>
    <t>Доходы от валютных курсовых разниц</t>
  </si>
  <si>
    <t>Расходы в виде процентов</t>
  </si>
  <si>
    <t>9610.1</t>
  </si>
  <si>
    <t>Расходы в виде процентов по краткосрочным договорам</t>
  </si>
  <si>
    <t>Убытки от валютных курсовых разниц</t>
  </si>
  <si>
    <t>Расходы по налогу на прибыль (ЕНП при УСН)</t>
  </si>
  <si>
    <t>12 205 240 047 883,55</t>
  </si>
  <si>
    <t>9900.1</t>
  </si>
  <si>
    <t>Прибыли и убытки по деятельности, не облагаемой ЕНП</t>
  </si>
  <si>
    <t>Column1</t>
  </si>
  <si>
    <t>Column3</t>
  </si>
  <si>
    <t>Column5</t>
  </si>
  <si>
    <t>Дебет_1</t>
  </si>
  <si>
    <t>Кредит_2</t>
  </si>
  <si>
    <t>Дебет_3</t>
  </si>
  <si>
    <t>Кредит_4</t>
  </si>
  <si>
    <t>Custom</t>
  </si>
  <si>
    <t>Parent</t>
  </si>
  <si>
    <t>2010</t>
  </si>
  <si>
    <t>2310</t>
  </si>
  <si>
    <t>4310</t>
  </si>
  <si>
    <t>4315</t>
  </si>
  <si>
    <t>4520</t>
  </si>
  <si>
    <t>4530</t>
  </si>
  <si>
    <t>4890</t>
  </si>
  <si>
    <t>5210</t>
  </si>
  <si>
    <t>5530</t>
  </si>
  <si>
    <t>6010</t>
  </si>
  <si>
    <t>6015</t>
  </si>
  <si>
    <t>6520</t>
  </si>
  <si>
    <t>6710</t>
  </si>
  <si>
    <t>6990</t>
  </si>
  <si>
    <t>9010</t>
  </si>
  <si>
    <t>9020</t>
  </si>
  <si>
    <t>9030</t>
  </si>
  <si>
    <t>9050</t>
  </si>
  <si>
    <t>9110</t>
  </si>
  <si>
    <t>9120</t>
  </si>
  <si>
    <t>9410</t>
  </si>
  <si>
    <t>9420</t>
  </si>
  <si>
    <t>9430</t>
  </si>
  <si>
    <t>9610</t>
  </si>
  <si>
    <t>2020</t>
  </si>
  <si>
    <t>2021</t>
  </si>
  <si>
    <t>2030</t>
  </si>
  <si>
    <t>2510</t>
  </si>
  <si>
    <t>4471</t>
  </si>
  <si>
    <t>4840</t>
  </si>
  <si>
    <t>4865</t>
  </si>
  <si>
    <t>5610</t>
  </si>
  <si>
    <t>5715</t>
  </si>
  <si>
    <t>6450</t>
  </si>
  <si>
    <t>6470</t>
  </si>
  <si>
    <t>6965</t>
  </si>
  <si>
    <t>6975</t>
  </si>
  <si>
    <t>9330</t>
  </si>
  <si>
    <t>9360</t>
  </si>
  <si>
    <t>9390</t>
  </si>
  <si>
    <t>9391</t>
  </si>
  <si>
    <t>9425</t>
  </si>
  <si>
    <t>9427</t>
  </si>
  <si>
    <t>9520</t>
  </si>
  <si>
    <t>9530</t>
  </si>
  <si>
    <t>9540</t>
  </si>
  <si>
    <t>9620</t>
  </si>
  <si>
    <t>9810</t>
  </si>
  <si>
    <t>1080</t>
  </si>
  <si>
    <t>3290</t>
  </si>
  <si>
    <t>4015</t>
  </si>
  <si>
    <t>4410</t>
  </si>
  <si>
    <t>4420</t>
  </si>
  <si>
    <t>4490</t>
  </si>
  <si>
    <t>4895</t>
  </si>
  <si>
    <t>5535</t>
  </si>
  <si>
    <t>5542</t>
  </si>
  <si>
    <t>5620</t>
  </si>
  <si>
    <t>1010</t>
  </si>
  <si>
    <t>1020</t>
  </si>
  <si>
    <t>1021</t>
  </si>
  <si>
    <t>1030</t>
  </si>
  <si>
    <t>1040</t>
  </si>
  <si>
    <t>1050</t>
  </si>
  <si>
    <t>1060</t>
  </si>
  <si>
    <t>1070</t>
  </si>
  <si>
    <t>1071</t>
  </si>
  <si>
    <t>1090</t>
  </si>
  <si>
    <t>1510</t>
  </si>
  <si>
    <t>1511</t>
  </si>
  <si>
    <t>2110</t>
  </si>
  <si>
    <t>2111</t>
  </si>
  <si>
    <t>2112</t>
  </si>
  <si>
    <t>2810</t>
  </si>
  <si>
    <t>2820</t>
  </si>
  <si>
    <t>2830</t>
  </si>
  <si>
    <t>2910</t>
  </si>
  <si>
    <t>3120</t>
  </si>
  <si>
    <t>3250</t>
  </si>
  <si>
    <t>3291</t>
  </si>
  <si>
    <t>4010</t>
  </si>
  <si>
    <t>4210</t>
  </si>
  <si>
    <t>4220</t>
  </si>
  <si>
    <t>4430</t>
  </si>
  <si>
    <t>4440</t>
  </si>
  <si>
    <t>4450</t>
  </si>
  <si>
    <t>4470</t>
  </si>
  <si>
    <t>4480</t>
  </si>
  <si>
    <t>4790</t>
  </si>
  <si>
    <t>4830</t>
  </si>
  <si>
    <t>4860</t>
  </si>
  <si>
    <t>5540</t>
  </si>
  <si>
    <t>5541</t>
  </si>
  <si>
    <t>5830</t>
  </si>
  <si>
    <t>5910</t>
  </si>
  <si>
    <t>6410</t>
  </si>
  <si>
    <t>6430</t>
  </si>
  <si>
    <t>6440</t>
  </si>
  <si>
    <t>6480</t>
  </si>
  <si>
    <t>6481</t>
  </si>
  <si>
    <t>6230</t>
  </si>
  <si>
    <t>6240</t>
  </si>
  <si>
    <t>6290</t>
  </si>
  <si>
    <t>6291</t>
  </si>
  <si>
    <t>6310</t>
  </si>
  <si>
    <t>6420</t>
  </si>
  <si>
    <t>6471</t>
  </si>
  <si>
    <t>6490</t>
  </si>
  <si>
    <t>6530</t>
  </si>
  <si>
    <t>6560</t>
  </si>
  <si>
    <t>6630</t>
  </si>
  <si>
    <t>6815</t>
  </si>
  <si>
    <t>6820</t>
  </si>
  <si>
    <t>6825</t>
  </si>
  <si>
    <t>6910</t>
  </si>
  <si>
    <t>6925</t>
  </si>
  <si>
    <t>6970</t>
  </si>
  <si>
    <t>6980</t>
  </si>
  <si>
    <t>6995</t>
  </si>
  <si>
    <t>7815</t>
  </si>
  <si>
    <t>8330</t>
  </si>
  <si>
    <t>8510</t>
  </si>
  <si>
    <t>8710</t>
  </si>
  <si>
    <t>2,55657E+11</t>
  </si>
  <si>
    <t>4,9917E+11</t>
  </si>
  <si>
    <t>3,06953E+11</t>
  </si>
  <si>
    <t>8589310248</t>
  </si>
  <si>
    <t>2924884464</t>
  </si>
  <si>
    <t>1792981275</t>
  </si>
  <si>
    <t>2947371986</t>
  </si>
  <si>
    <t>1632849175</t>
  </si>
  <si>
    <t>961511286</t>
  </si>
  <si>
    <t>954612778</t>
  </si>
  <si>
    <t>1318331099</t>
  </si>
  <si>
    <t>1629235500</t>
  </si>
  <si>
    <t>5447231842</t>
  </si>
  <si>
    <t>1210000000</t>
  </si>
  <si>
    <t>948599,97</t>
  </si>
  <si>
    <t>248768</t>
  </si>
  <si>
    <t>10066555180</t>
  </si>
  <si>
    <t>25006761,1</t>
  </si>
  <si>
    <t>1242546393</t>
  </si>
  <si>
    <t>1,12052E+12</t>
  </si>
  <si>
    <t>1,17316E+11</t>
  </si>
  <si>
    <t>20164181111</t>
  </si>
  <si>
    <t>3381300</t>
  </si>
  <si>
    <t>2,13523E+11</t>
  </si>
  <si>
    <t>1456000</t>
  </si>
  <si>
    <t>34184119,28</t>
  </si>
  <si>
    <t>65851302,71</t>
  </si>
  <si>
    <t>799255009,3</t>
  </si>
  <si>
    <t>3828500</t>
  </si>
  <si>
    <t>1746434387</t>
  </si>
  <si>
    <t>3772944032</t>
  </si>
  <si>
    <t>1,00754E+11</t>
  </si>
  <si>
    <t>1,30061E+12</t>
  </si>
  <si>
    <t>6,99288E+12</t>
  </si>
  <si>
    <t>20418409466</t>
  </si>
  <si>
    <t>2,28968E+12</t>
  </si>
  <si>
    <t>623763711,1</t>
  </si>
  <si>
    <t>6,66331E+11</t>
  </si>
  <si>
    <t>6135962183</t>
  </si>
  <si>
    <t>2640000000</t>
  </si>
  <si>
    <t>12258373038</t>
  </si>
  <si>
    <t>16519365250</t>
  </si>
  <si>
    <t>0,01</t>
  </si>
  <si>
    <t>0,02</t>
  </si>
  <si>
    <t>73673700764</t>
  </si>
  <si>
    <t>6,19023E+11</t>
  </si>
  <si>
    <t>3,70928E+12</t>
  </si>
  <si>
    <t>8927312106</t>
  </si>
  <si>
    <t>1,15144E+12</t>
  </si>
  <si>
    <t>3,19141E+11</t>
  </si>
  <si>
    <t>252717775,9</t>
  </si>
  <si>
    <t>4,40243E+11</t>
  </si>
  <si>
    <t>7218172682</t>
  </si>
  <si>
    <t>23591446257</t>
  </si>
  <si>
    <t>47268598870</t>
  </si>
  <si>
    <t>2199939080</t>
  </si>
  <si>
    <t>62805325,29</t>
  </si>
  <si>
    <t>1,36836E+11</t>
  </si>
  <si>
    <t>2394792,3</t>
  </si>
  <si>
    <t>3309758880</t>
  </si>
  <si>
    <t>359102536,3</t>
  </si>
  <si>
    <t>59541191824</t>
  </si>
  <si>
    <t>5,69642E+11</t>
  </si>
  <si>
    <t>291471532,9</t>
  </si>
  <si>
    <t>301549871,2</t>
  </si>
  <si>
    <t>67675244288</t>
  </si>
  <si>
    <t>2566162056</t>
  </si>
  <si>
    <t>1,07509E+12</t>
  </si>
  <si>
    <t>3,67181E+12</t>
  </si>
  <si>
    <t>2,87151E+11</t>
  </si>
  <si>
    <t>3,96844E+12</t>
  </si>
  <si>
    <t>9443911824</t>
  </si>
  <si>
    <t>175200000</t>
  </si>
  <si>
    <t>344508241,1</t>
  </si>
  <si>
    <t>5455694858</t>
  </si>
  <si>
    <t>7661407599</t>
  </si>
  <si>
    <t>3,22136E+12</t>
  </si>
  <si>
    <t>75636000</t>
  </si>
  <si>
    <t>12028496733</t>
  </si>
  <si>
    <t>1578028050</t>
  </si>
  <si>
    <t>4718232484</t>
  </si>
  <si>
    <t>330895406,1</t>
  </si>
  <si>
    <t>8,41466E+12</t>
  </si>
  <si>
    <t>2,95663E+12</t>
  </si>
  <si>
    <t>37553700470</t>
  </si>
  <si>
    <t>0,03</t>
  </si>
  <si>
    <t>4,41091E+12</t>
  </si>
  <si>
    <t>1,47121E+12</t>
  </si>
  <si>
    <t>1599637944</t>
  </si>
  <si>
    <t>19500000</t>
  </si>
  <si>
    <t>11995132431</t>
  </si>
  <si>
    <t>341974786</t>
  </si>
  <si>
    <t>5,20774E+11</t>
  </si>
  <si>
    <t>1,4057E+11</t>
  </si>
  <si>
    <t>86956,53</t>
  </si>
  <si>
    <t>2260364</t>
  </si>
  <si>
    <t>6,29777E+11</t>
  </si>
  <si>
    <t>113864342,5</t>
  </si>
  <si>
    <t>7,93473E+11</t>
  </si>
  <si>
    <t>8,15724E+11</t>
  </si>
  <si>
    <t>7,03606E+11</t>
  </si>
  <si>
    <t>13144000</t>
  </si>
  <si>
    <t>9667,83</t>
  </si>
  <si>
    <t>13153667,83</t>
  </si>
  <si>
    <t>1,3645E+11</t>
  </si>
  <si>
    <t>23414410039</t>
  </si>
  <si>
    <t>43241288280</t>
  </si>
  <si>
    <t>33136818993</t>
  </si>
  <si>
    <t>3,79573E+11</t>
  </si>
  <si>
    <t>4,12709E+11</t>
  </si>
  <si>
    <t>411830845,6</t>
  </si>
  <si>
    <t>16557608444</t>
  </si>
  <si>
    <t>16969439290</t>
  </si>
  <si>
    <t>475978,41</t>
  </si>
  <si>
    <t>2823867319</t>
  </si>
  <si>
    <t>2824343298</t>
  </si>
  <si>
    <t>2213059,5</t>
  </si>
  <si>
    <t>12311750</t>
  </si>
  <si>
    <t>1717460588</t>
  </si>
  <si>
    <t>1729772338</t>
  </si>
  <si>
    <t>7533479,6</t>
  </si>
  <si>
    <t>2243835742</t>
  </si>
  <si>
    <t>2251369222</t>
  </si>
  <si>
    <t>3,36508E+11</t>
  </si>
  <si>
    <t>7352598941</t>
  </si>
  <si>
    <t>3,43861E+11</t>
  </si>
  <si>
    <t>10,92</t>
  </si>
  <si>
    <t>5,10485E+12</t>
  </si>
  <si>
    <t>4,87116E+12</t>
  </si>
  <si>
    <t>13005192</t>
  </si>
  <si>
    <t>4,85138E+12</t>
  </si>
  <si>
    <t>4,85139E+12</t>
  </si>
  <si>
    <t>57439598</t>
  </si>
  <si>
    <t>3036240,4</t>
  </si>
  <si>
    <t>60475838,4</t>
  </si>
  <si>
    <t>743,79</t>
  </si>
  <si>
    <t>1,86009E+12</t>
  </si>
  <si>
    <t>4,12851E+11</t>
  </si>
  <si>
    <t>2,77472E+11</t>
  </si>
  <si>
    <t>6,90323E+11</t>
  </si>
  <si>
    <t>3,69853E+11</t>
  </si>
  <si>
    <t>2,63034E+11</t>
  </si>
  <si>
    <t>6,32886E+11</t>
  </si>
  <si>
    <t>20968981287</t>
  </si>
  <si>
    <t>1799783264</t>
  </si>
  <si>
    <t>22768764551</t>
  </si>
  <si>
    <t>21845335990</t>
  </si>
  <si>
    <t>12296830218</t>
  </si>
  <si>
    <t>34142166208</t>
  </si>
  <si>
    <t>184308913</t>
  </si>
  <si>
    <t>341713540,6</t>
  </si>
  <si>
    <t>526022453,6</t>
  </si>
  <si>
    <t>1,85444E+11</t>
  </si>
  <si>
    <t>95486397183</t>
  </si>
  <si>
    <t>2,80931E+11</t>
  </si>
  <si>
    <t>2805643500</t>
  </si>
  <si>
    <t>893969807,9</t>
  </si>
  <si>
    <t>3699613308</t>
  </si>
  <si>
    <t>2451842881</t>
  </si>
  <si>
    <t>2503376836</t>
  </si>
  <si>
    <t>4955219717</t>
  </si>
  <si>
    <t>1,80187E+11</t>
  </si>
  <si>
    <t>92042503620</t>
  </si>
  <si>
    <t>2,72229E+11</t>
  </si>
  <si>
    <t>46546918,18</t>
  </si>
  <si>
    <t>12000000</t>
  </si>
  <si>
    <t>1803220242</t>
  </si>
  <si>
    <t>228428698</t>
  </si>
  <si>
    <t>2013970,98</t>
  </si>
  <si>
    <t>2029634969</t>
  </si>
  <si>
    <t>58552750,52</t>
  </si>
  <si>
    <t>1282677979</t>
  </si>
  <si>
    <t>169875947,5</t>
  </si>
  <si>
    <t>1450539956</t>
  </si>
  <si>
    <t>520542262,3</t>
  </si>
  <si>
    <t>17235245016</t>
  </si>
  <si>
    <t>26935143095</t>
  </si>
  <si>
    <t>44170388111</t>
  </si>
  <si>
    <t>152215391,3</t>
  </si>
  <si>
    <t>6101206717</t>
  </si>
  <si>
    <t>19760891269</t>
  </si>
  <si>
    <t>25862097986</t>
  </si>
  <si>
    <t>11134038299</t>
  </si>
  <si>
    <t>7022036435</t>
  </si>
  <si>
    <t>18156074734</t>
  </si>
  <si>
    <t>16608695,65</t>
  </si>
  <si>
    <t>2404599735</t>
  </si>
  <si>
    <t>71135288</t>
  </si>
  <si>
    <t>2475735023</t>
  </si>
  <si>
    <t>1241520</t>
  </si>
  <si>
    <t>100174052,3</t>
  </si>
  <si>
    <t>2495026768</t>
  </si>
  <si>
    <t>2595200821</t>
  </si>
  <si>
    <t>1722400</t>
  </si>
  <si>
    <t>2432760</t>
  </si>
  <si>
    <t>8,04508E+11</t>
  </si>
  <si>
    <t>8,04511E+11</t>
  </si>
  <si>
    <t>596678145</t>
  </si>
  <si>
    <t>20925546888</t>
  </si>
  <si>
    <t>1,24581E+11</t>
  </si>
  <si>
    <t>1,06184E+11</t>
  </si>
  <si>
    <t>39322270984</t>
  </si>
  <si>
    <t>97847913904</t>
  </si>
  <si>
    <t>7,65648E+11</t>
  </si>
  <si>
    <t>6,37623E+11</t>
  </si>
  <si>
    <t>2,25873E+11</t>
  </si>
  <si>
    <t>6,80523E+11</t>
  </si>
  <si>
    <t>2,4875E+12</t>
  </si>
  <si>
    <t>3,11188E+11</t>
  </si>
  <si>
    <t>2,85684E+12</t>
  </si>
  <si>
    <t>58565731356</t>
  </si>
  <si>
    <t>1,05042E+12</t>
  </si>
  <si>
    <t>43402473447</t>
  </si>
  <si>
    <t>1,06559E+12</t>
  </si>
  <si>
    <t>5,91527E+11</t>
  </si>
  <si>
    <t>1,24915E+12</t>
  </si>
  <si>
    <t>2,6766E+11</t>
  </si>
  <si>
    <t>1,57301E+12</t>
  </si>
  <si>
    <t>1049208073</t>
  </si>
  <si>
    <t>63329810867</t>
  </si>
  <si>
    <t>15747560,75</t>
  </si>
  <si>
    <t>64363271380</t>
  </si>
  <si>
    <t>11683059993</t>
  </si>
  <si>
    <t>29380350191</t>
  </si>
  <si>
    <t>1,1292E+11</t>
  </si>
  <si>
    <t>109591050,4</t>
  </si>
  <si>
    <t>1,42191E+11</t>
  </si>
  <si>
    <t>20472475564</t>
  </si>
  <si>
    <t>3,5287E+11</t>
  </si>
  <si>
    <t>2,7209E+11</t>
  </si>
  <si>
    <t>1,01252E+11</t>
  </si>
  <si>
    <t>34400000</t>
  </si>
  <si>
    <t>18742625525</t>
  </si>
  <si>
    <t>1,71393E+12</t>
  </si>
  <si>
    <t>1,72901E+12</t>
  </si>
  <si>
    <t>3667747581</t>
  </si>
  <si>
    <t>913043,48</t>
  </si>
  <si>
    <t>18310408778</t>
  </si>
  <si>
    <t>1,70896E+12</t>
  </si>
  <si>
    <t>1,72495E+12</t>
  </si>
  <si>
    <t>2326389907</t>
  </si>
  <si>
    <t>431303703,6</t>
  </si>
  <si>
    <t>4970075414</t>
  </si>
  <si>
    <t>4060934487</t>
  </si>
  <si>
    <t>1340444630</t>
  </si>
  <si>
    <t>85913799007</t>
  </si>
  <si>
    <t>2,11256E+11</t>
  </si>
  <si>
    <t>2,18706E+11</t>
  </si>
  <si>
    <t>78464430677</t>
  </si>
  <si>
    <t>552105789,7</t>
  </si>
  <si>
    <t>51811188078</t>
  </si>
  <si>
    <t>24177859095</t>
  </si>
  <si>
    <t>28185434773</t>
  </si>
  <si>
    <t>1814758104</t>
  </si>
  <si>
    <t>15121816717</t>
  </si>
  <si>
    <t>13386722576</t>
  </si>
  <si>
    <t>3549852246</t>
  </si>
  <si>
    <t>1798365725</t>
  </si>
  <si>
    <t>9317203340</t>
  </si>
  <si>
    <t>7702958314</t>
  </si>
  <si>
    <t>3412610751</t>
  </si>
  <si>
    <t>19788035044</t>
  </si>
  <si>
    <t>8,24695E+11</t>
  </si>
  <si>
    <t>5,56284E+11</t>
  </si>
  <si>
    <t>2,882E+11</t>
  </si>
  <si>
    <t>25942783771</t>
  </si>
  <si>
    <t>32622014893</t>
  </si>
  <si>
    <t>13108803922</t>
  </si>
  <si>
    <t>29831842677</t>
  </si>
  <si>
    <t>17657868677</t>
  </si>
  <si>
    <t>12173974000</t>
  </si>
  <si>
    <t>7,6892E+11</t>
  </si>
  <si>
    <t>5,06004E+11</t>
  </si>
  <si>
    <t>2,62917E+11</t>
  </si>
  <si>
    <t>5083478,27</t>
  </si>
  <si>
    <t>78090278,12</t>
  </si>
  <si>
    <t>45343711,08</t>
  </si>
  <si>
    <t>37830045,31</t>
  </si>
  <si>
    <t>1,1875E+11</t>
  </si>
  <si>
    <t>2,80975E+12</t>
  </si>
  <si>
    <t>2,87703E+12</t>
  </si>
  <si>
    <t>51465955115</t>
  </si>
  <si>
    <t>33744012312</t>
  </si>
  <si>
    <t>2,38818E+11</t>
  </si>
  <si>
    <t>2,46313E+11</t>
  </si>
  <si>
    <t>26249830843</t>
  </si>
  <si>
    <t>33689218860</t>
  </si>
  <si>
    <t>71442663274</t>
  </si>
  <si>
    <t>76581500497</t>
  </si>
  <si>
    <t>28550381637</t>
  </si>
  <si>
    <t>87665113,05</t>
  </si>
  <si>
    <t>8764565,22</t>
  </si>
  <si>
    <t>68781078,27</t>
  </si>
  <si>
    <t>27648600</t>
  </si>
  <si>
    <t>637698110</t>
  </si>
  <si>
    <t>694729910,8</t>
  </si>
  <si>
    <t>1327906282</t>
  </si>
  <si>
    <t>4521739,13</t>
  </si>
  <si>
    <t>8800039092</t>
  </si>
  <si>
    <t>6850864777</t>
  </si>
  <si>
    <t>11163492365</t>
  </si>
  <si>
    <t>4487411503</t>
  </si>
  <si>
    <t>24150672545</t>
  </si>
  <si>
    <t>63888294354</t>
  </si>
  <si>
    <t>64008167104</t>
  </si>
  <si>
    <t>24030799795</t>
  </si>
  <si>
    <t>1254328877</t>
  </si>
  <si>
    <t>14438279177</t>
  </si>
  <si>
    <t>11725319884</t>
  </si>
  <si>
    <t>3967288170</t>
  </si>
  <si>
    <t>1602317693</t>
  </si>
  <si>
    <t>37839425454</t>
  </si>
  <si>
    <t>17757155621</t>
  </si>
  <si>
    <t>21684587526</t>
  </si>
  <si>
    <t>2228427945</t>
  </si>
  <si>
    <t>2221187654</t>
  </si>
  <si>
    <t>7240290,21</t>
  </si>
  <si>
    <t>1,58376E+11</t>
  </si>
  <si>
    <t>3,88637E+12</t>
  </si>
  <si>
    <t>3,75423E+12</t>
  </si>
  <si>
    <t>2,90512E+11</t>
  </si>
  <si>
    <t>1544035573</t>
  </si>
  <si>
    <t>6178519542</t>
  </si>
  <si>
    <t>6271620810</t>
  </si>
  <si>
    <t>1450934304</t>
  </si>
  <si>
    <t>99389621071</t>
  </si>
  <si>
    <t>6,76675E+12</t>
  </si>
  <si>
    <t>6,67944E+12</t>
  </si>
  <si>
    <t>1,86701E+11</t>
  </si>
  <si>
    <t>44571496992</t>
  </si>
  <si>
    <t>1,06555E+12</t>
  </si>
  <si>
    <t>1,09731E+12</t>
  </si>
  <si>
    <t>12811546852</t>
  </si>
  <si>
    <t>54818124079</t>
  </si>
  <si>
    <t>5,7012E+12</t>
  </si>
  <si>
    <t>5,58213E+12</t>
  </si>
  <si>
    <t>1,73889E+11</t>
  </si>
  <si>
    <t>3086710217</t>
  </si>
  <si>
    <t>2359550222</t>
  </si>
  <si>
    <t>727159994,2</t>
  </si>
  <si>
    <t>1,60578E+12</t>
  </si>
  <si>
    <t>1,55299E+12</t>
  </si>
  <si>
    <t>52797528983</t>
  </si>
  <si>
    <t>2,90583E+11</t>
  </si>
  <si>
    <t>1,99619E+12</t>
  </si>
  <si>
    <t>1,59125E+12</t>
  </si>
  <si>
    <t>6,95517E+11</t>
  </si>
  <si>
    <t>91713024,7</t>
  </si>
  <si>
    <t>23083200</t>
  </si>
  <si>
    <t>19601291,94</t>
  </si>
  <si>
    <t>95194932,76</t>
  </si>
  <si>
    <t>26259241662</t>
  </si>
  <si>
    <t>53832984524</t>
  </si>
  <si>
    <t>57618629751</t>
  </si>
  <si>
    <t>22473596436</t>
  </si>
  <si>
    <t>13307175987</t>
  </si>
  <si>
    <t>8,08665E+11</t>
  </si>
  <si>
    <t>7,01171E+12</t>
  </si>
  <si>
    <t>7,03733E+12</t>
  </si>
  <si>
    <t>7,83047E+11</t>
  </si>
  <si>
    <t>9103040182</t>
  </si>
  <si>
    <t>1,09223E+12</t>
  </si>
  <si>
    <t>1,09423E+12</t>
  </si>
  <si>
    <t>7097268684</t>
  </si>
  <si>
    <t>7,99562E+11</t>
  </si>
  <si>
    <t>5,91948E+12</t>
  </si>
  <si>
    <t>5,94309E+12</t>
  </si>
  <si>
    <t>7,75949E+11</t>
  </si>
  <si>
    <t>27342682021</t>
  </si>
  <si>
    <t>5,64798E+12</t>
  </si>
  <si>
    <t>5,51156E+12</t>
  </si>
  <si>
    <t>1,63769E+11</t>
  </si>
  <si>
    <t>3928271982</t>
  </si>
  <si>
    <t>5,48814E+12</t>
  </si>
  <si>
    <t>338843574</t>
  </si>
  <si>
    <t>157819893</t>
  </si>
  <si>
    <t>388096562,5</t>
  </si>
  <si>
    <t>108566904,5</t>
  </si>
  <si>
    <t>179681989,6</t>
  </si>
  <si>
    <t>147825221,2</t>
  </si>
  <si>
    <t>31856768,36</t>
  </si>
  <si>
    <t>159161584,4</t>
  </si>
  <si>
    <t>240271341,3</t>
  </si>
  <si>
    <t>76710136,14</t>
  </si>
  <si>
    <t>31245592,27</t>
  </si>
  <si>
    <t>2563045275</t>
  </si>
  <si>
    <t>2577112138</t>
  </si>
  <si>
    <t>17178728,88</t>
  </si>
  <si>
    <t>87689454762</t>
  </si>
  <si>
    <t>3,11897E+12</t>
  </si>
  <si>
    <t>3,04493E+12</t>
  </si>
  <si>
    <t>1,61727E+11</t>
  </si>
  <si>
    <t>3,11231E+12</t>
  </si>
  <si>
    <t>3,03827E+12</t>
  </si>
  <si>
    <t>3,53178E+11</t>
  </si>
  <si>
    <t>6,15514E+12</t>
  </si>
  <si>
    <t>3,1833E+12</t>
  </si>
  <si>
    <t>3,32502E+12</t>
  </si>
  <si>
    <t>9,33841E+11</t>
  </si>
  <si>
    <t>9,38467E+11</t>
  </si>
  <si>
    <t>28511225174</t>
  </si>
  <si>
    <t>6632717115</t>
  </si>
  <si>
    <t>6626232136</t>
  </si>
  <si>
    <t>6484979,09</t>
  </si>
  <si>
    <t>2,51936E+11</t>
  </si>
  <si>
    <t>2,51716E+11</t>
  </si>
  <si>
    <t>219049503,7</t>
  </si>
  <si>
    <t>2,52459E+11</t>
  </si>
  <si>
    <t>2,24173E+11</t>
  </si>
  <si>
    <t>28285690692</t>
  </si>
  <si>
    <t>16558088444</t>
  </si>
  <si>
    <t>480000</t>
  </si>
  <si>
    <t>30295139796</t>
  </si>
  <si>
    <t>13755108099</t>
  </si>
  <si>
    <t>16540031697</t>
  </si>
  <si>
    <t>1097565519</t>
  </si>
  <si>
    <t>-95393858,3</t>
  </si>
  <si>
    <t>1192959378</t>
  </si>
  <si>
    <t>11224183082</t>
  </si>
  <si>
    <t>5543995181</t>
  </si>
  <si>
    <t>28496733</t>
  </si>
  <si>
    <t>16739681530</t>
  </si>
  <si>
    <t>82668535,03</t>
  </si>
  <si>
    <t>1581773775</t>
  </si>
  <si>
    <t>1415752629</t>
  </si>
  <si>
    <t>248689681</t>
  </si>
  <si>
    <t>11087679316</t>
  </si>
  <si>
    <t>11006057962</t>
  </si>
  <si>
    <t>81621354,52</t>
  </si>
  <si>
    <t>147515496,9</t>
  </si>
  <si>
    <t>531109044,9</t>
  </si>
  <si>
    <t>338241229</t>
  </si>
  <si>
    <t>340383312,8</t>
  </si>
  <si>
    <t>14789726,03</t>
  </si>
  <si>
    <t>99074616,44</t>
  </si>
  <si>
    <t>1034107405</t>
  </si>
  <si>
    <t>125912903,7</t>
  </si>
  <si>
    <t>630492,75</t>
  </si>
  <si>
    <t>1159389816</t>
  </si>
  <si>
    <t>267400628,9</t>
  </si>
  <si>
    <t>11624772741</t>
  </si>
  <si>
    <t>5254014312</t>
  </si>
  <si>
    <t>6638159058</t>
  </si>
  <si>
    <t>196633319,3</t>
  </si>
  <si>
    <t>17548718</t>
  </si>
  <si>
    <t>214182037,3</t>
  </si>
  <si>
    <t>24732000</t>
  </si>
  <si>
    <t>6400000000</t>
  </si>
  <si>
    <t>23977020,57</t>
  </si>
  <si>
    <t>3,51757E+11</t>
  </si>
  <si>
    <t>12121987582</t>
  </si>
  <si>
    <t>3,44867E+11</t>
  </si>
  <si>
    <t>19012539825</t>
  </si>
  <si>
    <t>15249447046</t>
  </si>
  <si>
    <t>4769388640</t>
  </si>
  <si>
    <t>1006295862</t>
  </si>
  <si>
    <t>5019099831</t>
  </si>
  <si>
    <t>7,77872E+12</t>
  </si>
  <si>
    <t>7,77204E+12</t>
  </si>
  <si>
    <t>11695940866</t>
  </si>
  <si>
    <t>40456910,6</t>
  </si>
  <si>
    <t>15178301,64</t>
  </si>
  <si>
    <t>54000</t>
  </si>
  <si>
    <t>55581212,24</t>
  </si>
  <si>
    <t>2844503,65</t>
  </si>
  <si>
    <t>1,03519E+11</t>
  </si>
  <si>
    <t>2434979,73</t>
  </si>
  <si>
    <t>1,89616E+12</t>
  </si>
  <si>
    <t>1,89551E+12</t>
  </si>
  <si>
    <t>656611400</t>
  </si>
  <si>
    <t>2,63785E+11</t>
  </si>
  <si>
    <t>2,63085E+11</t>
  </si>
  <si>
    <t>700000000</t>
  </si>
  <si>
    <t>291880942,9</t>
  </si>
  <si>
    <t>7,44311E+12</t>
  </si>
  <si>
    <t>7,4423E+12</t>
  </si>
  <si>
    <t>1096516067</t>
  </si>
  <si>
    <t>9158581,34</t>
  </si>
  <si>
    <t>93894,13</t>
  </si>
  <si>
    <t>8746543,99</t>
  </si>
  <si>
    <t>505931,48</t>
  </si>
  <si>
    <t>246848948,3</t>
  </si>
  <si>
    <t>1,09272E+12</t>
  </si>
  <si>
    <t>1,09227E+12</t>
  </si>
  <si>
    <t>696379268,9</t>
  </si>
  <si>
    <t>35873413,24</t>
  </si>
  <si>
    <t>5,11255E+12</t>
  </si>
  <si>
    <t>5,11219E+12</t>
  </si>
  <si>
    <t>399630866,2</t>
  </si>
  <si>
    <t>132463624,5</t>
  </si>
  <si>
    <t>4,85147E+12</t>
  </si>
  <si>
    <t>4,85146E+12</t>
  </si>
  <si>
    <t>145218836,8</t>
  </si>
  <si>
    <t>21397984,28</t>
  </si>
  <si>
    <t>1876202,85</t>
  </si>
  <si>
    <t>1110526,65</t>
  </si>
  <si>
    <t>22163660,48</t>
  </si>
  <si>
    <t>49122994,47</t>
  </si>
  <si>
    <t>5014182,55</t>
  </si>
  <si>
    <t>3256432,51</t>
  </si>
  <si>
    <t>50880744,51</t>
  </si>
  <si>
    <t>48937453,73</t>
  </si>
  <si>
    <t>85237541,04</t>
  </si>
  <si>
    <t>62000562,94</t>
  </si>
  <si>
    <t>72174431,83</t>
  </si>
  <si>
    <t>244940954,1</t>
  </si>
  <si>
    <t>8166797070</t>
  </si>
  <si>
    <t>7185955913</t>
  </si>
  <si>
    <t>1225782111</t>
  </si>
  <si>
    <t>1849390176</t>
  </si>
  <si>
    <t>39551274226</t>
  </si>
  <si>
    <t>40603276200</t>
  </si>
  <si>
    <t>797388201,6</t>
  </si>
  <si>
    <t>14046823316</t>
  </si>
  <si>
    <t>10186823316</t>
  </si>
  <si>
    <t>3860000000</t>
  </si>
  <si>
    <t>8190844,73</t>
  </si>
  <si>
    <t>68926849,67</t>
  </si>
  <si>
    <t>1789931024</t>
  </si>
  <si>
    <t>9,47435E+11</t>
  </si>
  <si>
    <t>9,45645E+11</t>
  </si>
  <si>
    <t>94978593171</t>
  </si>
  <si>
    <t>8,85731E+11</t>
  </si>
  <si>
    <t>7,90753E+11</t>
  </si>
  <si>
    <t>1908912800</t>
  </si>
  <si>
    <t>68424299158</t>
  </si>
  <si>
    <t>66515386358</t>
  </si>
  <si>
    <t>28618378645</t>
  </si>
  <si>
    <t>4,53367E+11</t>
  </si>
  <si>
    <t>4,24748E+11</t>
  </si>
  <si>
    <t>224273000</t>
  </si>
  <si>
    <t>605110,5</t>
  </si>
  <si>
    <t>3546364975</t>
  </si>
  <si>
    <t>3545759865</t>
  </si>
  <si>
    <t>7436123210</t>
  </si>
  <si>
    <t>52382896141</t>
  </si>
  <si>
    <t>59819019351</t>
  </si>
  <si>
    <t>104844906,5</t>
  </si>
  <si>
    <t>1055261607</t>
  </si>
  <si>
    <t>1160106513</t>
  </si>
  <si>
    <t>1419635971</t>
  </si>
  <si>
    <t>2522990366</t>
  </si>
  <si>
    <t>3942626337</t>
  </si>
  <si>
    <t>15359076,1</t>
  </si>
  <si>
    <t>50431647,2</t>
  </si>
  <si>
    <t>65790723,3</t>
  </si>
  <si>
    <t>5896283257</t>
  </si>
  <si>
    <t>48754212521</t>
  </si>
  <si>
    <t>54650495778</t>
  </si>
  <si>
    <t>14698595788</t>
  </si>
  <si>
    <t>42801397042</t>
  </si>
  <si>
    <t>57499992830</t>
  </si>
  <si>
    <t>156112373,9</t>
  </si>
  <si>
    <t>574007576</t>
  </si>
  <si>
    <t>730119950</t>
  </si>
  <si>
    <t>14262988108</t>
  </si>
  <si>
    <t>41567351605</t>
  </si>
  <si>
    <t>55830339713</t>
  </si>
  <si>
    <t>279495305,6</t>
  </si>
  <si>
    <t>659333102,8</t>
  </si>
  <si>
    <t>938828408,4</t>
  </si>
  <si>
    <t>704757,85</t>
  </si>
  <si>
    <t>3600000</t>
  </si>
  <si>
    <t>1800000</t>
  </si>
  <si>
    <t>5400000</t>
  </si>
  <si>
    <t>420782550,9</t>
  </si>
  <si>
    <t>785289323,8</t>
  </si>
  <si>
    <t>1206071875</t>
  </si>
  <si>
    <t>20093963,8</t>
  </si>
  <si>
    <t>293812414,1</t>
  </si>
  <si>
    <t>558708046</t>
  </si>
  <si>
    <t>852520460,1</t>
  </si>
  <si>
    <t>126970136,8</t>
  </si>
  <si>
    <t>206487314</t>
  </si>
  <si>
    <t>333457450,8</t>
  </si>
  <si>
    <t>4009563983</t>
  </si>
  <si>
    <t>6288374137</t>
  </si>
  <si>
    <t>10297938119</t>
  </si>
  <si>
    <t>20295385,52</t>
  </si>
  <si>
    <t>1299224687</t>
  </si>
  <si>
    <t>3401550566</t>
  </si>
  <si>
    <t>4700775253</t>
  </si>
  <si>
    <t>2710339295</t>
  </si>
  <si>
    <t>2866528185</t>
  </si>
  <si>
    <t>5576867480</t>
  </si>
  <si>
    <t>415217,4</t>
  </si>
  <si>
    <t>29405958,6</t>
  </si>
  <si>
    <t>97732135,44</t>
  </si>
  <si>
    <t>127138094</t>
  </si>
  <si>
    <t>403494</t>
  </si>
  <si>
    <t>124152</t>
  </si>
  <si>
    <t>527646</t>
  </si>
  <si>
    <t>1400283379</t>
  </si>
  <si>
    <t>1500457432</t>
  </si>
  <si>
    <t>2,5385E+11</t>
  </si>
  <si>
    <t>3,99797E+12</t>
  </si>
  <si>
    <t>4,76751E+12</t>
  </si>
  <si>
    <t>1,0234E+12</t>
  </si>
  <si>
    <t>3,99796E+12</t>
  </si>
  <si>
    <t>1,08123E+12</t>
  </si>
  <si>
    <t>5,63634E+12</t>
  </si>
  <si>
    <t>6,77564E+12</t>
  </si>
  <si>
    <t>2,22053E+12</t>
  </si>
  <si>
    <t>5,63631E+12</t>
  </si>
  <si>
    <t>6,7756E+12</t>
  </si>
  <si>
    <t>3,67982E+11</t>
  </si>
  <si>
    <t>3,60402E+11</t>
  </si>
  <si>
    <t>7579436984</t>
  </si>
  <si>
    <t>74041517605</t>
  </si>
  <si>
    <t>1,20597E+12</t>
  </si>
  <si>
    <t>1,13193E+12</t>
  </si>
  <si>
    <t>3,64924E+11</t>
  </si>
  <si>
    <t>1,98279E+11</t>
  </si>
  <si>
    <t>1,66644E+11</t>
  </si>
  <si>
    <t>1,18374E+11</t>
  </si>
  <si>
    <t>1,54538E+11</t>
  </si>
  <si>
    <t>36164087109</t>
  </si>
  <si>
    <t>1,25854E+11</t>
  </si>
  <si>
    <t>3,58154E+12</t>
  </si>
  <si>
    <t>3,57755E+12</t>
  </si>
  <si>
    <t>1,21862E+11</t>
  </si>
  <si>
    <t>2687789904</t>
  </si>
  <si>
    <t>38394135508</t>
  </si>
  <si>
    <t>38308861430</t>
  </si>
  <si>
    <t>2602515825</t>
  </si>
  <si>
    <t>1,23166E+11</t>
  </si>
  <si>
    <t>3,54314E+12</t>
  </si>
  <si>
    <t>3,53924E+12</t>
  </si>
  <si>
    <t>1,1926E+11</t>
  </si>
  <si>
    <t>13970214773</t>
  </si>
  <si>
    <t>7,27948E+11</t>
  </si>
  <si>
    <t>7,60455E+11</t>
  </si>
  <si>
    <t>46477636032</t>
  </si>
  <si>
    <t>38931932157</t>
  </si>
  <si>
    <t>41920407680</t>
  </si>
  <si>
    <t>2988475523</t>
  </si>
  <si>
    <t>38731624303</t>
  </si>
  <si>
    <t>41717035319</t>
  </si>
  <si>
    <t>2985411016</t>
  </si>
  <si>
    <t>200307854,6</t>
  </si>
  <si>
    <t>203372361,5</t>
  </si>
  <si>
    <t>3064506,9</t>
  </si>
  <si>
    <t>175399484,1</t>
  </si>
  <si>
    <t>358973937,1</t>
  </si>
  <si>
    <t>216026661</t>
  </si>
  <si>
    <t>32452207,97</t>
  </si>
  <si>
    <t>2824701649</t>
  </si>
  <si>
    <t>358351</t>
  </si>
  <si>
    <t>329397586,6</t>
  </si>
  <si>
    <t>35548356878</t>
  </si>
  <si>
    <t>39554994815</t>
  </si>
  <si>
    <t>4336035524</t>
  </si>
  <si>
    <t>35482505575</t>
  </si>
  <si>
    <t>39489143512</t>
  </si>
  <si>
    <t>24620729,55</t>
  </si>
  <si>
    <t>339446532,1</t>
  </si>
  <si>
    <t>334963620,9</t>
  </si>
  <si>
    <t>20137818,32</t>
  </si>
  <si>
    <t>124214701</t>
  </si>
  <si>
    <t>2037750968</t>
  </si>
  <si>
    <t>2090847488</t>
  </si>
  <si>
    <t>177311220,7</t>
  </si>
  <si>
    <t>3,05169E+11</t>
  </si>
  <si>
    <t>15019495371</t>
  </si>
  <si>
    <t>3,3887E+11</t>
  </si>
  <si>
    <t>3,50762E+11</t>
  </si>
  <si>
    <t>26911243560</t>
  </si>
  <si>
    <t>158200000</t>
  </si>
  <si>
    <t>300135000</t>
  </si>
  <si>
    <t>158900000</t>
  </si>
  <si>
    <t>16965000</t>
  </si>
  <si>
    <t>9286584,13</t>
  </si>
  <si>
    <t>3809118,13</t>
  </si>
  <si>
    <t>5477466</t>
  </si>
  <si>
    <t>21336380,21</t>
  </si>
  <si>
    <t>3372353,68</t>
  </si>
  <si>
    <t>21345326,53</t>
  </si>
  <si>
    <t>14830672406</t>
  </si>
  <si>
    <t>3,37763E+11</t>
  </si>
  <si>
    <t>3,498E+11</t>
  </si>
  <si>
    <t>26867455767</t>
  </si>
  <si>
    <t>4,27338E+11</t>
  </si>
  <si>
    <t>7,45924E+11</t>
  </si>
  <si>
    <t>1,66278E+12</t>
  </si>
  <si>
    <t>1,34419E+12</t>
  </si>
  <si>
    <t>1,03975E+11</t>
  </si>
  <si>
    <t>2,19876E+11</t>
  </si>
  <si>
    <t>1,57765E+11</t>
  </si>
  <si>
    <t>41864140000</t>
  </si>
  <si>
    <t>11324478258</t>
  </si>
  <si>
    <t>587725213,9</t>
  </si>
  <si>
    <t>992944852,5</t>
  </si>
  <si>
    <t>11729697897</t>
  </si>
  <si>
    <t>3,90211E+11</t>
  </si>
  <si>
    <t>5569000000</t>
  </si>
  <si>
    <t>3,84642E+11</t>
  </si>
  <si>
    <t>1830980177</t>
  </si>
  <si>
    <t>59276452468</t>
  </si>
  <si>
    <t>68561042583</t>
  </si>
  <si>
    <t>11115570291</t>
  </si>
  <si>
    <t>20550491,89</t>
  </si>
  <si>
    <t>2578552138</t>
  </si>
  <si>
    <t>2604997334</t>
  </si>
  <si>
    <t>46995687,88</t>
  </si>
  <si>
    <t>186428695,6</t>
  </si>
  <si>
    <t>1798624376</t>
  </si>
  <si>
    <t>1911803807</t>
  </si>
  <si>
    <t>299608125,9</t>
  </si>
  <si>
    <t>3363361,87</t>
  </si>
  <si>
    <t>118842492,8</t>
  </si>
  <si>
    <t>1429469308</t>
  </si>
  <si>
    <t>1590848427</t>
  </si>
  <si>
    <t>280221611,8</t>
  </si>
  <si>
    <t>64222840,89</t>
  </si>
  <si>
    <t>369155068,8</t>
  </si>
  <si>
    <t>320955380,1</t>
  </si>
  <si>
    <t>16023152,25</t>
  </si>
  <si>
    <t>213334715</t>
  </si>
  <si>
    <t>8,1082E+11</t>
  </si>
  <si>
    <t>8,42361E+11</t>
  </si>
  <si>
    <t>31754046488</t>
  </si>
  <si>
    <t>5341500</t>
  </si>
  <si>
    <t>8,01538E+11</t>
  </si>
  <si>
    <t>8,01684E+11</t>
  </si>
  <si>
    <t>146130000</t>
  </si>
  <si>
    <t>16096285,24</t>
  </si>
  <si>
    <t>31602574988</t>
  </si>
  <si>
    <t>303454,48</t>
  </si>
  <si>
    <t>3,89509E+11</t>
  </si>
  <si>
    <t>3,89536E+11</t>
  </si>
  <si>
    <t>27181665,61</t>
  </si>
  <si>
    <t>26867352,73</t>
  </si>
  <si>
    <t>15748,88</t>
  </si>
  <si>
    <t>26607,28</t>
  </si>
  <si>
    <t>314312,88</t>
  </si>
  <si>
    <t>65567843000</t>
  </si>
  <si>
    <t>24626973670</t>
  </si>
  <si>
    <t>7180093027</t>
  </si>
  <si>
    <t>48120962358</t>
  </si>
  <si>
    <t>27763189500</t>
  </si>
  <si>
    <t>673968427,6</t>
  </si>
  <si>
    <t>173867,1</t>
  </si>
  <si>
    <t>673794560,5</t>
  </si>
  <si>
    <t>7,49802E+11</t>
  </si>
  <si>
    <t>3,52003E+12</t>
  </si>
  <si>
    <t>4,26983E+12</t>
  </si>
  <si>
    <t>chck</t>
  </si>
  <si>
    <t>TRUE</t>
  </si>
  <si>
    <t>child</t>
  </si>
  <si>
    <t>Custom2</t>
  </si>
  <si>
    <t>0830</t>
  </si>
  <si>
    <t>0120</t>
  </si>
  <si>
    <t>0130</t>
  </si>
  <si>
    <t>0150</t>
  </si>
  <si>
    <t>0160</t>
  </si>
  <si>
    <t>0810</t>
  </si>
  <si>
    <t>0820</t>
  </si>
  <si>
    <t>0140</t>
  </si>
  <si>
    <t>0190</t>
  </si>
  <si>
    <t>0410</t>
  </si>
  <si>
    <t>0420</t>
  </si>
  <si>
    <t>0430</t>
  </si>
  <si>
    <t>0490</t>
  </si>
  <si>
    <t>0630</t>
  </si>
  <si>
    <t>0640</t>
  </si>
  <si>
    <t>0710</t>
  </si>
  <si>
    <t>0720</t>
  </si>
  <si>
    <t>0880</t>
  </si>
  <si>
    <t>0220</t>
  </si>
  <si>
    <t>0230</t>
  </si>
  <si>
    <t>0240</t>
  </si>
  <si>
    <t>0250</t>
  </si>
  <si>
    <t>0260</t>
  </si>
  <si>
    <t>0290</t>
  </si>
  <si>
    <t>0510</t>
  </si>
  <si>
    <t>0520</t>
  </si>
  <si>
    <t>0530</t>
  </si>
  <si>
    <t>FY</t>
  </si>
  <si>
    <t>JAN'23</t>
  </si>
  <si>
    <t>FEB'23</t>
  </si>
  <si>
    <t>MAR'23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</si>
  <si>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</si>
  <si>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</si>
  <si>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</si>
  <si>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</si>
  <si>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</si>
  <si>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</si>
  <si>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</si>
  <si>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</si>
  <si>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</si>
  <si>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</si>
  <si>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</si>
  <si>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</si>
  <si>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Month</t>
  </si>
  <si>
    <t>N</t>
  </si>
  <si>
    <t>Revenue</t>
  </si>
  <si>
    <t>Loss allowance</t>
  </si>
  <si>
    <t>FL</t>
  </si>
  <si>
    <t>Salary &amp; bonuses</t>
  </si>
  <si>
    <t>Office rent</t>
  </si>
  <si>
    <t>IT</t>
  </si>
  <si>
    <t>Other</t>
  </si>
  <si>
    <t>Total</t>
  </si>
  <si>
    <t>Tyres</t>
  </si>
  <si>
    <t>Depreciation</t>
  </si>
  <si>
    <t>Costs</t>
  </si>
  <si>
    <t>COGSOLRegistration</t>
  </si>
  <si>
    <t>COGSOLCar transfers</t>
  </si>
  <si>
    <t>COGSOLCar financing costs</t>
  </si>
  <si>
    <t>COGSOLParking</t>
  </si>
  <si>
    <t>Guarantee_OL</t>
  </si>
  <si>
    <t>COGSOLFin cost from borrowings</t>
  </si>
  <si>
    <t>COGSOLInsurance of cars</t>
  </si>
  <si>
    <t>COGSOLTire expenses</t>
  </si>
  <si>
    <t>COGSOLR&amp;M</t>
  </si>
  <si>
    <t>Bonus Provision</t>
  </si>
  <si>
    <t>COGSDROther direct</t>
  </si>
  <si>
    <t>Accident_autoinsurance_OL</t>
  </si>
  <si>
    <t>Add_equipment_autoinsurance_OL</t>
  </si>
  <si>
    <t>Marketing_OL</t>
  </si>
  <si>
    <t>Agent_OL</t>
  </si>
  <si>
    <t>RoadAssit_OL</t>
  </si>
  <si>
    <t>Evacuator_OL</t>
  </si>
  <si>
    <t>Replacement car_OL</t>
  </si>
  <si>
    <t>COGSOLFines to clients</t>
  </si>
  <si>
    <t>COGSOLRent for client</t>
  </si>
  <si>
    <t>COGSOLOther direct</t>
  </si>
  <si>
    <t>Vehicle tax_OL</t>
  </si>
  <si>
    <t>Driver set_OL</t>
  </si>
  <si>
    <t>Debts Collector’s services_OL</t>
  </si>
  <si>
    <t>COGSOLCar wash</t>
  </si>
  <si>
    <t>COGSOL_Tirefitting</t>
  </si>
  <si>
    <t>COGSOL_Tirestorages</t>
  </si>
  <si>
    <t>Business trip expenses OL</t>
  </si>
  <si>
    <t>COGSOLFuel - clients</t>
  </si>
  <si>
    <t>COGSOL_TransferFuel</t>
  </si>
  <si>
    <t>Service inform_OL</t>
  </si>
  <si>
    <t>COGSOL_Transfer Washes</t>
  </si>
  <si>
    <t>Refurbishment cost EOC_OL expenses</t>
  </si>
  <si>
    <t>BodyRepair_OL</t>
  </si>
  <si>
    <t>Early termination fee_OL</t>
  </si>
  <si>
    <t>COGSOLR&amp;Minsurance</t>
  </si>
  <si>
    <t>COGSOLDepreciation of cars</t>
  </si>
  <si>
    <t>COGSOLCarDR</t>
  </si>
  <si>
    <t>Refurbishment cost EOC_OL income</t>
  </si>
  <si>
    <t>SlsOLother revenue</t>
  </si>
  <si>
    <t>SlsSupportServicesOL</t>
  </si>
  <si>
    <t>Penalty for violation of the contract (OL)</t>
  </si>
  <si>
    <t>SlsOLFines to clients</t>
  </si>
  <si>
    <t>SlsOLRegistration services</t>
  </si>
  <si>
    <t>SlsOLEarly termination fee</t>
  </si>
  <si>
    <t>SlsOLGPS</t>
  </si>
  <si>
    <t>SlsOLExcess mileage</t>
  </si>
  <si>
    <t>SlsOLWaybill</t>
  </si>
  <si>
    <t>SlsOLcar with DR</t>
  </si>
  <si>
    <t>SlsOLTire services</t>
  </si>
  <si>
    <t>SlsOL</t>
  </si>
  <si>
    <t>Supplier bonus_OL</t>
  </si>
  <si>
    <t>Mapping</t>
  </si>
  <si>
    <t>StD</t>
  </si>
  <si>
    <t>EtD</t>
  </si>
  <si>
    <t>Actual Apr-Dec2022</t>
  </si>
  <si>
    <t>check</t>
  </si>
  <si>
    <t>CY</t>
  </si>
  <si>
    <t>OL fleet</t>
  </si>
  <si>
    <t>New deliveries</t>
  </si>
  <si>
    <t>OL_revenue</t>
  </si>
  <si>
    <t>OL_costs</t>
  </si>
  <si>
    <t>OL Loss allowance</t>
  </si>
  <si>
    <t>IFRS 15 Adjustment</t>
  </si>
  <si>
    <t>OL_grossprofit</t>
  </si>
  <si>
    <t>OL_operincome</t>
  </si>
  <si>
    <t>FL_revenue</t>
  </si>
  <si>
    <t>FL_costs</t>
  </si>
  <si>
    <t>FL_LossAllowance</t>
  </si>
  <si>
    <t>LA</t>
  </si>
  <si>
    <t>FL_grossprofit</t>
  </si>
  <si>
    <t>FL_operincome</t>
  </si>
  <si>
    <t>NIL new</t>
  </si>
  <si>
    <t>NIL curr</t>
  </si>
  <si>
    <t>Xirr avr new del</t>
  </si>
  <si>
    <t>Returns</t>
  </si>
  <si>
    <t>RM_revenue</t>
  </si>
  <si>
    <t>RM_costs</t>
  </si>
  <si>
    <t>RM_grossprofit</t>
  </si>
  <si>
    <t>RM_operincome</t>
  </si>
  <si>
    <t>Indirect</t>
  </si>
  <si>
    <t>Other income / (expenses)</t>
  </si>
  <si>
    <t>PBT</t>
  </si>
  <si>
    <t>Tax income / (expenses)</t>
  </si>
  <si>
    <t>PAT</t>
  </si>
  <si>
    <t>OutBalance Loans (principal + interest pay)</t>
  </si>
  <si>
    <t>incl</t>
  </si>
  <si>
    <t>Curr</t>
  </si>
  <si>
    <t>Non-curr</t>
  </si>
  <si>
    <t>APR'23</t>
  </si>
  <si>
    <t>MAY'23</t>
  </si>
  <si>
    <t>JUN'23</t>
  </si>
  <si>
    <t>JUL'23</t>
  </si>
  <si>
    <t>AUG'23</t>
  </si>
  <si>
    <t>SEP'23</t>
  </si>
  <si>
    <t>OCT'23</t>
  </si>
  <si>
    <t>NOV'23</t>
  </si>
  <si>
    <t>DEC'23</t>
  </si>
  <si>
    <t>JAN'24</t>
  </si>
  <si>
    <t>FEB'24</t>
  </si>
  <si>
    <t>MAR'24</t>
  </si>
  <si>
    <t>APR'24</t>
  </si>
  <si>
    <t>MAY'24</t>
  </si>
  <si>
    <t>JUN'24</t>
  </si>
  <si>
    <t>JUL'24</t>
  </si>
  <si>
    <t>AUG'24</t>
  </si>
  <si>
    <t>SEP'24</t>
  </si>
  <si>
    <t>OCT'24</t>
  </si>
  <si>
    <t>NOV'24</t>
  </si>
  <si>
    <t>DEC'24</t>
  </si>
  <si>
    <t>JAN'25</t>
  </si>
  <si>
    <t>FEB'25</t>
  </si>
  <si>
    <t>MAR'25</t>
  </si>
  <si>
    <t>APR'25</t>
  </si>
  <si>
    <t>MAY'25</t>
  </si>
  <si>
    <t>JUN'25</t>
  </si>
  <si>
    <t>JUL'25</t>
  </si>
  <si>
    <t>AUG'25</t>
  </si>
  <si>
    <t>SEP'25</t>
  </si>
  <si>
    <t>OCT'25</t>
  </si>
  <si>
    <t>NOV'25</t>
  </si>
  <si>
    <t>DEC'25</t>
  </si>
  <si>
    <t>JAN'26</t>
  </si>
  <si>
    <t>FEB'26</t>
  </si>
  <si>
    <t>MAR'26</t>
  </si>
  <si>
    <t>APR'26</t>
  </si>
  <si>
    <t>MAY'26</t>
  </si>
  <si>
    <t>JUN'26</t>
  </si>
  <si>
    <t>JUL'26</t>
  </si>
  <si>
    <t>AUG'26</t>
  </si>
  <si>
    <t>SEP'26</t>
  </si>
  <si>
    <t>OCT'26</t>
  </si>
  <si>
    <t>NOV'26</t>
  </si>
  <si>
    <t>DEC'26</t>
  </si>
  <si>
    <t>JAN'27</t>
  </si>
  <si>
    <t>FEB'27</t>
  </si>
  <si>
    <t>MAR'27</t>
  </si>
  <si>
    <t>FY2022</t>
  </si>
  <si>
    <t>FY2023</t>
  </si>
  <si>
    <t>FY2024</t>
  </si>
  <si>
    <t>FY2025</t>
  </si>
  <si>
    <t>FY2026</t>
  </si>
  <si>
    <t/>
  </si>
  <si>
    <t>Park delivered vehicles (from start till last of month)</t>
  </si>
  <si>
    <t>Product1</t>
  </si>
  <si>
    <t>Product2</t>
  </si>
  <si>
    <t>Product3</t>
  </si>
  <si>
    <t>Product4</t>
  </si>
  <si>
    <t>Product5</t>
  </si>
  <si>
    <t>New d</t>
  </si>
  <si>
    <t>OL fleet (new deliveries)</t>
  </si>
  <si>
    <t>OL_curr</t>
  </si>
  <si>
    <t>Revenue_curr</t>
  </si>
  <si>
    <t>Add serc</t>
  </si>
  <si>
    <t>Depreciation_curr</t>
  </si>
  <si>
    <t>IntExp</t>
  </si>
  <si>
    <t>IntExp_curr</t>
  </si>
  <si>
    <t>IntExp_curr MCF</t>
  </si>
  <si>
    <t>GurrExp</t>
  </si>
  <si>
    <t>New Deliveries</t>
  </si>
  <si>
    <t>GurrExp_Curr</t>
  </si>
  <si>
    <t>SMR_OL</t>
  </si>
  <si>
    <t>SMR_curr</t>
  </si>
  <si>
    <t>Kasko_OL</t>
  </si>
  <si>
    <t>Kasko_OL_curr</t>
  </si>
  <si>
    <t>x</t>
  </si>
  <si>
    <t>Tyrestor_OL</t>
  </si>
  <si>
    <t>Tyrestor_OL_curr</t>
  </si>
  <si>
    <t>Osago_OL</t>
  </si>
  <si>
    <t>Osago_OL_curr</t>
  </si>
  <si>
    <t>VehTax_OL</t>
  </si>
  <si>
    <t>VehTax_OL_curr</t>
  </si>
  <si>
    <t>Tyres Services</t>
  </si>
  <si>
    <t>Gross Profit</t>
  </si>
  <si>
    <t>DirectSalary</t>
  </si>
  <si>
    <t>IndirectSalary</t>
  </si>
  <si>
    <t>IndirectOther</t>
  </si>
  <si>
    <t>Operating profit</t>
  </si>
  <si>
    <t>Outstanding Loans New Deliveries</t>
  </si>
  <si>
    <t>CarrAmount New Deliveries</t>
  </si>
  <si>
    <t>z</t>
  </si>
  <si>
    <t>full amount</t>
  </si>
  <si>
    <t>Outstanding Loans New Deliveries (non - current)</t>
  </si>
  <si>
    <t>Outstanding Loans New Deliveries (current)</t>
  </si>
  <si>
    <t>RV</t>
  </si>
  <si>
    <t>Столбец1</t>
  </si>
  <si>
    <t>Returned vehicles from new deliveries</t>
  </si>
  <si>
    <t>Returned vehicles from current fleet</t>
  </si>
  <si>
    <t xml:space="preserve">Total </t>
  </si>
  <si>
    <t>Revenue from sales</t>
  </si>
  <si>
    <t>Carrying amount returned</t>
  </si>
  <si>
    <t>Revenue from sales_curr</t>
  </si>
  <si>
    <t>Carrying amount returned_curr</t>
  </si>
  <si>
    <t>Other costs</t>
  </si>
  <si>
    <t>Operating costs</t>
  </si>
  <si>
    <t>SlsRMCarsOwn</t>
  </si>
  <si>
    <t>SlsRMCommision</t>
  </si>
  <si>
    <t>COGSRMOwnCars</t>
  </si>
  <si>
    <t>COGSRMParking</t>
  </si>
  <si>
    <t>DSAGO_RM</t>
  </si>
  <si>
    <t>Accident_autoinsurance_RM</t>
  </si>
  <si>
    <t>COGSRMTire expenses</t>
  </si>
  <si>
    <t>Tire fitting_RM</t>
  </si>
  <si>
    <t>Pre-sale Costs_RM</t>
  </si>
  <si>
    <t>COGSRM_Tirefitting</t>
  </si>
  <si>
    <t>Marketing RM</t>
  </si>
  <si>
    <t>Bonus_RM</t>
  </si>
  <si>
    <t>COGSResale comission</t>
  </si>
  <si>
    <t>COGSRMR&amp;Minsurance</t>
  </si>
  <si>
    <t>COGSRMCar wash</t>
  </si>
  <si>
    <t>Car valuation_RM</t>
  </si>
  <si>
    <t>COGSRMCar transfers Agent</t>
  </si>
  <si>
    <t>COGSRMParkingAgent</t>
  </si>
  <si>
    <t>Office Rent_RM_DC</t>
  </si>
  <si>
    <t>COGSRMRegistration</t>
  </si>
  <si>
    <t>COGSRMOther direct</t>
  </si>
  <si>
    <t>COGSRMCar transfers</t>
  </si>
  <si>
    <t>COGSRMR&amp;M</t>
  </si>
  <si>
    <t>COGSRMInsurance of cars</t>
  </si>
  <si>
    <t>Salary</t>
  </si>
  <si>
    <t>SlsRMOther</t>
  </si>
  <si>
    <t>IntIncome</t>
  </si>
  <si>
    <t>IntIncome_curr</t>
  </si>
  <si>
    <t>IntExpenses</t>
  </si>
  <si>
    <t>Telemservices</t>
  </si>
  <si>
    <t>Insurance</t>
  </si>
  <si>
    <t>other costs</t>
  </si>
  <si>
    <t>curr</t>
  </si>
  <si>
    <t>вычесть предыдущ</t>
  </si>
  <si>
    <t>BKI development</t>
  </si>
  <si>
    <t>Oper profit</t>
  </si>
  <si>
    <t>Out Nil (thds)</t>
  </si>
  <si>
    <t>Out Nil (thds)_curr</t>
  </si>
  <si>
    <t>Out Nil total</t>
  </si>
  <si>
    <t>OutLoans borrowed (thds)</t>
  </si>
  <si>
    <t>XIRR new del</t>
  </si>
  <si>
    <t>Out Nil (thds) new deliveries (non - current part)</t>
  </si>
  <si>
    <t>Out Nil (thds) new deliveries (current part)</t>
  </si>
  <si>
    <t>OutLoans borrowed (thds) (non - current part)</t>
  </si>
  <si>
    <t>OutLoans borrowed (thds) (current part)</t>
  </si>
  <si>
    <t>Leasing_FL</t>
  </si>
  <si>
    <t>LeasingСomission_FL</t>
  </si>
  <si>
    <t>Insurance Comission_ FL</t>
  </si>
  <si>
    <t>Penalty for violation of the contract (FL)</t>
  </si>
  <si>
    <t>IntExp_FL</t>
  </si>
  <si>
    <t>LeasingInform</t>
  </si>
  <si>
    <t>LeasingTelem</t>
  </si>
  <si>
    <t>Parking_FL</t>
  </si>
  <si>
    <t>КАСКО_FL</t>
  </si>
  <si>
    <t>Guarantee_FL</t>
  </si>
  <si>
    <t>Insurance other property_FL</t>
  </si>
  <si>
    <t>Marketing_FL</t>
  </si>
  <si>
    <t>IT development_FL</t>
  </si>
  <si>
    <t>Loss allowance_FL</t>
  </si>
  <si>
    <t>Marketing</t>
  </si>
  <si>
    <t>Code</t>
  </si>
  <si>
    <t>Mapping for ALL</t>
  </si>
  <si>
    <t>Vacation reserve</t>
  </si>
  <si>
    <t>Social taxes</t>
  </si>
  <si>
    <t>Bonus</t>
  </si>
  <si>
    <t>Transportation services_OFF</t>
  </si>
  <si>
    <t>Training</t>
  </si>
  <si>
    <t>Сleaning</t>
  </si>
  <si>
    <t>Legal</t>
  </si>
  <si>
    <t>Mng&amp;Admin</t>
  </si>
  <si>
    <t>Mobile Phone</t>
  </si>
  <si>
    <t>Shareholders' expenses_BVI</t>
  </si>
  <si>
    <t>Computers &amp; Orgtehnika</t>
  </si>
  <si>
    <t>State_fee</t>
  </si>
  <si>
    <t>Finance</t>
  </si>
  <si>
    <t>Consulting</t>
  </si>
  <si>
    <t>DepreIntangible</t>
  </si>
  <si>
    <t>Office expenses</t>
  </si>
  <si>
    <t>RepresentExp</t>
  </si>
  <si>
    <t>Rent for employees</t>
  </si>
  <si>
    <t>Recruitment cost</t>
  </si>
  <si>
    <t>Post costs</t>
  </si>
  <si>
    <t>OH HealthInsurance</t>
  </si>
  <si>
    <t>Restructuring cost</t>
  </si>
  <si>
    <t>corporate car</t>
  </si>
  <si>
    <t>Other expats expenses</t>
  </si>
  <si>
    <t>Travel expenses</t>
  </si>
  <si>
    <t>Bank service costs</t>
  </si>
  <si>
    <t>NY event</t>
  </si>
  <si>
    <t>???</t>
  </si>
  <si>
    <t>Organisational Culture Survey</t>
  </si>
  <si>
    <t>Subscription cons</t>
  </si>
  <si>
    <t>Audit Provision</t>
  </si>
  <si>
    <t>Phone</t>
  </si>
  <si>
    <t>Compensation for own vehicles' usage</t>
  </si>
  <si>
    <t>Verification services</t>
  </si>
  <si>
    <t>BusinessTripExp</t>
  </si>
  <si>
    <t>Depreciation_IT</t>
  </si>
  <si>
    <t>Primary documents recognition</t>
  </si>
  <si>
    <t>Taxi corp</t>
  </si>
  <si>
    <t>Support Services_Overhead</t>
  </si>
  <si>
    <t>Internet</t>
  </si>
  <si>
    <t>Utilities</t>
  </si>
  <si>
    <t>Office Rent</t>
  </si>
  <si>
    <t>IT&amp;systems</t>
  </si>
  <si>
    <t>Indirect w/o Salary</t>
  </si>
  <si>
    <t>OL</t>
  </si>
  <si>
    <t>RM</t>
  </si>
  <si>
    <t>Vacation reserve taxes</t>
  </si>
  <si>
    <t>Evacuator_OFF</t>
  </si>
  <si>
    <t>Tire storage_OFF</t>
  </si>
  <si>
    <t>Tire fitting_OFF</t>
  </si>
  <si>
    <t>Fuel OH</t>
  </si>
  <si>
    <t>Daily allowance</t>
  </si>
  <si>
    <t>Parking_OFF</t>
  </si>
  <si>
    <t>OH Tires Expenses</t>
  </si>
  <si>
    <t>OHCar Wash</t>
  </si>
  <si>
    <t>OH R&amp;M</t>
  </si>
  <si>
    <t>Registration_OFF</t>
  </si>
  <si>
    <t>Additional Health insurance</t>
  </si>
  <si>
    <t>Vehicle tax (office cars)</t>
  </si>
  <si>
    <t>Inspection</t>
  </si>
  <si>
    <t>Cost rtd to rent for empl.</t>
  </si>
  <si>
    <t>Depreciation_Furniture</t>
  </si>
  <si>
    <t>Depreciation_IA</t>
  </si>
  <si>
    <t>Notary</t>
  </si>
  <si>
    <t>Zoom costs</t>
  </si>
  <si>
    <t>Outstaffing</t>
  </si>
  <si>
    <t>DSAGO_OFF</t>
  </si>
  <si>
    <t>Accident_autoinsurance_OFF</t>
  </si>
  <si>
    <t>IT setup</t>
  </si>
  <si>
    <t>Deposit income</t>
  </si>
  <si>
    <t>SlsFMFines to clients</t>
  </si>
  <si>
    <t>SlsFMFuel</t>
  </si>
  <si>
    <t>SlsFMCar transfers</t>
  </si>
  <si>
    <t>Penalty for violation of the contract (FM)</t>
  </si>
  <si>
    <t>SlsFMFM</t>
  </si>
  <si>
    <t>SlsFMR&amp;M</t>
  </si>
  <si>
    <t>SlsFMParking services</t>
  </si>
  <si>
    <t>SlsFMTire services</t>
  </si>
  <si>
    <t>SlsFMWaybill</t>
  </si>
  <si>
    <t>SlsFMWash and cleaning services</t>
  </si>
  <si>
    <t>COGSFMFuel - clients</t>
  </si>
  <si>
    <t>COGSFMParking</t>
  </si>
  <si>
    <t>COGSFMRegistration</t>
  </si>
  <si>
    <t>Garage expenses</t>
  </si>
  <si>
    <t>Transfer Fuel_RM</t>
  </si>
  <si>
    <t>Tire storage_FM</t>
  </si>
  <si>
    <t>COGSFMCar transfers</t>
  </si>
  <si>
    <t>COGSFMCar wash</t>
  </si>
  <si>
    <t>COGSFMLTire expenses</t>
  </si>
  <si>
    <t>COGSFMTire expenses</t>
  </si>
  <si>
    <t>COGSFMTire repair</t>
  </si>
  <si>
    <t>COGSFMR&amp;M</t>
  </si>
  <si>
    <t>SlsPRL</t>
  </si>
  <si>
    <t>SlsDR_Variable</t>
  </si>
  <si>
    <t>SlsSTRR&amp;M_Re</t>
  </si>
  <si>
    <t>SlsDRImplants</t>
  </si>
  <si>
    <t>SlsDREarly termination fee</t>
  </si>
  <si>
    <t>SlsSTRWash and cleaning services</t>
  </si>
  <si>
    <t>SlsSTRCar transfers</t>
  </si>
  <si>
    <t>COGSPRLCar financing costs</t>
  </si>
  <si>
    <t>COGSPRLInsurance of cars</t>
  </si>
  <si>
    <t>OH Health insuranse (driver)</t>
  </si>
  <si>
    <t>SlsSTRR&amp;M</t>
  </si>
  <si>
    <t>SlsSTRSTR</t>
  </si>
  <si>
    <t>SlsSTRFuel</t>
  </si>
  <si>
    <t>COGSSTRRentCar</t>
  </si>
  <si>
    <t>COGSSTRR&amp;M</t>
  </si>
  <si>
    <t>Service inform_STR</t>
  </si>
  <si>
    <t>COGSSTRFuel - clients</t>
  </si>
  <si>
    <t>Driver set_STR</t>
  </si>
  <si>
    <t>COGSSTR_Tirefitting</t>
  </si>
  <si>
    <t>Transfer Fuel_STR</t>
  </si>
  <si>
    <t>Tire storage_STR</t>
  </si>
  <si>
    <t>COGSSTRR&amp;M_Re</t>
  </si>
  <si>
    <t>COGSSTRInsurance of cars</t>
  </si>
  <si>
    <t>COGSSTRR&amp;Minsurance</t>
  </si>
  <si>
    <t>DSAGO_STR</t>
  </si>
  <si>
    <t>COGSSTROther direct</t>
  </si>
  <si>
    <t>COGSSTRCar transfers</t>
  </si>
  <si>
    <t>COGSSTRCar wash</t>
  </si>
  <si>
    <t>COGSSTRTire expenses</t>
  </si>
  <si>
    <t>COGSSTRParking</t>
  </si>
  <si>
    <t>COGSSTRRegistration</t>
  </si>
  <si>
    <t>20</t>
  </si>
  <si>
    <t>26</t>
  </si>
  <si>
    <t>90</t>
  </si>
  <si>
    <t>91</t>
  </si>
  <si>
    <t>acc</t>
  </si>
  <si>
    <t>Счет1</t>
  </si>
  <si>
    <t>20.01</t>
  </si>
  <si>
    <t>Bonus_DR_OL</t>
  </si>
  <si>
    <t>Bonus_Implants</t>
  </si>
  <si>
    <t>Depreciation_OL</t>
  </si>
  <si>
    <t>DSAGO_OL</t>
  </si>
  <si>
    <t>Fuel_RM</t>
  </si>
  <si>
    <t>Fuel_STR</t>
  </si>
  <si>
    <t>GPS_OL</t>
  </si>
  <si>
    <t>GPS_STR</t>
  </si>
  <si>
    <t>GTO_OL</t>
  </si>
  <si>
    <t>Health insurance_DR</t>
  </si>
  <si>
    <t>KASKO_FL</t>
  </si>
  <si>
    <t>KASKO_OL</t>
  </si>
  <si>
    <t>KASKO_RM</t>
  </si>
  <si>
    <t>KASKO_STR</t>
  </si>
  <si>
    <t xml:space="preserve">LeasingInform_FL </t>
  </si>
  <si>
    <t>LeasingTelem_FL</t>
  </si>
  <si>
    <t>Maintenance (by fact)_OL</t>
  </si>
  <si>
    <t>Maintenance (by fact)_STR</t>
  </si>
  <si>
    <t>Maintenance insurance_OL</t>
  </si>
  <si>
    <t>Maintenance insurance_RM</t>
  </si>
  <si>
    <t>Medical_DR</t>
  </si>
  <si>
    <t>Mobile Phone_DR</t>
  </si>
  <si>
    <t>OSAGO_OL</t>
  </si>
  <si>
    <t>OSAGO_STR</t>
  </si>
  <si>
    <t>Parking_OL</t>
  </si>
  <si>
    <t>Parking_RM</t>
  </si>
  <si>
    <t>Parking_STR</t>
  </si>
  <si>
    <t>Re-invoice_BodyRepair_FM</t>
  </si>
  <si>
    <t>Re-invoice_BodyRepair_OL</t>
  </si>
  <si>
    <t>Re-invoice_Fuel Washes_FM</t>
  </si>
  <si>
    <t>Re-invoice_Fuel Washes_OL</t>
  </si>
  <si>
    <t>Re-invoice_Fuel_FM</t>
  </si>
  <si>
    <t>Re-invoice_Fuel_OL</t>
  </si>
  <si>
    <t>Re-invoice_GPS_OL</t>
  </si>
  <si>
    <t>Re-invoice_GTO_FM</t>
  </si>
  <si>
    <t>Re-invoice_Maintenance_FM</t>
  </si>
  <si>
    <t>Re-invoice_Maintenance_OL</t>
  </si>
  <si>
    <t>Re-invoice_Parking_FM</t>
  </si>
  <si>
    <t>Re-invoice_Parking_OL</t>
  </si>
  <si>
    <t>Re-invoice_Registration_OL</t>
  </si>
  <si>
    <t>Re-invoice_Tire fitting_FM</t>
  </si>
  <si>
    <t>Re-invoice_Tire fitting_OL</t>
  </si>
  <si>
    <t>Re-invoice_Tire storage_FM</t>
  </si>
  <si>
    <t>Re-invoice_Tires_FM</t>
  </si>
  <si>
    <t>Re-invoice_Tires_OL</t>
  </si>
  <si>
    <t>Re-invoice_Toll road_OL</t>
  </si>
  <si>
    <t>Re-invoice_Transfers_OL</t>
  </si>
  <si>
    <t>Re-invoice_Waybill_FM</t>
  </si>
  <si>
    <t>Re-invoice_Waybill_OL</t>
  </si>
  <si>
    <t>Refurbishment cost EOC_OL</t>
  </si>
  <si>
    <t>Registration_OL</t>
  </si>
  <si>
    <t>Registration_RM</t>
  </si>
  <si>
    <t>Resale comission_RM</t>
  </si>
  <si>
    <t>Salary_DR_OL</t>
  </si>
  <si>
    <t>Salary_DR_OL_Резерв по неотгуленным отпускам</t>
  </si>
  <si>
    <t>Social taxes_DR_OL</t>
  </si>
  <si>
    <t>Social taxes_DR_OL_Bonus</t>
  </si>
  <si>
    <t>Social taxes_DR_OL_Резерв по неотгуленным отпускам</t>
  </si>
  <si>
    <t>Social taxes_Implants_Bonus</t>
  </si>
  <si>
    <t>Tire fitting_OL</t>
  </si>
  <si>
    <t>Tire fitting_STR</t>
  </si>
  <si>
    <t>Tire storage_OL</t>
  </si>
  <si>
    <t>Tire storage_RM</t>
  </si>
  <si>
    <t>Tires_OL</t>
  </si>
  <si>
    <t>Transfer Fuel_OL</t>
  </si>
  <si>
    <t>Transfer Washes_RM</t>
  </si>
  <si>
    <t>Transfers_OL</t>
  </si>
  <si>
    <t>Transfers_RM</t>
  </si>
  <si>
    <t>Transfers_STR</t>
  </si>
  <si>
    <t>Vehicle tax</t>
  </si>
  <si>
    <t>Washes_OL</t>
  </si>
  <si>
    <t>Washes_STR</t>
  </si>
  <si>
    <t>Агентское вознаграждение_OL</t>
  </si>
  <si>
    <t>Accounting services_IC</t>
  </si>
  <si>
    <t>Annual bonus Provision</t>
  </si>
  <si>
    <t>Depreciation_OFF</t>
  </si>
  <si>
    <t>Depreciation_Office rent</t>
  </si>
  <si>
    <t>Depreciation_Rent for employees</t>
  </si>
  <si>
    <t>Expat family medical costs</t>
  </si>
  <si>
    <t>Expat medical costs</t>
  </si>
  <si>
    <t>Expat other costs</t>
  </si>
  <si>
    <t>Fuel_OFF</t>
  </si>
  <si>
    <t>GPS_OFF</t>
  </si>
  <si>
    <t>Health insurance</t>
  </si>
  <si>
    <t>IT Informational services</t>
  </si>
  <si>
    <t>KASKO_OFF</t>
  </si>
  <si>
    <t>Maintenance_OFF</t>
  </si>
  <si>
    <t>Medical_OFF</t>
  </si>
  <si>
    <t>Mobile Phone employees</t>
  </si>
  <si>
    <t>OSAGO_OFF</t>
  </si>
  <si>
    <t>Rent office IC</t>
  </si>
  <si>
    <t>Representative expenses</t>
  </si>
  <si>
    <t>Salary_Резерв по неотгуленным отпускам</t>
  </si>
  <si>
    <t>Social taxes_Annual bonus Provision</t>
  </si>
  <si>
    <t>Social taxes_expatscomp</t>
  </si>
  <si>
    <t>Social taxes_Резерв по неотгуленным отпускам</t>
  </si>
  <si>
    <t>Software, licenses</t>
  </si>
  <si>
    <t>Support Services GE</t>
  </si>
  <si>
    <t>Transfers_OFF</t>
  </si>
  <si>
    <t>Washes_OFF</t>
  </si>
  <si>
    <t>Оплата больничного</t>
  </si>
  <si>
    <t>Driver services_DR</t>
  </si>
  <si>
    <t>90.01.1</t>
  </si>
  <si>
    <t>Excess mileage _OL</t>
  </si>
  <si>
    <t>Fines to clients_OL</t>
  </si>
  <si>
    <t>Fleet management</t>
  </si>
  <si>
    <t>Leasing_STR</t>
  </si>
  <si>
    <t>Re-invoice_margin_BodyRepair_FM</t>
  </si>
  <si>
    <t>Re-invoice_margin_Fuel_FM</t>
  </si>
  <si>
    <t>Re-invoice_margin_Fuel_OL</t>
  </si>
  <si>
    <t>Re-invoice_margin_GPS_OL</t>
  </si>
  <si>
    <t>Re-invoice_margin_GTO_FM</t>
  </si>
  <si>
    <t>Re-invoice_margin_Maintenance_FM</t>
  </si>
  <si>
    <t>Re-invoice_margin_Maintenance_OL</t>
  </si>
  <si>
    <t>Re-invoice_margin_Parking_FM</t>
  </si>
  <si>
    <t>Re-invoice_margin_Parking_OL</t>
  </si>
  <si>
    <t>Re-invoice_margin_Registration_OL</t>
  </si>
  <si>
    <t>Re-invoice_margin_Tire fitting_FM</t>
  </si>
  <si>
    <t>Re-invoice_margin_Tire fitting_OL</t>
  </si>
  <si>
    <t>Re-invoice_margin_Tire storage_FM</t>
  </si>
  <si>
    <t>Re-invoice_margin_Tires_FM</t>
  </si>
  <si>
    <t>Re-invoice_margin_Tires_OL</t>
  </si>
  <si>
    <t>Re-invoice_margin_Toll road_OL</t>
  </si>
  <si>
    <t>Re-invoice_margin_Transfers_OL</t>
  </si>
  <si>
    <t>Re-invoice_margin_Waybill_FM</t>
  </si>
  <si>
    <t>Re-invoice_margin_Waybill_OL</t>
  </si>
  <si>
    <t>Revenue from sale of assets_FL</t>
  </si>
  <si>
    <t>Revenue from sale of vehicles_OL</t>
  </si>
  <si>
    <t>Additional services_OL</t>
  </si>
  <si>
    <t>Administrative expenses (OPEX)_OL</t>
  </si>
  <si>
    <t>Agent commission_OL</t>
  </si>
  <si>
    <t>Delivery to client_OL</t>
  </si>
  <si>
    <t>Downpayment_OL</t>
  </si>
  <si>
    <t>Financial cost_OL</t>
  </si>
  <si>
    <t>Maintenance_OL</t>
  </si>
  <si>
    <t>Margin_OL</t>
  </si>
  <si>
    <t>Postponement costs_OL</t>
  </si>
  <si>
    <t>Refurbishment franchise_OL</t>
  </si>
  <si>
    <t>Registation cost_OL</t>
  </si>
  <si>
    <t>Road assistance_OL</t>
  </si>
  <si>
    <t>Telematics_OL</t>
  </si>
  <si>
    <t>Transfer for tire fitting_OL</t>
  </si>
  <si>
    <t>Transfer for TO_OL</t>
  </si>
  <si>
    <t>Vehicle return costs_OL</t>
  </si>
  <si>
    <t>Услуга по управлению ТС</t>
  </si>
  <si>
    <t>90.02.1</t>
  </si>
  <si>
    <t>90.03</t>
  </si>
  <si>
    <t>91.01.6</t>
  </si>
  <si>
    <t>Income (expenses) from the sale of usable residues</t>
  </si>
  <si>
    <t>Insurance indemnity</t>
  </si>
  <si>
    <t>Interest receivable 1С</t>
  </si>
  <si>
    <t>Interest receivable Deposit</t>
  </si>
  <si>
    <t>Leasing restruct_FL</t>
  </si>
  <si>
    <t>Leasing total insurance_FL</t>
  </si>
  <si>
    <t>Other non-operating income (expenses)</t>
  </si>
  <si>
    <t>Penalty for violation of the contract _FL</t>
  </si>
  <si>
    <t>Penalty for violation of the contract_OL</t>
  </si>
  <si>
    <t>91.02.6</t>
  </si>
  <si>
    <t>Bank costs currency control</t>
  </si>
  <si>
    <t>Bank costs other</t>
  </si>
  <si>
    <t>Bank costs outgoing payment</t>
  </si>
  <si>
    <t>Bank costs salary project</t>
  </si>
  <si>
    <t>Bank costs service bank account</t>
  </si>
  <si>
    <t>Depreciation corr_OL</t>
  </si>
  <si>
    <t>Expenses (income) of previous periods Maintenance_OL</t>
  </si>
  <si>
    <t>Expenses (income) of previous periods Tire fitting_OL</t>
  </si>
  <si>
    <t>Expenses (income) of previous periods Tire storage_OL</t>
  </si>
  <si>
    <t>Expenses (income) of previous periods Tire storage_RM</t>
  </si>
  <si>
    <t>Expenses (income) of previous periods Utilities</t>
  </si>
  <si>
    <t>Foreign exchange differencies on transactions</t>
  </si>
  <si>
    <t>Guarantee_WC</t>
  </si>
  <si>
    <t>Interest on loan FL</t>
  </si>
  <si>
    <t>Interest on loan for working capital replenishment</t>
  </si>
  <si>
    <t>Interest on loan OL</t>
  </si>
  <si>
    <t>Leasing termination_FL</t>
  </si>
  <si>
    <t>ND Compensation for the use of a personal car for business</t>
  </si>
  <si>
    <t>ND Expat costs</t>
  </si>
  <si>
    <t>ND Gift</t>
  </si>
  <si>
    <t>ND Legal</t>
  </si>
  <si>
    <t>ND Membership fee</t>
  </si>
  <si>
    <t>Penalty for violation of the contract (to be paid)</t>
  </si>
  <si>
    <t>Re-invoice Expenses (income) of previous periods Maintenance_OL</t>
  </si>
  <si>
    <t>Re-invoice Expenses (income) of previous periods Parking_FM</t>
  </si>
  <si>
    <t>Re-invoice Expenses (income) of previous periods Tire storage_FM</t>
  </si>
  <si>
    <t>Re-invoice Expenses (income) of previous periods Tires_OL</t>
  </si>
  <si>
    <t>Процентные расходы</t>
  </si>
  <si>
    <t>Резервы по договорам лизинга (OL)</t>
  </si>
  <si>
    <t>Резервы по договорам лизинга (FL)</t>
  </si>
  <si>
    <t>dr_cr</t>
  </si>
  <si>
    <t>SlsOLCar transfers</t>
  </si>
  <si>
    <t>Sls_Franshiza_OL_Re</t>
  </si>
  <si>
    <t>SlsOLR&amp;M</t>
  </si>
  <si>
    <t>SlsOLParking services</t>
  </si>
  <si>
    <t>SlsOLMobilePhone_Re</t>
  </si>
  <si>
    <t>SlsOLFuel</t>
  </si>
  <si>
    <t>SlsOLWash and cleaning services</t>
  </si>
  <si>
    <t>SlsOL_Tirefitting_Re</t>
  </si>
  <si>
    <t>margin_SlsOL_Transfers</t>
  </si>
  <si>
    <t>margin_SlsOL_Tirefitting</t>
  </si>
  <si>
    <t>margin_SlsOLFuel</t>
  </si>
  <si>
    <t>SlsOLWash and cleaning services_Re</t>
  </si>
  <si>
    <t>SlsOLCar transfers_Re</t>
  </si>
  <si>
    <t>SlsOLTire services_Re</t>
  </si>
  <si>
    <t>margin_SlsOLGPS</t>
  </si>
  <si>
    <t>SlsOLGreenkard_Re</t>
  </si>
  <si>
    <t>SlsOLGPS_Re</t>
  </si>
  <si>
    <t>margin_SlsOLGreenkard</t>
  </si>
  <si>
    <t>margin_SlsOLTire services</t>
  </si>
  <si>
    <t>SlsOLother revenue_Re</t>
  </si>
  <si>
    <t>SlsOLFuel_Re</t>
  </si>
  <si>
    <t>margin_SlsOLParking services</t>
  </si>
  <si>
    <t>margin_SlsOLR&amp;M</t>
  </si>
  <si>
    <t>SlsOLParking services_Re</t>
  </si>
  <si>
    <t>margin_SlsOLWaybill</t>
  </si>
  <si>
    <t>SlsOLRegistration_Re</t>
  </si>
  <si>
    <t>SlsOLWaybill_Re</t>
  </si>
  <si>
    <t>margin_SlsOLRegistration</t>
  </si>
  <si>
    <t>SlsOLR&amp;M_Re</t>
  </si>
  <si>
    <t>COGSOLTire expenses_Re</t>
  </si>
  <si>
    <t>COGSOLOther direct_Re</t>
  </si>
  <si>
    <t>COGSOL_Tirefitting_Re</t>
  </si>
  <si>
    <t>COGSOLCar wash_Re</t>
  </si>
  <si>
    <t>COGSOLCar transfers_Re</t>
  </si>
  <si>
    <t>COGSOLParking_Re</t>
  </si>
  <si>
    <t>COGSOLR&amp;M_Re</t>
  </si>
  <si>
    <t>COGSOLInsurance of cars_Re</t>
  </si>
  <si>
    <t>COGSOLFuel - clients_Re</t>
  </si>
  <si>
    <t>COGSOL_Franshiza_OL_Re</t>
  </si>
  <si>
    <t>COGSWaybill_Re</t>
  </si>
  <si>
    <t>Transfer Washes_OL</t>
  </si>
  <si>
    <t>COGSOLRegistration_Re</t>
  </si>
  <si>
    <t>COGSOLVehicle tax</t>
  </si>
  <si>
    <t>COGSOL_Fuel Washes_Re</t>
  </si>
  <si>
    <t>COGSOL_Transfer Washes_Re</t>
  </si>
  <si>
    <t>COGSOL_Transfer Fuel_Re</t>
  </si>
  <si>
    <t>COGSOLImplants</t>
  </si>
  <si>
    <t>margin_SlsFMWash and cleaning services</t>
  </si>
  <si>
    <t>SlsFMWash and cleaning services_Re</t>
  </si>
  <si>
    <t>SlsFMFuel_Re</t>
  </si>
  <si>
    <t>SlsFMR&amp;M_Re</t>
  </si>
  <si>
    <t>margin_SlsFMFuel</t>
  </si>
  <si>
    <t>SlsFMTire services_Re</t>
  </si>
  <si>
    <t>SlsFMParking services_Re</t>
  </si>
  <si>
    <t>margin_SlsFMTire services</t>
  </si>
  <si>
    <t>margin_SlsFMParking services</t>
  </si>
  <si>
    <t>margin_SlsFMR&amp;M</t>
  </si>
  <si>
    <t>COGSFMR&amp;M_Re</t>
  </si>
  <si>
    <t>COGSFMTire repair_Re</t>
  </si>
  <si>
    <t>Advertising_RM</t>
  </si>
  <si>
    <t>Add_equipment_autoinsurance_STR</t>
  </si>
  <si>
    <t>SlsDR</t>
  </si>
  <si>
    <t>Flassetsale</t>
  </si>
  <si>
    <t>Flassetsalecost</t>
  </si>
  <si>
    <t>LeasingCost_FL</t>
  </si>
  <si>
    <t>LeasingСomission</t>
  </si>
  <si>
    <t>Adver_Subs</t>
  </si>
  <si>
    <t>CreditScore_Subs</t>
  </si>
  <si>
    <t>Audit</t>
  </si>
  <si>
    <t>State_Fee</t>
  </si>
  <si>
    <t>Driver set_OFF</t>
  </si>
  <si>
    <t>DocumentsProcessing</t>
  </si>
  <si>
    <t>Franshiza_OFF</t>
  </si>
  <si>
    <t>Reimbursement of legal costs</t>
  </si>
  <si>
    <t>MiscIncome</t>
  </si>
  <si>
    <t>MiscExpBankFee</t>
  </si>
  <si>
    <t>IntIncOnDeposit</t>
  </si>
  <si>
    <t>G/Lcurrexchg</t>
  </si>
  <si>
    <t>IncomeInsuranceInd</t>
  </si>
  <si>
    <t>ExchRateDiff</t>
  </si>
  <si>
    <t>MiscExp</t>
  </si>
  <si>
    <t>Expat family education</t>
  </si>
  <si>
    <t>PrevPer_DepreIntangible</t>
  </si>
  <si>
    <t>Expat_Costs (other)</t>
  </si>
  <si>
    <t>Expat_Costs</t>
  </si>
  <si>
    <t>UnusedDsago_OL</t>
  </si>
  <si>
    <t>PrevPer_OLMobile</t>
  </si>
  <si>
    <t>Prev_CreditScore_Subs</t>
  </si>
  <si>
    <t>PrevPer_STR</t>
  </si>
  <si>
    <t>Write-off of FA</t>
  </si>
  <si>
    <t>Write-off of receivables (payables)</t>
  </si>
  <si>
    <t>Events</t>
  </si>
  <si>
    <t>Prev periods expenses</t>
  </si>
  <si>
    <t>BrokenVehiclesSale</t>
  </si>
  <si>
    <t>Prev_Marketing_OL</t>
  </si>
  <si>
    <t>Prev_IT setup</t>
  </si>
  <si>
    <t>PrevPer_RM</t>
  </si>
  <si>
    <t>PrevPer_OLTires</t>
  </si>
  <si>
    <t>PrevPer_RM_Parking</t>
  </si>
  <si>
    <t>PrevPer_RMCOGS</t>
  </si>
  <si>
    <t>PrevPer_FM</t>
  </si>
  <si>
    <t>PrevPerAgent_OL</t>
  </si>
  <si>
    <t>InInc_OL</t>
  </si>
  <si>
    <t>Report</t>
  </si>
  <si>
    <t>Account</t>
  </si>
  <si>
    <t>91.02</t>
  </si>
  <si>
    <t>91.01</t>
  </si>
  <si>
    <t>COGSDRR&amp;M</t>
  </si>
  <si>
    <t>44.03</t>
  </si>
  <si>
    <t>COGSDRCar wash</t>
  </si>
  <si>
    <t>Parking_IC</t>
  </si>
  <si>
    <t>COGSDRDR</t>
  </si>
  <si>
    <t>FleetManagementIC</t>
  </si>
  <si>
    <t>COGSSTRImplants</t>
  </si>
  <si>
    <t>Operating lease IC</t>
  </si>
  <si>
    <t>COGSDRParking</t>
  </si>
  <si>
    <t>RentCars_IC</t>
  </si>
  <si>
    <t>Repair under franchise RUR_OFF</t>
  </si>
  <si>
    <t>COGSFMTire changing</t>
  </si>
  <si>
    <t>COGSFMTire storage</t>
  </si>
  <si>
    <t>COGSDRCar transfers</t>
  </si>
  <si>
    <t>SlsDRR&amp;M</t>
  </si>
  <si>
    <t>SlsFMImplants</t>
  </si>
  <si>
    <t>SlsSTRExcess mileage</t>
  </si>
  <si>
    <t>SlsIC</t>
  </si>
  <si>
    <t>SlsFMGPS</t>
  </si>
  <si>
    <t>SlsFMRegistration services</t>
  </si>
  <si>
    <t>SlsRMCars3rdP</t>
  </si>
  <si>
    <t>COGSRM3rdCars</t>
  </si>
  <si>
    <t>IntIncOnLoanIC</t>
  </si>
  <si>
    <t>IntExpIC</t>
  </si>
  <si>
    <t>TaxFed</t>
  </si>
  <si>
    <t>99.02.1</t>
  </si>
  <si>
    <t>99.02.2</t>
  </si>
  <si>
    <t>99.02.3</t>
  </si>
  <si>
    <t>99.09</t>
  </si>
  <si>
    <t>COGSFMImplants</t>
  </si>
  <si>
    <t>COGSDRFuel - clients</t>
  </si>
  <si>
    <t>COGSFCFMFuel - clients</t>
  </si>
  <si>
    <t>COGSFMRent</t>
  </si>
  <si>
    <t>SlsDRWash and cleaning services</t>
  </si>
  <si>
    <t>SlsSTRParking services</t>
  </si>
  <si>
    <t>COGSDRTire expenses</t>
  </si>
  <si>
    <t>Property tax</t>
  </si>
  <si>
    <t>COGSFMOther direct</t>
  </si>
  <si>
    <t>Registration OFF</t>
  </si>
  <si>
    <t>Recruitment cost RM</t>
  </si>
  <si>
    <t>Rent car_OFF</t>
  </si>
  <si>
    <t>COGSSTRTires</t>
  </si>
  <si>
    <t>SlsSTRFines to clients</t>
  </si>
  <si>
    <t>Advertising and marketing</t>
  </si>
  <si>
    <t>COGSSTRFines to clients</t>
  </si>
  <si>
    <t>COGSRMComission</t>
  </si>
  <si>
    <t>44.01</t>
  </si>
  <si>
    <t>44.02</t>
  </si>
  <si>
    <t>Registration cars_PRL</t>
  </si>
  <si>
    <t>Commission for bank guarantee</t>
  </si>
  <si>
    <t>SlsOLImplants</t>
  </si>
  <si>
    <t>SlsSTRGPS</t>
  </si>
  <si>
    <t>Consulting_PRL</t>
  </si>
  <si>
    <t>Office expenses_PRL</t>
  </si>
  <si>
    <t>R&amp;M_PRL</t>
  </si>
  <si>
    <t>Marketing_PRL</t>
  </si>
  <si>
    <t>COGSPRLTires</t>
  </si>
  <si>
    <t>SlsFMOther</t>
  </si>
  <si>
    <t>slsic</t>
  </si>
  <si>
    <t>Tires_LTR</t>
  </si>
  <si>
    <t>Social taxes_Bonus</t>
  </si>
  <si>
    <t>Social taxes_Implants_DR_OL</t>
  </si>
  <si>
    <t>Tires_RM</t>
  </si>
  <si>
    <t>ОСАГО_OL</t>
  </si>
  <si>
    <t>Franshiza_RM</t>
  </si>
  <si>
    <t>Franshiza_OL</t>
  </si>
  <si>
    <t>Проценты по кредиту FL</t>
  </si>
  <si>
    <t>транспортный налог</t>
  </si>
  <si>
    <t>Social taxes_Bonus_FL</t>
  </si>
  <si>
    <t>Bonus_FL</t>
  </si>
  <si>
    <t>Государственная пошлина по искам</t>
  </si>
  <si>
    <t>Tire service_IC</t>
  </si>
  <si>
    <t>&lt;...&gt;</t>
  </si>
  <si>
    <t>Franshiza_STR</t>
  </si>
  <si>
    <t>Foreign exchange differencies on foreign currency trading</t>
  </si>
  <si>
    <t>Доходы (расходы), связанны с реализацией б/у шин</t>
  </si>
  <si>
    <t>Parking agent_RM</t>
  </si>
  <si>
    <t>Transfers agent_RM</t>
  </si>
  <si>
    <t>Расходы (доходы) прошлых периодов Tires_OL</t>
  </si>
  <si>
    <t>Проценты за отсрочку платежа</t>
  </si>
  <si>
    <t>Госпошлины и прочие судебные издержки</t>
  </si>
  <si>
    <t>Штрафы, пени, неустойки (не принимаемые) - штрафы ГИБДД</t>
  </si>
  <si>
    <t>Не принимаемые для н/о (Expat costs)</t>
  </si>
  <si>
    <t>Не принимаемые для н/о (Legal)</t>
  </si>
  <si>
    <t>Other_RM</t>
  </si>
  <si>
    <t>Расходы (доходы) прошлых периодов ПО, ПП, лицензии – поддержка</t>
  </si>
  <si>
    <t>Расходы (доходы) прошлых периодов Аренда Resale</t>
  </si>
  <si>
    <t>Расходы по передаче товаров (работ, услуг) безвозмездно</t>
  </si>
  <si>
    <t>Списание выделенного НДС на прочие расходы</t>
  </si>
  <si>
    <t>Расходы (доходы) прошлых периодов Агентское вознаграждение_OL</t>
  </si>
  <si>
    <t>Неипользованная страховая премия ДСАГО</t>
  </si>
  <si>
    <t>Не принимаемые для н/о (Проценты к уплате)</t>
  </si>
  <si>
    <t>Расходы (доходы) прошлых периодов Maintenance (by fact)_FM</t>
  </si>
  <si>
    <t>Расходы (доходы) прошлых периодов Tire service_OL</t>
  </si>
  <si>
    <t>Расходы (доходы) прошлых периодов Maintenance (by fact)_OL</t>
  </si>
  <si>
    <t>Advertisement_Subs</t>
  </si>
  <si>
    <t>Перевыставляемые расходы прошлых периодов Maintenance (by fact)_FM</t>
  </si>
  <si>
    <t>Перевыставляемые расходы прошлых периодов Maintenance (by fact)_OL</t>
  </si>
  <si>
    <t>Перевыставляемые расходы прошлых периодов Parking_FM</t>
  </si>
  <si>
    <t>Перевыставляемые расходы прошлых периодов Parking_OL</t>
  </si>
  <si>
    <t>Перевыставляемые расходы прошлых периодов Tire service_FM</t>
  </si>
  <si>
    <t>Перевыставляемые расходы прошлых периодов Tire service_OL</t>
  </si>
  <si>
    <t>Перевыставляемые расходы прошлых периодов Tires_FM</t>
  </si>
  <si>
    <t>Перевыставляемые расходы прошлых периодов Tires_OL</t>
  </si>
  <si>
    <t>Перевыставляемые расходы прошлых периодов Transfers_OL</t>
  </si>
  <si>
    <t>Расходы (доходы) прошлых периодов Advertisement_Subs</t>
  </si>
  <si>
    <t>Расходы (доходы) прошлых периодов Advertising the sale of cars</t>
  </si>
  <si>
    <t>Расходы (доходы) прошлых периодов Audit</t>
  </si>
  <si>
    <t>Расходы (доходы) прошлых периодов Consulting</t>
  </si>
  <si>
    <t>Расходы (доходы) прошлых периодов Franshiza_RM</t>
  </si>
  <si>
    <t>Расходы (доходы) прошлых периодов GPS_OFF</t>
  </si>
  <si>
    <t>Расходы (доходы) прошлых периодов GPS_OL</t>
  </si>
  <si>
    <t>Расходы (доходы) прошлых периодов Informational services</t>
  </si>
  <si>
    <t>Расходы (доходы) прошлых периодов Maintenance (by fact)_OFF</t>
  </si>
  <si>
    <t>Расходы (доходы) прошлых периодов Maintenance (by fact)_RM</t>
  </si>
  <si>
    <t>Расходы (доходы) прошлых периодов Maintenance (by fact)_STR</t>
  </si>
  <si>
    <t>Расходы (доходы) прошлых периодов Maintenance insurance_OL</t>
  </si>
  <si>
    <t>Расходы (доходы) прошлых периодов Maintenance insurance_RM</t>
  </si>
  <si>
    <t>Расходы (доходы) прошлых периодов Marketing_OL</t>
  </si>
  <si>
    <t>Расходы (доходы) прошлых периодов Medical_OFF</t>
  </si>
  <si>
    <t>Расходы (доходы) прошлых периодов Medical_OL</t>
  </si>
  <si>
    <t>Расходы (доходы) прошлых периодов Parking_FM</t>
  </si>
  <si>
    <t>Расходы (доходы) прошлых периодов Parking_OL</t>
  </si>
  <si>
    <t>Расходы (доходы) прошлых периодов Parking_RM</t>
  </si>
  <si>
    <t>Расходы (доходы) прошлых периодов Phone</t>
  </si>
  <si>
    <t>Расходы (доходы) прошлых периодов Recruitment cost_OFF</t>
  </si>
  <si>
    <t>Расходы (доходы) прошлых периодов Tire service_RM</t>
  </si>
  <si>
    <t>Расходы (доходы) прошлых периодов Training</t>
  </si>
  <si>
    <t>Расходы (доходы) прошлых периодов Transfers_FM</t>
  </si>
  <si>
    <t>Расходы (доходы) прошлых периодов Transfers_OFF</t>
  </si>
  <si>
    <t>Расходы (доходы) прошлых периодов Transfers_OL</t>
  </si>
  <si>
    <t>Расходы (доходы) прошлых периодов Transfers_RM</t>
  </si>
  <si>
    <t>Расходы (доходы) прошлых периодов Transfers_STR</t>
  </si>
  <si>
    <t>Расходы (доходы) прошлых периодов Utilities</t>
  </si>
  <si>
    <t>Расходы (доходы) прошлых периодов Washes_OL</t>
  </si>
  <si>
    <t>Расходы (доходы) прошлых периодов Информационные технологии и системы (IT &amp; systems)</t>
  </si>
  <si>
    <t>Расходы (доходы) прошлых периодов CreditScore_Subs</t>
  </si>
  <si>
    <t>Прочие доходы и расходы</t>
  </si>
  <si>
    <t>Списание НДС на прочие расходы</t>
  </si>
  <si>
    <t>LeasingInform_FL</t>
  </si>
  <si>
    <t>Salary_expatscomp</t>
  </si>
  <si>
    <t>Расходы (доходы) прошлых периодов Inspection</t>
  </si>
  <si>
    <t>Неиспользованная страховая премия ДСАГО</t>
  </si>
  <si>
    <t>Расходы (доходы) прошлых периодов Franshiza_OL</t>
  </si>
  <si>
    <t>Расходы (доходы) прошлых периодов GTO_LTR</t>
  </si>
  <si>
    <t>Не принимаемые для н/о (Членский взнос)</t>
  </si>
  <si>
    <t>Расходы (доходы) прошлых периодов Legal</t>
  </si>
  <si>
    <t>Расходы (доходы) прошлых периодов Internet</t>
  </si>
  <si>
    <t>Не принимаемые для н/о (Проведение корпоративных мероприятий)</t>
  </si>
  <si>
    <t>Не принимаемые для н/о - Списание дебиторской (кредиторской) задолженности</t>
  </si>
  <si>
    <t>Не принимаемые для н/о (информационное обеспечение)</t>
  </si>
  <si>
    <t>Не принимаемые для н/о (Возмещение судебных издержек)</t>
  </si>
  <si>
    <t>Расходы (доходы) прошлых периодов Maintenance (by fact)_LTR</t>
  </si>
  <si>
    <t>Расходы (доходы) прошлых периодов Parking_STR</t>
  </si>
  <si>
    <t>Расходы (доходы) прошлых периодов Office expenses</t>
  </si>
  <si>
    <t>Расходы (доходы) прошлых периодов Tire service_FM</t>
  </si>
  <si>
    <t>Штрафы, пени, неустойки (прочие внереализационные)</t>
  </si>
  <si>
    <t>Bank costs</t>
  </si>
  <si>
    <t>Expat costs</t>
  </si>
  <si>
    <t>Maintenance insurance_OFF</t>
  </si>
  <si>
    <t>Expat travel costs</t>
  </si>
  <si>
    <t>SupportServices_OL</t>
  </si>
  <si>
    <t>Расходы (доходы) прошлых периодов Support Services GE</t>
  </si>
  <si>
    <t>Maintenance insurance_STR</t>
  </si>
  <si>
    <t>Other Expat costs</t>
  </si>
  <si>
    <t>Расходы (доходы) прошлых периодов Rent car for client_OL</t>
  </si>
  <si>
    <t>Не принимаемые для н/о (Благотворительность)</t>
  </si>
  <si>
    <t>НЕ ИСПОЛЬЗОВАТЬ Taxi</t>
  </si>
  <si>
    <t>НЕ ИСПОЛЬЗОВАТЬ Maintenance (by fact)_OFF</t>
  </si>
  <si>
    <t>НЕ ИСПОЛЬЗОВАТЬ Business trip expences</t>
  </si>
  <si>
    <t>НЕ ИСПОЛЬЗОВАТЬ Информационные технологии и системы (IT &amp; systems)</t>
  </si>
  <si>
    <t>НЕ ИСПОЛЬЗОВАТЬ ПО, ПП, лицензии - поддержка</t>
  </si>
  <si>
    <t>НЕ ИСПОЛЬЗОВАТЬ Advertising the sale of cars</t>
  </si>
  <si>
    <t>НЕ ИСПОЛЬЗОВАТЬ Resale (доходы (расходы), связанные с реализацией основных средств</t>
  </si>
  <si>
    <t>НЕ ИСПОЛЬЗОВАТЬ State fee</t>
  </si>
  <si>
    <t>НЕ ИСПОЛЬЗОВАТЬ Прочие доходы и расходы</t>
  </si>
  <si>
    <t>НЕ ИСПОЛЬЗОВАТЬ  Не принимаемые для налога на прибыль (Подарки)</t>
  </si>
  <si>
    <t>НЕ ИСПОЛЬЗОВАТЬ Other_RM</t>
  </si>
  <si>
    <t>НЕ ИСПОЛЬЗОВАТЬ Franshiza_OL</t>
  </si>
  <si>
    <t>НЕ ИСПОЛЬЗОВАТЬ Не принимаемые для налога на прибыль</t>
  </si>
  <si>
    <t>Расходы (доходы) прошлых периодов Recruitment cost</t>
  </si>
  <si>
    <t>Расходы (доходы) прошлых периодов Advertising_RM</t>
  </si>
  <si>
    <t>Расходы (доходы) прошлых периодов Advertising_Subs</t>
  </si>
  <si>
    <t>Расходы (доходы) прошлых периодов IT setup</t>
  </si>
  <si>
    <t>Расходы (доходы) прошлых периодов IT Informational services</t>
  </si>
  <si>
    <t>Расходы (доходы) прошлых периодов Software, licenses</t>
  </si>
  <si>
    <t>НЕ ИПОЛЬЗОВАТЬ Расходы (доходы) прошлых периодов ПО, ПП, лицензии – поддержка</t>
  </si>
  <si>
    <t>Kasko_OFF</t>
  </si>
  <si>
    <t>COGSFMFuel - clients_RE</t>
  </si>
  <si>
    <t>COGSFMParking_RE</t>
  </si>
  <si>
    <t>Re-invoice_Tire service_FM</t>
  </si>
  <si>
    <t>COGSFMTire expenses_RE</t>
  </si>
  <si>
    <t>Re-invoice_Washes_FM</t>
  </si>
  <si>
    <t>COGSFMCar wash_RE</t>
  </si>
  <si>
    <t>Re-invoice_margin_Tire service_FM</t>
  </si>
  <si>
    <t>Re-invoice_margin_Washes_FM</t>
  </si>
  <si>
    <t>Re-invoice_GTO_OL</t>
  </si>
  <si>
    <t>Re-invoice_Greencard_OL</t>
  </si>
  <si>
    <t>Re-invoice_Tire service_OL</t>
  </si>
  <si>
    <t>Re-invoice_Washes_OL</t>
  </si>
  <si>
    <t>Re-invoice_margin_GTO_OL</t>
  </si>
  <si>
    <t>Re-invoice_margin_Greencard_OL</t>
  </si>
  <si>
    <t>Транспортный налог</t>
  </si>
  <si>
    <t>Advertising_Subs</t>
  </si>
  <si>
    <t>Osago_OFF</t>
  </si>
  <si>
    <t>Health insuranse (driver OL)</t>
  </si>
  <si>
    <t>ND Financial assistance to an employee</t>
  </si>
  <si>
    <t>Расходы (доходы) прошлых периодов Tire storage_OL</t>
  </si>
  <si>
    <t>Перевыставляемые расходы прошлых периодов Mobile Phone_OL</t>
  </si>
  <si>
    <t>Перевыставляемые расходы прошлых периодов Tire storage_FM</t>
  </si>
  <si>
    <t>Расходы (доходы) прошлых периодов Tire fitting_OL</t>
  </si>
  <si>
    <t>Расходы (доходы) прошлых периодов Rent car for client_STR</t>
  </si>
  <si>
    <t>Расходы (доходы) прошлых периодов Pre-sale Costs_RM</t>
  </si>
  <si>
    <t>Cost related to rent for employees</t>
  </si>
  <si>
    <t>Annual bonus</t>
  </si>
  <si>
    <t>Social taxes_Annual bonus</t>
  </si>
  <si>
    <t>Income (expenses) from the sale (purchase) of foreign currency</t>
  </si>
  <si>
    <t>Returned overpaid wages</t>
  </si>
  <si>
    <t>Expenses (income) of previous periods Transfers_RM</t>
  </si>
  <si>
    <t>Expenses (income) of previous periods Transfers_OL</t>
  </si>
  <si>
    <t>Expenses (income) of previous periods Tires_OL</t>
  </si>
  <si>
    <t>Re-invoice Expenses (income) of previous periods Transfers_OL</t>
  </si>
  <si>
    <t>Re-invoice Expenses (income) of previous periods Mobile Phone_OL</t>
  </si>
  <si>
    <t>Expenses (income) of previous periods Tire fitting_RM</t>
  </si>
  <si>
    <t>Expenses (income) of previous periods Marketing_OL</t>
  </si>
  <si>
    <t>Expenses (income) of previous periods Maintenance_RM</t>
  </si>
  <si>
    <t>Expenses (income) of previous periods Pre-sale Costs_RM</t>
  </si>
  <si>
    <t>Expenses (income) of previous periods Software, licenses</t>
  </si>
  <si>
    <t>Expenses (income) of previous periods Rent car for client_STR</t>
  </si>
  <si>
    <t>Expenses (income) of previous periods Maintenance_FM</t>
  </si>
  <si>
    <t>Expenses (income) of previous periods IT setup</t>
  </si>
  <si>
    <t>Expenses (income) of previous periods Internet</t>
  </si>
  <si>
    <t>Expenses (income) of previous periods Franshiza_OL</t>
  </si>
  <si>
    <t>Social taxes_Additional vacations</t>
  </si>
  <si>
    <t>IC</t>
  </si>
  <si>
    <t>ND Representative expenses</t>
  </si>
  <si>
    <t>ND Charity</t>
  </si>
  <si>
    <t>ND Corporate events</t>
  </si>
  <si>
    <t>ND Additional vacations</t>
  </si>
  <si>
    <t>ND Fine and penalty (tax)</t>
  </si>
  <si>
    <t>ND Write-off of receivables (payables)</t>
  </si>
  <si>
    <t>ND Write-off of VAT</t>
  </si>
  <si>
    <t>ND Police fine</t>
  </si>
  <si>
    <t>Unused DSAGO insurance</t>
  </si>
  <si>
    <t>ND Information service (w/o docs)</t>
  </si>
  <si>
    <t>ND Training</t>
  </si>
  <si>
    <t>State fees and other legal costs</t>
  </si>
  <si>
    <t>Re-invoice_Transfers_FM</t>
  </si>
  <si>
    <t>Re-invoice_margin_Transfers_FM</t>
  </si>
  <si>
    <t>Re-invoice_Parking_STR</t>
  </si>
  <si>
    <t>Re-invoice_Transfers_STR</t>
  </si>
  <si>
    <t>Re-invoice_margin_Parking_STR</t>
  </si>
  <si>
    <t>Re-invoice_margin_Transfers_STR</t>
  </si>
  <si>
    <t>Re-invoice_Transfer Fuel_OL</t>
  </si>
  <si>
    <t>Re-invoice_Transfer Washes_OL</t>
  </si>
  <si>
    <t>Re-invoice_Mobile Phone_OL</t>
  </si>
  <si>
    <t>Re-invoice_margin_Registration_FM</t>
  </si>
  <si>
    <t>Expat education</t>
  </si>
  <si>
    <t>Expat family other costs</t>
  </si>
  <si>
    <t>Expat family vacation costs</t>
  </si>
  <si>
    <t>ND Expat family costs</t>
  </si>
  <si>
    <t>Expat vacation costs</t>
  </si>
  <si>
    <t>Doubtful debt provision</t>
  </si>
  <si>
    <t>ND Advertising_OL</t>
  </si>
  <si>
    <t>Re-invoice_Registration_FM</t>
  </si>
  <si>
    <t>Re-invoice_Transfer Fuel_FM</t>
  </si>
  <si>
    <t>Expenses (income) of previous periods Resale comission_RM</t>
  </si>
  <si>
    <t>ND Fine and penalty (other)</t>
  </si>
  <si>
    <t>Re-invoice_Fuel_STR</t>
  </si>
  <si>
    <t>Fuel Washes_OL</t>
  </si>
  <si>
    <t>Fuel Washes_STR</t>
  </si>
  <si>
    <t>ND Reimbursement of legal costs</t>
  </si>
  <si>
    <t>Re-invoice_Tire storage_OL</t>
  </si>
  <si>
    <t>Re-invoice_margin_Tire storage_OL</t>
  </si>
  <si>
    <t>Re-invoice_Fuel Washes_STR</t>
  </si>
  <si>
    <t>Provision for upcoming vacations</t>
  </si>
  <si>
    <t>Re-invoice_Franshiza_OL</t>
  </si>
  <si>
    <t>Accident_autoinsurance</t>
  </si>
  <si>
    <t>DSAGO</t>
  </si>
  <si>
    <t>ДСАГО_STR</t>
  </si>
  <si>
    <t>ДСАГО_RM</t>
  </si>
  <si>
    <t>МС Comission_FL</t>
  </si>
  <si>
    <t>Income (expenses) from the sale of used tires</t>
  </si>
  <si>
    <t>Re-invoice Expenses (income) of previous periods Tires_FM</t>
  </si>
  <si>
    <t>Expenses (income) of previous periods Medical_OFF</t>
  </si>
  <si>
    <t>Expenses (income) of previous periods LeasingCost_FL</t>
  </si>
  <si>
    <t>Expenses (income) of previous periods Maintenance_OFF</t>
  </si>
  <si>
    <t>Expenses (income) of previous periods_Expat family medical costs</t>
  </si>
  <si>
    <t>Expenses (income) of previous periods_Expat medical costs</t>
  </si>
  <si>
    <t>Expenses (income) of previous periods Office expenses</t>
  </si>
  <si>
    <t>Expenses (income) of previous periods LeasingTelem_FL</t>
  </si>
  <si>
    <t>Expenses (income) of previous periods LeasingСomission_FL</t>
  </si>
  <si>
    <t>Expenses (income) of previous periods IT Informational services</t>
  </si>
  <si>
    <t>Expenses (income) of previous periods Maintenance insurance_OL</t>
  </si>
  <si>
    <t>Expenses (income) of previous periods GPS_OL</t>
  </si>
  <si>
    <t>Expenses (income) of previous periods Parking_OL</t>
  </si>
  <si>
    <t>Re-invoice Expenses (income) of previous periods Parking_OL</t>
  </si>
  <si>
    <t>Re-invoice Expenses (income) of previous periods Registration_OL</t>
  </si>
  <si>
    <t>Re-invoice Expenses (income) of previous periods Tire fitting_OL</t>
  </si>
  <si>
    <t>Expenses (income) of previous periods GPS_STR</t>
  </si>
  <si>
    <t>Expenses (income) of previous periods GPS_OFF</t>
  </si>
  <si>
    <t>Expenses (income) of previous periods Tire service_OL</t>
  </si>
  <si>
    <t>Expenses (income) of previous periods Parking_STR</t>
  </si>
  <si>
    <t>Expenses (income) of previous periods_Subscription cons</t>
  </si>
  <si>
    <t>Expenses (income) of previous periods Medical_DR</t>
  </si>
  <si>
    <t>Re-invoice Expenses (income) of previous periods Tire fitting_FM</t>
  </si>
  <si>
    <t>Re-invoice Expenses (income) of previous periods Parking_STR</t>
  </si>
  <si>
    <t>Re-invoice Expenses (income) of previous periods Maintenance_FM</t>
  </si>
  <si>
    <t>Expenses (income) of previous periods Registration_RM</t>
  </si>
  <si>
    <t>Deprecation_OL</t>
  </si>
  <si>
    <t>Ликвидация основных средств</t>
  </si>
  <si>
    <t>Expenses (income) of previous periods KASKO_RM</t>
  </si>
  <si>
    <t>Expenses (income) of previous periods_Expat other costs</t>
  </si>
  <si>
    <t>Expenses (income) of previous periods Inspection</t>
  </si>
  <si>
    <t>Expenses (income) of previous periods Evacuator_OL</t>
  </si>
  <si>
    <t>Maintenance (by fact)_RM</t>
  </si>
  <si>
    <t>Leasing_OL</t>
  </si>
  <si>
    <t>Fuel_OL</t>
  </si>
  <si>
    <t>Rent car for client_STR</t>
  </si>
  <si>
    <t>Depreciation_FL</t>
  </si>
  <si>
    <t>Резерв отпусков DR_OL</t>
  </si>
  <si>
    <t>OSAGO_RM</t>
  </si>
  <si>
    <t>GTO_STR</t>
  </si>
  <si>
    <t>GPS_RM</t>
  </si>
  <si>
    <t>Parking_FM</t>
  </si>
  <si>
    <t>ND Other non-operating income (expenses)</t>
  </si>
  <si>
    <t>Re-invoice Expenses (income) of previous periods Toll road_OL</t>
  </si>
  <si>
    <t>Expenses (income) of previous periods Marketing_FL</t>
  </si>
  <si>
    <t>Unused Parking_OL</t>
  </si>
  <si>
    <t>Evacuator_STR</t>
  </si>
  <si>
    <t>Re-invoice_Evacuator_FM</t>
  </si>
  <si>
    <t>Tires_STR</t>
  </si>
  <si>
    <t>Re-invoice_Evacuator_OL</t>
  </si>
  <si>
    <t>Re-invoice_margin_Evacuator_FM</t>
  </si>
  <si>
    <t>Re-invoice_margin_Evacuator_OL</t>
  </si>
  <si>
    <t>Re-invoice_margin_BodyRepair_OL</t>
  </si>
  <si>
    <t>Re-invoice Expenses (income) of previous periods Tire storage_OL</t>
  </si>
  <si>
    <t>Expenses (income) of previous periods Recruitment cost</t>
  </si>
  <si>
    <t>Penalty for violation of the contract _FM</t>
  </si>
  <si>
    <t>Z_Leasing_OL</t>
  </si>
  <si>
    <t>Доходы (расходы), связанные с продажей (покупкой) валюты</t>
  </si>
  <si>
    <t>Additional_DR</t>
  </si>
  <si>
    <t>WayBill expenses_OL</t>
  </si>
  <si>
    <t>Additional_OFF</t>
  </si>
  <si>
    <t>Additional_OL</t>
  </si>
  <si>
    <t>Business trip expences</t>
  </si>
  <si>
    <t>Car wash_DR</t>
  </si>
  <si>
    <t>Car wash_FM</t>
  </si>
  <si>
    <t>Car wash_OFF</t>
  </si>
  <si>
    <t>Parking IC</t>
  </si>
  <si>
    <t>Car wash_OL</t>
  </si>
  <si>
    <t>Car wash_RES</t>
  </si>
  <si>
    <t>Car wash_STR</t>
  </si>
  <si>
    <t>Depreciation НМА</t>
  </si>
  <si>
    <t>Drivers services</t>
  </si>
  <si>
    <t>Fleet management IC</t>
  </si>
  <si>
    <t>Fuel_FM</t>
  </si>
  <si>
    <t>Fuel_office_OFF</t>
  </si>
  <si>
    <t>Fuel_office_OL</t>
  </si>
  <si>
    <t>Garage - охранные услуги</t>
  </si>
  <si>
    <t>Garage</t>
  </si>
  <si>
    <t>GTO_FM</t>
  </si>
  <si>
    <t>Health insurance (driver)</t>
  </si>
  <si>
    <t>Health insuranse (driver)</t>
  </si>
  <si>
    <t>Informational services</t>
  </si>
  <si>
    <t>Reg_state_fee_OFF</t>
  </si>
  <si>
    <t>Kasko</t>
  </si>
  <si>
    <t>Maintenance (by fact)_FCFM</t>
  </si>
  <si>
    <t>Maintenance (by fact)_FM</t>
  </si>
  <si>
    <t>Maintenance (by fact)_OFF</t>
  </si>
  <si>
    <t>Maintenance (by fact)_ONE</t>
  </si>
  <si>
    <t>Maintenance (by fact)_RES</t>
  </si>
  <si>
    <t>Maintenance (by fact)</t>
  </si>
  <si>
    <t>Monthly Leasing</t>
  </si>
  <si>
    <t>Office expenses 1</t>
  </si>
  <si>
    <t>Osago</t>
  </si>
  <si>
    <t>Parking_DR</t>
  </si>
  <si>
    <t>Parking_RES</t>
  </si>
  <si>
    <t>Parking</t>
  </si>
  <si>
    <t>Registration - for third parties (рег. а/м 3-л)_FCFM</t>
  </si>
  <si>
    <t>Registration - for third parties (рег. а/м 3-л)_FM</t>
  </si>
  <si>
    <t>Registration - for third parties (рег. а/м 3-л)_ONE</t>
  </si>
  <si>
    <t>Registration - new cars (рег. новых а/м)_OL</t>
  </si>
  <si>
    <t>Registration - new cars (рег. новых а/м)_STR</t>
  </si>
  <si>
    <t>Registration - old cars (рег. стар. а/м)_OL</t>
  </si>
  <si>
    <t>Registration - old cars (рег. стар. а/м)_RES</t>
  </si>
  <si>
    <t>Registration - old cars (рег. стар. а/м)_STR</t>
  </si>
  <si>
    <t>Rent car for client IC</t>
  </si>
  <si>
    <t>Rent car for client_OL</t>
  </si>
  <si>
    <t>Rent car for client</t>
  </si>
  <si>
    <t>Rent cars for clients IC</t>
  </si>
  <si>
    <t>Repair under franchise RUR_OL</t>
  </si>
  <si>
    <t>Resale maintenance</t>
  </si>
  <si>
    <t>Tire changing_FM</t>
  </si>
  <si>
    <t>Tire changing_OFF</t>
  </si>
  <si>
    <t>Tire changing_OL</t>
  </si>
  <si>
    <t>Tire storage (Хранение шин)_FCFM</t>
  </si>
  <si>
    <t>Tire storage (Хранение шин)_FM</t>
  </si>
  <si>
    <t>Tire storage (Хранение шин)_OFF</t>
  </si>
  <si>
    <t>Tire storage (Хранение шин)_OL</t>
  </si>
  <si>
    <t>Tire storage (Хранение шин)_RES</t>
  </si>
  <si>
    <t>Tire storage (Хранение шин)_STR</t>
  </si>
  <si>
    <t>Fuel_LTR</t>
  </si>
  <si>
    <t>Tires changing_FCFM</t>
  </si>
  <si>
    <t>Tires changing_FM</t>
  </si>
  <si>
    <t>Tires changing_OFF</t>
  </si>
  <si>
    <t>Tires changing_OL</t>
  </si>
  <si>
    <t>Tires changing_STR</t>
  </si>
  <si>
    <t>Tires_FCFM</t>
  </si>
  <si>
    <t>Tires_FM</t>
  </si>
  <si>
    <t>Transportation service new cars_OL</t>
  </si>
  <si>
    <t>Transportation service old cars_OL</t>
  </si>
  <si>
    <t>Transportation services - for third parties (а/м 3-л)_FM</t>
  </si>
  <si>
    <t>Transportation services_DR</t>
  </si>
  <si>
    <t>Transportation services_FM</t>
  </si>
  <si>
    <t>Transportation services_OL</t>
  </si>
  <si>
    <t>Transportation services_RES</t>
  </si>
  <si>
    <t>Агентское вознаграждение</t>
  </si>
  <si>
    <t>Аренда Resale</t>
  </si>
  <si>
    <t>Аренда гаража</t>
  </si>
  <si>
    <t>Информационные технологии и системы (IT &amp; systems)</t>
  </si>
  <si>
    <t>Обработка первичных документов</t>
  </si>
  <si>
    <t>ПО, ПП, лицензии - поддержка</t>
  </si>
  <si>
    <t>Additional_FCFM</t>
  </si>
  <si>
    <t>Additional_FM</t>
  </si>
  <si>
    <t>Additional_ONE</t>
  </si>
  <si>
    <t>Additional_STR</t>
  </si>
  <si>
    <t>Driver services</t>
  </si>
  <si>
    <t>Excess mileage _STR</t>
  </si>
  <si>
    <t>FCFM</t>
  </si>
  <si>
    <t>Fuel compensation_FM</t>
  </si>
  <si>
    <t>Fuel compensation_OL</t>
  </si>
  <si>
    <t>Fuel compensation_ONE</t>
  </si>
  <si>
    <t>Fuel_ONE</t>
  </si>
  <si>
    <t>GPS_FCFM</t>
  </si>
  <si>
    <t>Leasing</t>
  </si>
  <si>
    <t>Operating Lease IC</t>
  </si>
  <si>
    <t>Parking_ONE</t>
  </si>
  <si>
    <t>Registration_FM</t>
  </si>
  <si>
    <t>Registration_ONE</t>
  </si>
  <si>
    <t>Rent cars IC</t>
  </si>
  <si>
    <t>Rent cars</t>
  </si>
  <si>
    <t>Resale commission</t>
  </si>
  <si>
    <t>Tire service (по абонплате)</t>
  </si>
  <si>
    <t>Transfers_FCFM</t>
  </si>
  <si>
    <t>Transfers_FM</t>
  </si>
  <si>
    <t>Transfers</t>
  </si>
  <si>
    <t>Washes_FM</t>
  </si>
  <si>
    <t>Waybill_OL</t>
  </si>
  <si>
    <t>Реализация автомобилей 3-х лиц сч 41</t>
  </si>
  <si>
    <t>Реализация собственных автомобилей сч 41</t>
  </si>
  <si>
    <t>Foreign currency positions revaluation</t>
  </si>
  <si>
    <t>Foreign exchange differencies</t>
  </si>
  <si>
    <t>Insurance indemnity (страховое возмещение)</t>
  </si>
  <si>
    <t>Insuranse indemnity (страховое возмещение)</t>
  </si>
  <si>
    <t>Resale (доходы (расходы), связанные с реализацией основных средств</t>
  </si>
  <si>
    <t>Проценты к получению (уплате)</t>
  </si>
  <si>
    <t>Проценты по займу</t>
  </si>
  <si>
    <t>Штрафы, пени, неустойки (не принимаемые)</t>
  </si>
  <si>
    <t>Разница между компенсационной стоимостью и страховым возмещением</t>
  </si>
  <si>
    <t>Амортизация по лизингу (не включаемая в расходы)</t>
  </si>
  <si>
    <t>амортизация по лизингу</t>
  </si>
  <si>
    <t>Не принимаемые для налога на прибыль</t>
  </si>
  <si>
    <t>Пени за просрочку платежа по договору</t>
  </si>
  <si>
    <t>Проценты к получению (уплате)_1С</t>
  </si>
  <si>
    <t>Проценты по кредиту</t>
  </si>
  <si>
    <t>Прочие не принимаемые расходы</t>
  </si>
  <si>
    <t>Recruitment cost_DR</t>
  </si>
  <si>
    <t>Recruitment cost_OFF</t>
  </si>
  <si>
    <t>Advertising the sale of cars</t>
  </si>
  <si>
    <t>Car wash_FCFM</t>
  </si>
  <si>
    <t>Fuel_DR</t>
  </si>
  <si>
    <t>Fuel_FCFM</t>
  </si>
  <si>
    <t>Rent car for client_FM</t>
  </si>
  <si>
    <t>Tires changing</t>
  </si>
  <si>
    <t>Fuel compensation_FCFM</t>
  </si>
  <si>
    <t>Washes_FCFM</t>
  </si>
  <si>
    <t>Washes_ONE</t>
  </si>
  <si>
    <t>GTO_FCFM</t>
  </si>
  <si>
    <t>GTO_OFF</t>
  </si>
  <si>
    <t>Rent car for client_OFF</t>
  </si>
  <si>
    <t>Transportation service old cars_STR</t>
  </si>
  <si>
    <t>Additional RES</t>
  </si>
  <si>
    <t>Fuel compensation_STR</t>
  </si>
  <si>
    <t>Waybill_FM</t>
  </si>
  <si>
    <t>Reg_state_fee_OL</t>
  </si>
  <si>
    <t>Tire changing_STR</t>
  </si>
  <si>
    <t>Tires_OFF</t>
  </si>
  <si>
    <t>Инкассация</t>
  </si>
  <si>
    <t>GPS_FM</t>
  </si>
  <si>
    <t>Tires changing_DR</t>
  </si>
  <si>
    <t>Tires changing_RES</t>
  </si>
  <si>
    <t>GTO</t>
  </si>
  <si>
    <t>Vehicle tax (транспортный налог)</t>
  </si>
  <si>
    <t>Штрафы, пени и неустойки к получению (уплате)</t>
  </si>
  <si>
    <t>Rent_FM</t>
  </si>
  <si>
    <t>Parking_FCFM</t>
  </si>
  <si>
    <t>Registration - old cars (рег. стар. а/м)_OFF</t>
  </si>
  <si>
    <t>Штрафы, пени, неустойки (взнос, налоги)</t>
  </si>
  <si>
    <t>Recruitment cost_RES</t>
  </si>
  <si>
    <t>Transportation services_STR</t>
  </si>
  <si>
    <t>Other_ONE</t>
  </si>
  <si>
    <t>Tire changing_RES</t>
  </si>
  <si>
    <t>Fines to clients_STR</t>
  </si>
  <si>
    <t>Registration_FCFM</t>
  </si>
  <si>
    <t>Торговый сбор</t>
  </si>
  <si>
    <t>Advertisement</t>
  </si>
  <si>
    <t>Fuel</t>
  </si>
  <si>
    <t>Registration - new cars (рег. новых а/м)_FCFM</t>
  </si>
  <si>
    <t>Registration - new cars (рег. новых а/м)_OFF</t>
  </si>
  <si>
    <t>Repair under franchise RUR_DR</t>
  </si>
  <si>
    <t>Repair under franchise RUR_FM</t>
  </si>
  <si>
    <t>Driver services_Add</t>
  </si>
  <si>
    <t>Fines to clients_FM</t>
  </si>
  <si>
    <t>Tire service_FCFM</t>
  </si>
  <si>
    <t>Tire service_FM</t>
  </si>
  <si>
    <t>Tire service_OL</t>
  </si>
  <si>
    <t>Additional</t>
  </si>
  <si>
    <t>Проценты по кредитам на пополнение оборотных средств</t>
  </si>
  <si>
    <t>Расходы по уплате страховых взносов</t>
  </si>
  <si>
    <t>GPS</t>
  </si>
  <si>
    <t>Tire service _OL</t>
  </si>
  <si>
    <t>Возмещение ущерба лизингодателя</t>
  </si>
  <si>
    <t>Tire storage (Хранение шин)</t>
  </si>
  <si>
    <t>Driver services_Variable</t>
  </si>
  <si>
    <t>Fuel compensation</t>
  </si>
  <si>
    <t>Early termination fee_DR</t>
  </si>
  <si>
    <t>Reg_state_fee</t>
  </si>
  <si>
    <t>Repair under franchise RUR_STR</t>
  </si>
  <si>
    <t>Translation_OFF</t>
  </si>
  <si>
    <t>Resale</t>
  </si>
  <si>
    <t>Доходы (расходы), связанные с реализацией права требования как оказания финансовых услуг</t>
  </si>
  <si>
    <t>Аккредитация</t>
  </si>
  <si>
    <t>Resale IC</t>
  </si>
  <si>
    <t>Other_DR</t>
  </si>
  <si>
    <t>Medical_OL</t>
  </si>
  <si>
    <t>Phone_DR</t>
  </si>
  <si>
    <t>WayBill expenses_FM</t>
  </si>
  <si>
    <t>Курсовые разницы по расчетам в у.е. (по сделкам до 2015 г)</t>
  </si>
  <si>
    <t>Реализация автомобилей сч 41</t>
  </si>
  <si>
    <t>Leasing_OFF</t>
  </si>
  <si>
    <t>ДСАГО_OL</t>
  </si>
  <si>
    <t>Каско_OL</t>
  </si>
  <si>
    <t>Каско_STR</t>
  </si>
  <si>
    <t>Parking_LTR</t>
  </si>
  <si>
    <t>Registration_LTR</t>
  </si>
  <si>
    <t>Registration_PrL</t>
  </si>
  <si>
    <t>Registration_STR</t>
  </si>
  <si>
    <t>ОСАГО_STR</t>
  </si>
  <si>
    <t>Каско_OFF</t>
  </si>
  <si>
    <t>Каско_RM</t>
  </si>
  <si>
    <t>ОСАГО_OFF</t>
  </si>
  <si>
    <t>Computers &amp; Ortehnika</t>
  </si>
  <si>
    <t>Subscription</t>
  </si>
  <si>
    <t>Не принимаемые для налога на прибыль (Компенсация использования личного автомобиля в служебных целях)</t>
  </si>
  <si>
    <t>Не принимаемые для налога на прибыль (НДС с подарков)</t>
  </si>
  <si>
    <t>Не принимаемые для налога на прибыль (Подарки)</t>
  </si>
  <si>
    <t>Грин-карта</t>
  </si>
  <si>
    <t>Комиссия за банковскую гарантию</t>
  </si>
  <si>
    <t>Excess mileage_OL</t>
  </si>
  <si>
    <t>Other_OL</t>
  </si>
  <si>
    <t>Прочие внереализационные доходы (расходы)</t>
  </si>
  <si>
    <t>Repair under franchise RUR_RES</t>
  </si>
  <si>
    <t>Salary_Implants</t>
  </si>
  <si>
    <t>Salary_Implants_Резерв по неотгуленным отпускам</t>
  </si>
  <si>
    <t>Social taxes_Implants</t>
  </si>
  <si>
    <t>Social taxes_Implants_Резерв по неотгуленным отпускам</t>
  </si>
  <si>
    <t>Имплант_OL</t>
  </si>
  <si>
    <t>Доходы (расходы), связанные с реализацией прочего имущества</t>
  </si>
  <si>
    <t>Не принимаемые для налога на прибыль (Компенсация ДМС, пособия)</t>
  </si>
  <si>
    <t>Каско_FM</t>
  </si>
  <si>
    <t>Каско_LTR</t>
  </si>
  <si>
    <t>ОСАГО_FCFM</t>
  </si>
  <si>
    <t>ОСАГО_FM</t>
  </si>
  <si>
    <t>ОСАГО_LTR</t>
  </si>
  <si>
    <t>Salary_DR</t>
  </si>
  <si>
    <t>Salary_DR_Резерв по неотгуленным отпускам</t>
  </si>
  <si>
    <t>Social taxes_DR</t>
  </si>
  <si>
    <t>Social taxes_DR_Резерв по неотгуленным отпускам</t>
  </si>
  <si>
    <t>Leasing_LTR</t>
  </si>
  <si>
    <t>Каско_FCFM</t>
  </si>
  <si>
    <t>Проценты по займу_1С</t>
  </si>
  <si>
    <t>Проценты по займам на пополнение оборотных средств</t>
  </si>
  <si>
    <t>Registration RES</t>
  </si>
  <si>
    <t>Transportation services_FCFM</t>
  </si>
  <si>
    <t>Tire service_RES</t>
  </si>
  <si>
    <t>Резерв по сомнительным долгам</t>
  </si>
  <si>
    <t>Не принимаемые для налога на прибыль (Представительские расходы)</t>
  </si>
  <si>
    <t>GTO_RES</t>
  </si>
  <si>
    <t>Medical_FM</t>
  </si>
  <si>
    <t>Driver services_FM</t>
  </si>
  <si>
    <t>Tire service (по абонплате)_FM</t>
  </si>
  <si>
    <t>Tire_OL</t>
  </si>
  <si>
    <t>Списание дебиторской (кредиторской) задолженности</t>
  </si>
  <si>
    <t>Tire service _FM</t>
  </si>
  <si>
    <t>Списание дебиторской(кредиторской) задолженности</t>
  </si>
  <si>
    <t>Не принимаемые для налога на прибыль (Списание по акту сверки)</t>
  </si>
  <si>
    <t>Списание ОС</t>
  </si>
  <si>
    <t>Transportation services - for third parties (а/м 3-л)_FCFM</t>
  </si>
  <si>
    <t>Агентское вознаграждение_IC</t>
  </si>
  <si>
    <t>Имущественные налоги</t>
  </si>
  <si>
    <t>Tire_FM</t>
  </si>
  <si>
    <t>Tire _OL</t>
  </si>
  <si>
    <t>Проценты к получению (по депозитам)</t>
  </si>
  <si>
    <t>Taxi</t>
  </si>
  <si>
    <t>Transportation service old cars_OFF</t>
  </si>
  <si>
    <t>Не использовать - Drivers services</t>
  </si>
  <si>
    <t>Driver services_OL</t>
  </si>
  <si>
    <t>Не использовать - Office expenses 1</t>
  </si>
  <si>
    <t>Ремонт офиса косметический _PRL</t>
  </si>
  <si>
    <t>Не использовать - Leasing_OL</t>
  </si>
  <si>
    <t>Salary_PRL</t>
  </si>
  <si>
    <t>Salary_PRL_Резерв по неотгуленным отпускам</t>
  </si>
  <si>
    <t>Social taxes_PRL</t>
  </si>
  <si>
    <t>Social taxes_PRL_Резерв по неотгуленным отпускам</t>
  </si>
  <si>
    <t>Tire_FCFM</t>
  </si>
  <si>
    <t>Ремонт офиса косметический</t>
  </si>
  <si>
    <t>Tires Expenses</t>
  </si>
  <si>
    <t>Оценка авто_RES</t>
  </si>
  <si>
    <t>Maintenance (by fact)_DR</t>
  </si>
  <si>
    <t>Office expenses_RES</t>
  </si>
  <si>
    <t>Tires repair_OL</t>
  </si>
  <si>
    <t>Tires_RES</t>
  </si>
  <si>
    <t>Business trip expences DR</t>
  </si>
  <si>
    <t>Business trip expences OL</t>
  </si>
  <si>
    <t>Fuel_RES</t>
  </si>
  <si>
    <t>Marketing_RES</t>
  </si>
  <si>
    <t>Registration cars_FM</t>
  </si>
  <si>
    <t>Registration cars_OL</t>
  </si>
  <si>
    <t>Registration cars_RES</t>
  </si>
  <si>
    <t>Registration cars_STR</t>
  </si>
  <si>
    <t>Сleaning_RES</t>
  </si>
  <si>
    <t>Registration cars_FCFM</t>
  </si>
  <si>
    <t>не использовать Реализация автомобилей сч 41</t>
  </si>
  <si>
    <t>Штрафы, пени за просрочку платежа по договору</t>
  </si>
  <si>
    <t>Mobile Phone_RES</t>
  </si>
  <si>
    <t>Maintenance (by fact)_PRL</t>
  </si>
  <si>
    <t>Ремонт офиса косметический_RES</t>
  </si>
  <si>
    <t>Каско_PRL</t>
  </si>
  <si>
    <t>Каско_RES</t>
  </si>
  <si>
    <t>ОСАГО_PRL</t>
  </si>
  <si>
    <t>Car wash_PRL</t>
  </si>
  <si>
    <t>Leasing_PRL</t>
  </si>
  <si>
    <t>ОСАГО_RES</t>
  </si>
  <si>
    <t>Recruitment cost_PRL</t>
  </si>
  <si>
    <t>Штрафы, пени за нарушение условий по договору</t>
  </si>
  <si>
    <t>State fee</t>
  </si>
  <si>
    <t>Tires_PRL</t>
  </si>
  <si>
    <t>Training_DR_OL</t>
  </si>
  <si>
    <t>Mobile Phone_PRL</t>
  </si>
  <si>
    <t>Tires changing_PRL</t>
  </si>
  <si>
    <t>НДС с корректировки реализации</t>
  </si>
  <si>
    <t>Корректировка реализации</t>
  </si>
  <si>
    <t>Registration_PRL</t>
  </si>
  <si>
    <t>Registration_RES</t>
  </si>
  <si>
    <t>Tire service_OFF</t>
  </si>
  <si>
    <t>Tire service_PRL</t>
  </si>
  <si>
    <t>Tire service_STR</t>
  </si>
  <si>
    <t>Tire storage_FCFM</t>
  </si>
  <si>
    <t>Tire storage_RES</t>
  </si>
  <si>
    <t>Transfers_DR</t>
  </si>
  <si>
    <t>Transfers_RES</t>
  </si>
  <si>
    <t>Washes_PRL</t>
  </si>
  <si>
    <t>Washes_RES</t>
  </si>
  <si>
    <t>Marketing_RM</t>
  </si>
  <si>
    <t>Office expenses_RM</t>
  </si>
  <si>
    <t>ОСАГО_RM</t>
  </si>
  <si>
    <t>Tire service_RM</t>
  </si>
  <si>
    <t>Оценка авто_RM</t>
  </si>
  <si>
    <t>Mobile Phone_RM</t>
  </si>
  <si>
    <t>Recruitment cost_RM</t>
  </si>
  <si>
    <t>Сleaning_RM</t>
  </si>
  <si>
    <t>GPS_LTR</t>
  </si>
  <si>
    <t>GPS_PRL</t>
  </si>
  <si>
    <t>Maintenance (by fact)_LTR</t>
  </si>
  <si>
    <t>Mobile Phone_OL</t>
  </si>
  <si>
    <t>Tire service_LTR</t>
  </si>
  <si>
    <t>Washes_RM</t>
  </si>
  <si>
    <t>Mobile Phone_LTR</t>
  </si>
  <si>
    <t>Transfers_LTR</t>
  </si>
  <si>
    <t>Fines to clients</t>
  </si>
  <si>
    <t>GTO_LTR</t>
  </si>
  <si>
    <t>Washes_LTR</t>
  </si>
  <si>
    <t>Аренда гаража_OL</t>
  </si>
  <si>
    <t>Аренда гаража_RM</t>
  </si>
  <si>
    <t>Аренда гаража_STR</t>
  </si>
  <si>
    <t>Transfers_PRL</t>
  </si>
  <si>
    <t>Rent car for client_LTR</t>
  </si>
  <si>
    <t>Early termination fee_FM</t>
  </si>
  <si>
    <t>Fuel IC</t>
  </si>
  <si>
    <t>Resale commission_RM</t>
  </si>
  <si>
    <t>Возвращенные сотрудниками излишне выплаченные суммы оплаты труда</t>
  </si>
  <si>
    <t>GTO_RM</t>
  </si>
  <si>
    <t>Декабрь_OL</t>
  </si>
  <si>
    <t>Оценочные обязательства по предстоящим отпускам</t>
  </si>
  <si>
    <t>none</t>
  </si>
  <si>
    <t>Затраты по агентскому договору_OL</t>
  </si>
  <si>
    <t>Доходы (расходы), связанные с реализацией годных остатков ТС</t>
  </si>
  <si>
    <t>name</t>
  </si>
  <si>
    <t>90.01.2</t>
  </si>
  <si>
    <t>91.02.8</t>
  </si>
  <si>
    <t xml:space="preserve">Service inform_OL </t>
  </si>
  <si>
    <t>99.02.А</t>
  </si>
  <si>
    <t>99.02.О</t>
  </si>
  <si>
    <t>99.02.Т</t>
  </si>
  <si>
    <t>Income taxes</t>
  </si>
  <si>
    <t>SlsTires_OL</t>
  </si>
  <si>
    <t>00</t>
  </si>
  <si>
    <t>01</t>
  </si>
  <si>
    <t>01.01</t>
  </si>
  <si>
    <t>01.03</t>
  </si>
  <si>
    <t>01.08</t>
  </si>
  <si>
    <t>01.09</t>
  </si>
  <si>
    <t>02</t>
  </si>
  <si>
    <t>02.01</t>
  </si>
  <si>
    <t>02.02</t>
  </si>
  <si>
    <t>02.03</t>
  </si>
  <si>
    <t>03</t>
  </si>
  <si>
    <t>03.01</t>
  </si>
  <si>
    <t>03.02</t>
  </si>
  <si>
    <t>03.03</t>
  </si>
  <si>
    <t>03.09</t>
  </si>
  <si>
    <t>04</t>
  </si>
  <si>
    <t>04.01</t>
  </si>
  <si>
    <t>04.03</t>
  </si>
  <si>
    <t>05</t>
  </si>
  <si>
    <t>05.01</t>
  </si>
  <si>
    <t>05.02</t>
  </si>
  <si>
    <t>08</t>
  </si>
  <si>
    <t>08.04</t>
  </si>
  <si>
    <t>08.04.1</t>
  </si>
  <si>
    <t>08.09</t>
  </si>
  <si>
    <t>09</t>
  </si>
  <si>
    <t>10</t>
  </si>
  <si>
    <t>10.03</t>
  </si>
  <si>
    <t>10.03.1</t>
  </si>
  <si>
    <t>10.05</t>
  </si>
  <si>
    <t>10.05.1</t>
  </si>
  <si>
    <t>10.05.2</t>
  </si>
  <si>
    <t>10.06</t>
  </si>
  <si>
    <t>10.12</t>
  </si>
  <si>
    <t>19</t>
  </si>
  <si>
    <t>19.01</t>
  </si>
  <si>
    <t>19.03</t>
  </si>
  <si>
    <t>19.04</t>
  </si>
  <si>
    <t>19.09</t>
  </si>
  <si>
    <t>41</t>
  </si>
  <si>
    <t>41.01</t>
  </si>
  <si>
    <t>41.05</t>
  </si>
  <si>
    <t>41.06</t>
  </si>
  <si>
    <t>51</t>
  </si>
  <si>
    <t>52</t>
  </si>
  <si>
    <t>55</t>
  </si>
  <si>
    <t>55.03</t>
  </si>
  <si>
    <t>57</t>
  </si>
  <si>
    <t>57.22</t>
  </si>
  <si>
    <t>58</t>
  </si>
  <si>
    <t>58.03.IC</t>
  </si>
  <si>
    <t>60</t>
  </si>
  <si>
    <t>60.01</t>
  </si>
  <si>
    <t>60.02</t>
  </si>
  <si>
    <t>60.04</t>
  </si>
  <si>
    <t>60.22</t>
  </si>
  <si>
    <t>60.31</t>
  </si>
  <si>
    <t>60.32</t>
  </si>
  <si>
    <t>62</t>
  </si>
  <si>
    <t>62.01</t>
  </si>
  <si>
    <t>62.01.1</t>
  </si>
  <si>
    <t>62.01.1.IC</t>
  </si>
  <si>
    <t>62.01.ЧИ</t>
  </si>
  <si>
    <t>62.01.ЧИ.ВИ</t>
  </si>
  <si>
    <t>62.01.ЧИ.ВИ.Д</t>
  </si>
  <si>
    <t>62.01.ЧИ.ВИ.К</t>
  </si>
  <si>
    <t>62.01.ЧИ.ПР</t>
  </si>
  <si>
    <t>62.01.ЧИ.ПР.Д</t>
  </si>
  <si>
    <t>62.01.ЧИ.ПР.К</t>
  </si>
  <si>
    <t>62.02</t>
  </si>
  <si>
    <t>62.02.1</t>
  </si>
  <si>
    <t>62.02.2</t>
  </si>
  <si>
    <t>62.06</t>
  </si>
  <si>
    <t>62.06.01</t>
  </si>
  <si>
    <t>62.06.01.ОЛ</t>
  </si>
  <si>
    <t>62.06.01.ОН</t>
  </si>
  <si>
    <t>62.06.01.ОН_ТО</t>
  </si>
  <si>
    <t>62.06.01.ОН_Ш</t>
  </si>
  <si>
    <t>62.06.01.ОН_ШМ</t>
  </si>
  <si>
    <t>62.06.02</t>
  </si>
  <si>
    <t>62.06.02.ОЛ</t>
  </si>
  <si>
    <t>62.06.02.ОЛ_НА</t>
  </si>
  <si>
    <t>62.06.21</t>
  </si>
  <si>
    <t>62.06.21.ОЛ</t>
  </si>
  <si>
    <t>62.06.21.ОН_ТО</t>
  </si>
  <si>
    <t>62.06.21.ОН_Ш</t>
  </si>
  <si>
    <t>62.06.21.ОН_ШМ</t>
  </si>
  <si>
    <t>62.06.22</t>
  </si>
  <si>
    <t>62.06.22.ОЛ</t>
  </si>
  <si>
    <t>62.06.31</t>
  </si>
  <si>
    <t>62.06.31.ОЛ</t>
  </si>
  <si>
    <t>62.06.31.ОН_ТО</t>
  </si>
  <si>
    <t>62.06.31.ОН_ШМ</t>
  </si>
  <si>
    <t>62.06.32</t>
  </si>
  <si>
    <t>62.06.32.ОЛ</t>
  </si>
  <si>
    <t>62.ТР</t>
  </si>
  <si>
    <t>63</t>
  </si>
  <si>
    <t>63.01</t>
  </si>
  <si>
    <t>63.03</t>
  </si>
  <si>
    <t>63.03.1</t>
  </si>
  <si>
    <t>63.03.1.Д</t>
  </si>
  <si>
    <t>63.03.1.К</t>
  </si>
  <si>
    <t>63.05</t>
  </si>
  <si>
    <t>63.05.1</t>
  </si>
  <si>
    <t>63.05.1.ОЛ</t>
  </si>
  <si>
    <t>66</t>
  </si>
  <si>
    <t>66.01</t>
  </si>
  <si>
    <t>66.01.1</t>
  </si>
  <si>
    <t>66.01.2</t>
  </si>
  <si>
    <t>66.01.4</t>
  </si>
  <si>
    <t>66.01.6</t>
  </si>
  <si>
    <t>66.02</t>
  </si>
  <si>
    <t>66.02.1</t>
  </si>
  <si>
    <t>66.02.2</t>
  </si>
  <si>
    <t>66.02.4</t>
  </si>
  <si>
    <t>66.02.6</t>
  </si>
  <si>
    <t>67</t>
  </si>
  <si>
    <t>67.01</t>
  </si>
  <si>
    <t>67.01.1</t>
  </si>
  <si>
    <t>67.01.2</t>
  </si>
  <si>
    <t>68</t>
  </si>
  <si>
    <t>68.01</t>
  </si>
  <si>
    <t>68.01.1</t>
  </si>
  <si>
    <t>68.02</t>
  </si>
  <si>
    <t>68.04</t>
  </si>
  <si>
    <t>68.04.1</t>
  </si>
  <si>
    <t>68.07</t>
  </si>
  <si>
    <t>68.08</t>
  </si>
  <si>
    <t>68.10</t>
  </si>
  <si>
    <t>68.13</t>
  </si>
  <si>
    <t>68.32</t>
  </si>
  <si>
    <t>69</t>
  </si>
  <si>
    <t>69.01</t>
  </si>
  <si>
    <t>69.02</t>
  </si>
  <si>
    <t>69.02.7</t>
  </si>
  <si>
    <t>69.03</t>
  </si>
  <si>
    <t>69.03.1</t>
  </si>
  <si>
    <t>69.11</t>
  </si>
  <si>
    <t>70</t>
  </si>
  <si>
    <t>71</t>
  </si>
  <si>
    <t>71.01</t>
  </si>
  <si>
    <t>73</t>
  </si>
  <si>
    <t>73.03</t>
  </si>
  <si>
    <t>76</t>
  </si>
  <si>
    <t>76.01</t>
  </si>
  <si>
    <t>76.01.1</t>
  </si>
  <si>
    <t>76.02</t>
  </si>
  <si>
    <t>76.03</t>
  </si>
  <si>
    <t>76.03.2</t>
  </si>
  <si>
    <t>76.03.3.IC</t>
  </si>
  <si>
    <t>76.05</t>
  </si>
  <si>
    <t>76.05.2</t>
  </si>
  <si>
    <t>76.06</t>
  </si>
  <si>
    <t>76.06.1</t>
  </si>
  <si>
    <t>76.06.2</t>
  </si>
  <si>
    <t>76.06.3</t>
  </si>
  <si>
    <t>76.06.3.IC</t>
  </si>
  <si>
    <t>76.06.АК</t>
  </si>
  <si>
    <t>76.06.НДС</t>
  </si>
  <si>
    <t>76.06.НДС.ОТЛ</t>
  </si>
  <si>
    <t>76.06.П</t>
  </si>
  <si>
    <t>76.06.ЧИ</t>
  </si>
  <si>
    <t>76.06.ЧИ.ВБ</t>
  </si>
  <si>
    <t>76.06.ЧИ.ИЗМ</t>
  </si>
  <si>
    <t>76.06.ЧИ.СС</t>
  </si>
  <si>
    <t>76.07</t>
  </si>
  <si>
    <t>76.07.1</t>
  </si>
  <si>
    <t>76.07.2</t>
  </si>
  <si>
    <t>76.07.5</t>
  </si>
  <si>
    <t>76.07.9</t>
  </si>
  <si>
    <t>76.09</t>
  </si>
  <si>
    <t>76.09.1</t>
  </si>
  <si>
    <t>76.09.2</t>
  </si>
  <si>
    <t>76.09.3</t>
  </si>
  <si>
    <t>76.09.4</t>
  </si>
  <si>
    <t>76.09.5</t>
  </si>
  <si>
    <t>76.09.5.IC</t>
  </si>
  <si>
    <t>76.09.6</t>
  </si>
  <si>
    <t>76.АВ</t>
  </si>
  <si>
    <t>76.НА</t>
  </si>
  <si>
    <t>77</t>
  </si>
  <si>
    <t>80</t>
  </si>
  <si>
    <t>80.01</t>
  </si>
  <si>
    <t>80.02</t>
  </si>
  <si>
    <t>80.09.IC</t>
  </si>
  <si>
    <t>83</t>
  </si>
  <si>
    <t>83.09</t>
  </si>
  <si>
    <t>84</t>
  </si>
  <si>
    <t>84.02</t>
  </si>
  <si>
    <t>96</t>
  </si>
  <si>
    <t>96.01</t>
  </si>
  <si>
    <t>96.01.1</t>
  </si>
  <si>
    <t>96.01.2</t>
  </si>
  <si>
    <t>96.01.3</t>
  </si>
  <si>
    <t>97</t>
  </si>
  <si>
    <t>97.21</t>
  </si>
  <si>
    <t>98</t>
  </si>
  <si>
    <t>98.07</t>
  </si>
  <si>
    <t>98.07.ОЛ</t>
  </si>
  <si>
    <t>98.07.ОЛ_ТО</t>
  </si>
  <si>
    <t>98.07.ОЛ_Ш</t>
  </si>
  <si>
    <t>98.07.ОЛ_ШМ</t>
  </si>
  <si>
    <t>99</t>
  </si>
  <si>
    <t>chld</t>
  </si>
  <si>
    <t>type</t>
  </si>
  <si>
    <t>bs_acc.type</t>
  </si>
  <si>
    <t>BS_chck.dr_cr</t>
  </si>
  <si>
    <t>diff</t>
  </si>
  <si>
    <t>lst</t>
  </si>
  <si>
    <t>[List]</t>
  </si>
  <si>
    <t>bs_acc_g.all</t>
  </si>
  <si>
    <t>99.01_99.01.1_99.02_99.02.А_99.02.О_99.02.Т</t>
  </si>
  <si>
    <t>Add_equipment_autoinsurance_RM</t>
  </si>
  <si>
    <t>Depreciation_STR</t>
  </si>
  <si>
    <t>Monthly Rent</t>
  </si>
  <si>
    <t>Seizure cost_FL</t>
  </si>
  <si>
    <t>Social taxes_Bonus_RM</t>
  </si>
  <si>
    <t>Unused KASKO insurance</t>
  </si>
  <si>
    <t>Unused OSAGO insurance</t>
  </si>
  <si>
    <t>Expenses (income) of previous periods Maintenance_STR</t>
  </si>
  <si>
    <t>Expenses (income) of previous periods Parking_OFF</t>
  </si>
  <si>
    <t>Expenses (income) of previous periods Parking_RM</t>
  </si>
  <si>
    <t>Re-invoice Expenses (income) of previous periods BodyRepair_OL</t>
  </si>
  <si>
    <t>Re-invoice Expenses (income) of previous periods GPS_OL</t>
  </si>
  <si>
    <t>Re-invoice Expenses (income) of previous periods Transfers_FM</t>
  </si>
  <si>
    <t>41.07</t>
  </si>
  <si>
    <t>62.06.31.ОН_Ш</t>
  </si>
  <si>
    <t>68.01.2</t>
  </si>
  <si>
    <t>69.09</t>
  </si>
  <si>
    <t>76.05.1</t>
  </si>
  <si>
    <t>76.06.ЧИ.РСТ</t>
  </si>
  <si>
    <t>76.29.IC</t>
  </si>
  <si>
    <t>Unused_insurance</t>
  </si>
  <si>
    <t>Inspection_OL</t>
  </si>
  <si>
    <t>Enforcement proceeding</t>
  </si>
  <si>
    <t>Rent car for employees_OFF</t>
  </si>
  <si>
    <t>Исправительные записи по операциям прошлых лет</t>
  </si>
  <si>
    <t>Оценочные обязательства по оплате труда</t>
  </si>
  <si>
    <t>Social taxes_compencation</t>
  </si>
  <si>
    <t>76.29</t>
  </si>
  <si>
    <t>66.01.5</t>
  </si>
  <si>
    <t>66.02.5</t>
  </si>
  <si>
    <t>79</t>
  </si>
  <si>
    <t>60.01.IC</t>
  </si>
  <si>
    <t>69.02.2</t>
  </si>
  <si>
    <t>58.01.1</t>
  </si>
  <si>
    <t>58.01</t>
  </si>
  <si>
    <t>66.03</t>
  </si>
  <si>
    <t>66.03.IC</t>
  </si>
  <si>
    <t>66.04</t>
  </si>
  <si>
    <t>66.04.IC</t>
  </si>
  <si>
    <t>79.02</t>
  </si>
  <si>
    <t>Intangible assets</t>
  </si>
  <si>
    <t>Deferred tax asset</t>
  </si>
  <si>
    <t>Inventories</t>
  </si>
  <si>
    <t>Cash and cash equivalents</t>
  </si>
  <si>
    <t>Trade payables</t>
  </si>
  <si>
    <t>Advances paid to suppliers</t>
  </si>
  <si>
    <t>Trade receivables</t>
  </si>
  <si>
    <t>Advances from clients</t>
  </si>
  <si>
    <t>Long-term borrowings</t>
  </si>
  <si>
    <t>Short-term borrowings</t>
  </si>
  <si>
    <t>Other current assets</t>
  </si>
  <si>
    <t>Current tax receivables</t>
  </si>
  <si>
    <t>Current tax payables</t>
  </si>
  <si>
    <t>Other current liabilities</t>
  </si>
  <si>
    <t>Other shareholders' contributions</t>
  </si>
  <si>
    <t>Retained earnings</t>
  </si>
  <si>
    <t>Provisions</t>
  </si>
  <si>
    <t>Short-term lease liabilities</t>
  </si>
  <si>
    <t>Finance Lease receivables non-current</t>
  </si>
  <si>
    <t>BS_line</t>
  </si>
  <si>
    <t>BS_line2</t>
  </si>
  <si>
    <t>Technical</t>
  </si>
  <si>
    <t>Property, plant and equipment</t>
  </si>
  <si>
    <t>Loans given_IC</t>
  </si>
  <si>
    <t>Investments in subsidaries</t>
  </si>
  <si>
    <t>Trade payables_IC</t>
  </si>
  <si>
    <t>Trade receivables_IC</t>
  </si>
  <si>
    <t>LossalowanceOL</t>
  </si>
  <si>
    <t>LossalowanceOther</t>
  </si>
  <si>
    <t>Short-term borrowings_IC</t>
  </si>
  <si>
    <t>Long-term lease liabilities</t>
  </si>
  <si>
    <t>Deferred tax liabilities</t>
  </si>
  <si>
    <t>Other shareholders' contributions_IC</t>
  </si>
  <si>
    <t>Total non-current assets</t>
  </si>
  <si>
    <t>Finance Lease receivables current</t>
  </si>
  <si>
    <t>Total current assets</t>
  </si>
  <si>
    <t>Total assets</t>
  </si>
  <si>
    <t>Paid-in share capital</t>
  </si>
  <si>
    <t>Share premium</t>
  </si>
  <si>
    <t>Total participants' equity</t>
  </si>
  <si>
    <t>Total non-current liabilities</t>
  </si>
  <si>
    <t>Prepayments on lease receivables</t>
  </si>
  <si>
    <t>Total current liabilities</t>
  </si>
  <si>
    <t>Total participants' equity and liabilities</t>
  </si>
  <si>
    <t>Taxes payables</t>
  </si>
  <si>
    <t>Taxes receivables</t>
  </si>
  <si>
    <t>check2</t>
  </si>
  <si>
    <t>Right-of-use assets</t>
  </si>
  <si>
    <t>LossalowanceFL_LT</t>
  </si>
  <si>
    <t>LossalowanceFL_ST</t>
  </si>
  <si>
    <t>80.09</t>
  </si>
  <si>
    <t>84.01</t>
  </si>
  <si>
    <t>58.03</t>
  </si>
  <si>
    <t>62.21</t>
  </si>
  <si>
    <t>62.22</t>
  </si>
  <si>
    <t>62.22.1</t>
  </si>
  <si>
    <t>62.31</t>
  </si>
  <si>
    <t>62.32</t>
  </si>
  <si>
    <t>62.32.1</t>
  </si>
  <si>
    <t>63.02</t>
  </si>
  <si>
    <t>63.02.2</t>
  </si>
  <si>
    <t>68.04.2</t>
  </si>
  <si>
    <t>76.03.3</t>
  </si>
  <si>
    <t>99.01_99.01.1_99.02_99.02.1_99.02.2_99.02.3_99.02.4_99.09</t>
  </si>
  <si>
    <t>63.02.1</t>
  </si>
  <si>
    <t>63.03.1.Т</t>
  </si>
  <si>
    <t>66.03.3</t>
  </si>
  <si>
    <t>66.04.3</t>
  </si>
  <si>
    <t>68.90</t>
  </si>
  <si>
    <t>RoadAssit_OFF</t>
  </si>
  <si>
    <t>Toll road_OFF</t>
  </si>
  <si>
    <t>Изменение стоимости предметов аренды</t>
  </si>
  <si>
    <t>91.01.8</t>
  </si>
  <si>
    <t>Expenses (income) of previous periods Maintenance insurance_RM</t>
  </si>
  <si>
    <t>Expenses (income) of previous periods Phone</t>
  </si>
  <si>
    <t>Expenses (income) of previous periods Tire storage_FM</t>
  </si>
  <si>
    <t>accounts</t>
  </si>
  <si>
    <t>01.01:01.08:02.01:02.02:03.01:03.03:08.09</t>
  </si>
  <si>
    <t>01.03:02.03</t>
  </si>
  <si>
    <t>04.01:05</t>
  </si>
  <si>
    <t>10.05.1:10.05.2:10.06:41.05</t>
  </si>
  <si>
    <t>51:52:55.03</t>
  </si>
  <si>
    <t>60.01:60.31:76.01.1:76.09.4:76.09.5</t>
  </si>
  <si>
    <t>60.02:60.22:60.32</t>
  </si>
  <si>
    <t>62.01.ЧИ.ВИ.Д:62.01.ЧИ.ПР.Д:76.06.НДС.ОТЛ</t>
  </si>
  <si>
    <t>62.01.ЧИ.ВИ.К:62.01.ЧИ.ПР.К</t>
  </si>
  <si>
    <t>62.02.1:62.02.2:62.22.1:62.32.1</t>
  </si>
  <si>
    <t>63.02.1:63.02.2</t>
  </si>
  <si>
    <t>66.01.1:66.01.2:66.01.4:66.01.5:66.01.6:66.02.1:66.02.2:66.02.4:66.02.6:66.03.3:66.04.3</t>
  </si>
  <si>
    <t>67.01.1:67.01.2</t>
  </si>
  <si>
    <t>68.01.1:68.02:68.07:69.01:69.02.7:69.03.1:69.09:69.11:70</t>
  </si>
  <si>
    <t>68.01.2:73.03:97.21</t>
  </si>
  <si>
    <t>76.07.1:76.07.2:76.07.5:76.07.9</t>
  </si>
  <si>
    <t>79.02:80.09:83.09</t>
  </si>
  <si>
    <t>84.01:84.02:99</t>
  </si>
  <si>
    <t>96.01.1:96.01.2</t>
  </si>
  <si>
    <t>68.08:68.10:68.13:68.32:68.90:69.02.2:76.АВ:76.НА</t>
  </si>
  <si>
    <t>62.01.1:76.02:76.03.2:76.03.3:76.05.2:76.06.1:76.06.2:76.06.3:76.06.П:76.06.ЧИ.РСТ:76.09.1:76.09.2:76.09.3:76.29</t>
  </si>
  <si>
    <t>Property, plant and equipment vehicles</t>
  </si>
  <si>
    <t>Fixed assets for operating lease</t>
  </si>
  <si>
    <t>ROU</t>
  </si>
  <si>
    <t>Property, plant and equipment equip</t>
  </si>
  <si>
    <t>Taxes receivable</t>
  </si>
  <si>
    <t>VAT recoverable</t>
  </si>
  <si>
    <t>Accumulated loss</t>
  </si>
  <si>
    <t>Taxes payable</t>
  </si>
  <si>
    <t>Taxes payable (other than income tax)</t>
  </si>
  <si>
    <t>41.04</t>
  </si>
  <si>
    <t>50.03</t>
  </si>
  <si>
    <t>60.21</t>
  </si>
  <si>
    <t>66.02.3</t>
  </si>
  <si>
    <t>66.04.1</t>
  </si>
  <si>
    <t>67.03</t>
  </si>
  <si>
    <t>67.04</t>
  </si>
  <si>
    <t>76.41</t>
  </si>
  <si>
    <t>97.60</t>
  </si>
  <si>
    <t>balance sheet line</t>
  </si>
  <si>
    <t>Investment in subsidaries</t>
  </si>
  <si>
    <t>Loan given</t>
  </si>
  <si>
    <t>IFRS_tb_end</t>
  </si>
  <si>
    <t>IFRS_tb_start</t>
  </si>
  <si>
    <t>Income tax payable</t>
  </si>
  <si>
    <t>ICO</t>
  </si>
  <si>
    <t>DT</t>
  </si>
  <si>
    <t>IFRS_tb_start_adj</t>
  </si>
  <si>
    <t>IFRS_tb_end_adj</t>
  </si>
  <si>
    <t>As of 31 March 2022 (audited)</t>
  </si>
  <si>
    <t>change</t>
  </si>
  <si>
    <t>Income before income tax</t>
  </si>
  <si>
    <t>Adjustments for non- cash movements:</t>
  </si>
  <si>
    <t>Car resales at book value</t>
  </si>
  <si>
    <t>Depreciation of cars</t>
  </si>
  <si>
    <t>Depreciation of right-of-use assets</t>
  </si>
  <si>
    <t>Depreciation of fixed assets other than vehicles and amortization intangible assets</t>
  </si>
  <si>
    <t>Car financing costs</t>
  </si>
  <si>
    <t>Finance costs (other than car financing costs)</t>
  </si>
  <si>
    <t>Exchange differences</t>
  </si>
  <si>
    <t>Change in expected credit losses allowance and other provisions</t>
  </si>
  <si>
    <t>Other non-cash items</t>
  </si>
  <si>
    <t>Carrying amount of written – off vehicles due to insurance cases</t>
  </si>
  <si>
    <t>Total adjustments for non-cash movements</t>
  </si>
  <si>
    <t>Withholding tax payment</t>
  </si>
  <si>
    <t>Current tax paid</t>
  </si>
  <si>
    <t>Purchase of fixed assets for operating lease</t>
  </si>
  <si>
    <t>Operating cashflows before movements of working capital</t>
  </si>
  <si>
    <t>Increase in trade receivables</t>
  </si>
  <si>
    <t>Increase in taxes receivable, advances paid to suppliers</t>
  </si>
  <si>
    <t>Increase in trade payables</t>
  </si>
  <si>
    <t>(Decrease) / Increase in taxes payable, advances from clients</t>
  </si>
  <si>
    <t>Increase in finance lease receivables</t>
  </si>
  <si>
    <t>Net operating cashflows</t>
  </si>
  <si>
    <t>Purchase of property, plant and equipment and intangible assets</t>
  </si>
  <si>
    <t>Net investing cashflows</t>
  </si>
  <si>
    <t>Loans received</t>
  </si>
  <si>
    <t>Repayment of loans</t>
  </si>
  <si>
    <t>Finance lease payments</t>
  </si>
  <si>
    <t>Other lease payments</t>
  </si>
  <si>
    <t>Increase of paid-in share capital and other shareholders’ contributions</t>
  </si>
  <si>
    <t>Net financing cashflows</t>
  </si>
  <si>
    <t>Effect of FX rates</t>
  </si>
  <si>
    <t>Net increase  in cash and cash equivalents</t>
  </si>
  <si>
    <t>Cash and cash equivalents at the beginning of the year</t>
  </si>
  <si>
    <t>Cash and cash equivalents at end of the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</si>
</sst>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\(#,##0\);_-* &quot;-&quot;_-"/>
    <numFmt numFmtId="165" formatCode="0.0%"/>
    <numFmt numFmtId="166" formatCode="_(* #,##0.00_);_(* \(#,##0.00\);_(* &quot;-&quot;??_);_(@_)"/>
    <numFmt numFmtId="167" formatCode="_-* #,##0.00\ _₽_-;\-* #,##0.00\ _₽_-;_-* &quot;-&quot;??\ _₽_-;_-@_-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8"/>
      <name val="Arial"/>
      <family val="2"/>
    </font>
    <font>
      <sz val="11"/>
      <color rgb="FF000000"/>
      <name val="Calibri"/>
      <family val="2"/>
      <charset val="204"/>
    </font>
    <font>
      <sz val="11"/>
      <color theme="1" tint="0.49998474074526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color indexed="81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0"/>
      <name val="Arial"/>
      <family val="2"/>
      <charset val="204"/>
    </font>
    <font>
      <sz val="10"/>
      <color rgb="FF003F2F"/>
      <name val="Arial"/>
      <family val="2"/>
      <charset val="204"/>
    </font>
    <font>
      <sz val="10"/>
      <color theme="1"/>
      <name val="Arial"/>
      <family val="2"/>
      <charset val="204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166" fontId="7" fillId="0" borderId="0" applyFont="0" applyFill="0" applyBorder="0" applyAlignment="0" applyProtection="0"/>
    <xf numFmtId="0" fontId="5" fillId="0" borderId="0"/>
    <xf numFmtId="0" fontId="4" fillId="0" borderId="0"/>
    <xf numFmtId="167" fontId="4" fillId="0" borderId="0" applyFont="0" applyFill="0" applyBorder="0" applyAlignment="0" applyProtection="0"/>
    <xf numFmtId="0" fontId="26" fillId="0" borderId="0"/>
    <xf numFmtId="0" fontId="28" fillId="0" borderId="0"/>
    <xf numFmtId="0" fontId="14" fillId="0" borderId="0"/>
  </cellStyleXfs>
  <cellXfs count="118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/>
    <xf numFmtId="0" fontId="9" fillId="0" borderId="0" xfId="0" applyFont="1"/>
    <xf numFmtId="0" fontId="9" fillId="0" borderId="0" xfId="0" applyFont="1" applyAlignment="1">
      <alignment horizontal="right"/>
    </xf>
    <xf numFmtId="3" fontId="11" fillId="2" borderId="0" xfId="0" applyNumberFormat="1" applyFont="1" applyFill="1"/>
    <xf numFmtId="0" fontId="12" fillId="0" borderId="0" xfId="0" applyFont="1"/>
    <xf numFmtId="164" fontId="0" fillId="0" borderId="0" xfId="0" applyNumberFormat="1"/>
    <xf numFmtId="9" fontId="0" fillId="0" borderId="0" xfId="0" applyNumberFormat="1"/>
    <xf numFmtId="0" fontId="0" fillId="3" borderId="0" xfId="0" applyFill="1"/>
    <xf numFmtId="0" fontId="16" fillId="0" borderId="0" xfId="0" applyFont="1"/>
    <xf numFmtId="0" fontId="17" fillId="0" borderId="0" xfId="0" applyFont="1"/>
    <xf numFmtId="0" fontId="17" fillId="3" borderId="0" xfId="0" applyFont="1" applyFill="1"/>
    <xf numFmtId="0" fontId="18" fillId="0" borderId="0" xfId="0" applyFont="1"/>
    <xf numFmtId="0" fontId="8" fillId="0" borderId="0" xfId="0" applyFont="1"/>
    <xf numFmtId="164" fontId="0" fillId="3" borderId="0" xfId="0" applyNumberFormat="1" applyFill="1"/>
    <xf numFmtId="164" fontId="16" fillId="0" borderId="0" xfId="0" applyNumberFormat="1" applyFont="1"/>
    <xf numFmtId="0" fontId="16" fillId="3" borderId="0" xfId="0" applyFont="1" applyFill="1"/>
    <xf numFmtId="164" fontId="16" fillId="3" borderId="0" xfId="0" applyNumberFormat="1" applyFont="1" applyFill="1"/>
    <xf numFmtId="164" fontId="8" fillId="0" borderId="0" xfId="0" applyNumberFormat="1" applyFont="1"/>
    <xf numFmtId="164" fontId="8" fillId="3" borderId="0" xfId="0" applyNumberFormat="1" applyFont="1" applyFill="1"/>
    <xf numFmtId="164" fontId="19" fillId="0" borderId="0" xfId="0" applyNumberFormat="1" applyFont="1"/>
    <xf numFmtId="164" fontId="8" fillId="0" borderId="1" xfId="0" applyNumberFormat="1" applyFont="1" applyBorder="1"/>
    <xf numFmtId="164" fontId="8" fillId="3" borderId="1" xfId="0" applyNumberFormat="1" applyFont="1" applyFill="1" applyBorder="1"/>
    <xf numFmtId="164" fontId="20" fillId="3" borderId="1" xfId="0" applyNumberFormat="1" applyFont="1" applyFill="1" applyBorder="1"/>
    <xf numFmtId="164" fontId="20" fillId="0" borderId="1" xfId="0" applyNumberFormat="1" applyFont="1" applyBorder="1"/>
    <xf numFmtId="164" fontId="19" fillId="0" borderId="1" xfId="0" applyNumberFormat="1" applyFont="1" applyBorder="1"/>
    <xf numFmtId="165" fontId="0" fillId="0" borderId="0" xfId="0" applyNumberFormat="1"/>
    <xf numFmtId="164" fontId="0" fillId="0" borderId="1" xfId="0" applyNumberFormat="1" applyBorder="1"/>
    <xf numFmtId="164" fontId="0" fillId="3" borderId="1" xfId="0" applyNumberFormat="1" applyFill="1" applyBorder="1"/>
    <xf numFmtId="10" fontId="0" fillId="3" borderId="1" xfId="0" applyNumberFormat="1" applyFill="1" applyBorder="1"/>
    <xf numFmtId="10" fontId="0" fillId="0" borderId="1" xfId="0" applyNumberFormat="1" applyBorder="1"/>
    <xf numFmtId="10" fontId="16" fillId="0" borderId="1" xfId="0" applyNumberFormat="1" applyFont="1" applyBorder="1"/>
    <xf numFmtId="164" fontId="17" fillId="0" borderId="0" xfId="0" applyNumberFormat="1" applyFont="1"/>
    <xf numFmtId="164" fontId="17" fillId="3" borderId="0" xfId="0" applyNumberFormat="1" applyFont="1" applyFill="1"/>
    <xf numFmtId="164" fontId="18" fillId="0" borderId="0" xfId="0" applyNumberFormat="1" applyFont="1"/>
    <xf numFmtId="164" fontId="21" fillId="0" borderId="0" xfId="0" applyNumberFormat="1" applyFont="1"/>
    <xf numFmtId="3" fontId="0" fillId="3" borderId="0" xfId="0" applyNumberFormat="1" applyFill="1"/>
    <xf numFmtId="3" fontId="16" fillId="0" borderId="0" xfId="0" applyNumberFormat="1" applyFont="1"/>
    <xf numFmtId="14" fontId="0" fillId="4" borderId="0" xfId="0" applyNumberFormat="1" applyFill="1"/>
    <xf numFmtId="0" fontId="0" fillId="4" borderId="0" xfId="0" applyFill="1"/>
    <xf numFmtId="3" fontId="0" fillId="4" borderId="0" xfId="0" applyNumberFormat="1" applyFill="1"/>
    <xf numFmtId="10" fontId="0" fillId="0" borderId="0" xfId="0" applyNumberFormat="1"/>
    <xf numFmtId="164" fontId="0" fillId="4" borderId="0" xfId="0" applyNumberFormat="1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/>
    <xf numFmtId="164" fontId="0" fillId="7" borderId="0" xfId="0" applyNumberFormat="1" applyFill="1"/>
    <xf numFmtId="3" fontId="0" fillId="6" borderId="0" xfId="0" applyNumberFormat="1" applyFill="1"/>
    <xf numFmtId="0" fontId="0" fillId="0" borderId="0" xfId="0" applyAlignment="1">
      <alignment wrapText="1"/>
    </xf>
    <xf numFmtId="0" fontId="0" fillId="8" borderId="0" xfId="0" applyFill="1"/>
    <xf numFmtId="165" fontId="0" fillId="4" borderId="0" xfId="0" applyNumberFormat="1" applyFill="1"/>
    <xf numFmtId="0" fontId="22" fillId="0" borderId="0" xfId="0" applyFont="1"/>
    <xf numFmtId="0" fontId="4" fillId="0" borderId="0" xfId="0" applyFont="1"/>
    <xf numFmtId="3" fontId="10" fillId="9" borderId="0" xfId="0" applyNumberFormat="1" applyFont="1" applyFill="1" applyAlignment="1">
      <alignment horizontal="center" vertical="center"/>
    </xf>
    <xf numFmtId="3" fontId="24" fillId="0" borderId="0" xfId="0" applyNumberFormat="1" applyFont="1"/>
    <xf numFmtId="0" fontId="24" fillId="0" borderId="0" xfId="0" applyFont="1"/>
    <xf numFmtId="0" fontId="0" fillId="0" borderId="2" xfId="0" applyBorder="1"/>
    <xf numFmtId="164" fontId="9" fillId="0" borderId="0" xfId="0" applyNumberFormat="1" applyFont="1"/>
    <xf numFmtId="0" fontId="4" fillId="0" borderId="0" xfId="3" applyAlignment="1">
      <alignment horizontal="left"/>
    </xf>
    <xf numFmtId="164" fontId="4" fillId="0" borderId="0" xfId="3" applyNumberFormat="1" applyAlignment="1">
      <alignment horizontal="left"/>
    </xf>
    <xf numFmtId="3" fontId="0" fillId="0" borderId="6" xfId="0" applyNumberFormat="1" applyBorder="1"/>
    <xf numFmtId="3" fontId="0" fillId="0" borderId="7" xfId="0" applyNumberFormat="1" applyBorder="1"/>
    <xf numFmtId="3" fontId="0" fillId="0" borderId="8" xfId="0" applyNumberFormat="1" applyBorder="1"/>
    <xf numFmtId="3" fontId="0" fillId="0" borderId="9" xfId="0" applyNumberFormat="1" applyBorder="1"/>
    <xf numFmtId="3" fontId="0" fillId="0" borderId="10" xfId="0" applyNumberFormat="1" applyBorder="1"/>
    <xf numFmtId="3" fontId="0" fillId="0" borderId="11" xfId="0" applyNumberFormat="1" applyBorder="1"/>
    <xf numFmtId="3" fontId="0" fillId="0" borderId="3" xfId="0" applyNumberFormat="1" applyBorder="1"/>
    <xf numFmtId="3" fontId="0" fillId="0" borderId="4" xfId="0" applyNumberFormat="1" applyBorder="1"/>
    <xf numFmtId="3" fontId="0" fillId="0" borderId="5" xfId="0" applyNumberFormat="1" applyBorder="1"/>
    <xf numFmtId="0" fontId="0" fillId="0" borderId="0" xfId="0" quotePrefix="1"/>
    <xf numFmtId="0" fontId="0" fillId="0" borderId="0" xfId="0" applyAlignment="1">
      <alignment horizontal="right"/>
    </xf>
    <xf numFmtId="0" fontId="21" fillId="0" borderId="0" xfId="0" applyFont="1"/>
    <xf numFmtId="0" fontId="23" fillId="0" borderId="0" xfId="0" applyFont="1" applyAlignment="1">
      <alignment vertical="center"/>
    </xf>
    <xf numFmtId="0" fontId="0" fillId="10" borderId="12" xfId="0" applyFill="1" applyBorder="1"/>
    <xf numFmtId="0" fontId="0" fillId="10" borderId="13" xfId="0" applyFill="1" applyBorder="1"/>
    <xf numFmtId="0" fontId="0" fillId="0" borderId="12" xfId="0" applyBorder="1"/>
    <xf numFmtId="0" fontId="0" fillId="0" borderId="13" xfId="0" applyBorder="1"/>
    <xf numFmtId="0" fontId="27" fillId="0" borderId="0" xfId="0" applyFont="1"/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right"/>
    </xf>
    <xf numFmtId="16" fontId="0" fillId="0" borderId="0" xfId="0" quotePrefix="1" applyNumberFormat="1" applyAlignment="1">
      <alignment horizontal="right"/>
    </xf>
    <xf numFmtId="0" fontId="13" fillId="0" borderId="0" xfId="0" applyFont="1"/>
    <xf numFmtId="0" fontId="28" fillId="0" borderId="0" xfId="6"/>
    <xf numFmtId="0" fontId="3" fillId="0" borderId="0" xfId="0" applyFont="1"/>
    <xf numFmtId="164" fontId="3" fillId="0" borderId="0" xfId="0" applyNumberFormat="1" applyFont="1"/>
    <xf numFmtId="164" fontId="0" fillId="0" borderId="0" xfId="0" applyNumberFormat="1" applyAlignment="1">
      <alignment wrapText="1"/>
    </xf>
    <xf numFmtId="0" fontId="29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 wrapText="1" indent="1"/>
    </xf>
    <xf numFmtId="0" fontId="29" fillId="0" borderId="0" xfId="0" applyFont="1" applyAlignment="1">
      <alignment horizontal="left" vertical="top" wrapText="1" indent="2"/>
    </xf>
    <xf numFmtId="0" fontId="29" fillId="0" borderId="0" xfId="0" applyFont="1" applyAlignment="1">
      <alignment horizontal="left" vertical="top" wrapText="1" indent="3"/>
    </xf>
    <xf numFmtId="0" fontId="29" fillId="0" borderId="0" xfId="0" applyFont="1" applyAlignment="1">
      <alignment horizontal="left" vertical="top" wrapText="1" indent="4"/>
    </xf>
    <xf numFmtId="0" fontId="29" fillId="0" borderId="0" xfId="0" quotePrefix="1" applyFont="1" applyAlignment="1">
      <alignment horizontal="left" vertical="top" wrapText="1" indent="2"/>
    </xf>
    <xf numFmtId="0" fontId="29" fillId="0" borderId="0" xfId="0" quotePrefix="1" applyFont="1" applyAlignment="1">
      <alignment horizontal="left" vertical="top" wrapText="1"/>
    </xf>
    <xf numFmtId="0" fontId="30" fillId="0" borderId="0" xfId="0" applyFont="1"/>
    <xf numFmtId="16" fontId="27" fillId="0" borderId="0" xfId="0" quotePrefix="1" applyNumberFormat="1" applyFont="1" applyAlignment="1">
      <alignment horizontal="right"/>
    </xf>
    <xf numFmtId="0" fontId="27" fillId="0" borderId="0" xfId="0" quotePrefix="1" applyFont="1" applyAlignment="1">
      <alignment horizontal="right"/>
    </xf>
    <xf numFmtId="4" fontId="27" fillId="0" borderId="0" xfId="0" quotePrefix="1" applyNumberFormat="1" applyFont="1" applyAlignment="1">
      <alignment horizontal="right"/>
    </xf>
    <xf numFmtId="0" fontId="0" fillId="0" borderId="0" xfId="0" applyNumberFormat="1"/>
    <xf numFmtId="0" fontId="30" fillId="0" borderId="0" xfId="0" applyNumberFormat="1" applyFont="1"/>
    <xf numFmtId="0" fontId="0" fillId="0" borderId="0" xfId="0" applyFill="1" applyBorder="1"/>
    <xf numFmtId="0" fontId="0" fillId="0" borderId="0" xfId="0" applyNumberFormat="1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0" fillId="0" borderId="0" xfId="0" applyNumberFormat="1" applyFill="1" applyBorder="1"/>
    <xf numFmtId="164" fontId="2" fillId="0" borderId="0" xfId="0" applyNumberFormat="1" applyFont="1"/>
    <xf numFmtId="0" fontId="0" fillId="0" borderId="0" xfId="0" applyFont="1"/>
    <xf numFmtId="0" fontId="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0" fontId="23" fillId="0" borderId="1" xfId="0" applyFont="1" applyBorder="1" applyAlignment="1">
      <alignment vertical="center"/>
    </xf>
    <xf numFmtId="0" fontId="23" fillId="0" borderId="1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14" xfId="0" applyFont="1" applyBorder="1" applyAlignment="1">
      <alignment vertical="center"/>
    </xf>
    <xf numFmtId="3" fontId="1" fillId="0" borderId="0" xfId="0" applyNumberFormat="1" applyFont="1"/>
  </cellXfs>
  <cellStyles count="8">
    <cellStyle name="Comma 2" xfId="1" xr:uid="{0BD1CE63-48F7-49C4-8619-ABF3A546AD9F}"/>
    <cellStyle name="Comma 3 3" xfId="4" xr:uid="{DE2BD734-48F6-46CA-90BB-CC5B2DE8299B}"/>
    <cellStyle name="Normal" xfId="0" builtinId="0"/>
    <cellStyle name="Normal 3 2" xfId="5" xr:uid="{6D122731-D079-44F8-9B44-DB4B25225AFE}"/>
    <cellStyle name="Normal 3 3" xfId="3" xr:uid="{158E5362-D7F0-4DAC-AA3A-E1637294AB6D}"/>
    <cellStyle name="Normal 4" xfId="2" xr:uid="{690159C0-B4B0-4875-9B00-BAD47BF42DC7}"/>
    <cellStyle name="Normal 7" xfId="6" xr:uid="{FB369794-1AB8-4C57-9551-464893C23DA3}"/>
    <cellStyle name="Обычный_FL" xfId="7" xr:uid="{0ED3CD7B-CA3E-4ED1-BB1D-F814B785FD32}"/>
  </cellStyles>
  <dxfs count="71">
    <dxf>
      <numFmt numFmtId="3" formatCode="#,##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4" formatCode="#,##0;\(#,##0\);_-* &quot;-&quot;_-"/>
    </dxf>
    <dxf>
      <numFmt numFmtId="165" formatCode="0.0%"/>
    </dxf>
    <dxf>
      <numFmt numFmtId="164" formatCode="#,##0;\(#,##0\);_-* &quot;-&quot;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numFmt numFmtId="3" formatCode="#,##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charset val="20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charset val="20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charset val="204"/>
        <scheme val="none"/>
      </font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styles" Target="style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274853103431539E-2"/>
          <c:y val="8.2241064378841752E-2"/>
          <c:w val="0.84162510089720033"/>
          <c:h val="0.84962142745140112"/>
        </c:manualLayout>
      </c:layout>
      <c:barChart>
        <c:barDir val="col"/>
        <c:grouping val="clustered"/>
        <c:varyColors val="0"/>
        <c:ser>
          <c:idx val="0"/>
          <c:order val="0"/>
          <c:tx>
            <c:v>OL gp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b_aggr!$BG$4:$BK$4</c15:sqref>
                  </c15:fullRef>
                </c:ext>
              </c:extLst>
              <c:f>b_aggr!$BH$4:$BK$4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b_aggr!$BG$15:$BK$15</c15:sqref>
                  </c15:fullRef>
                </c:ext>
              </c:extLst>
              <c:f>b_aggr!$BH$15:$BK$15</c:f>
              <c:numCache>
                <c:formatCode>#\ ##0;\(#\ ##0\);_-* "-"_-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9-41F8-82EB-7F854B70B1BF}"/>
            </c:ext>
          </c:extLst>
        </c:ser>
        <c:ser>
          <c:idx val="1"/>
          <c:order val="1"/>
          <c:tx>
            <c:v>FL gp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b_aggr!$BG$23:$BK$23</c15:sqref>
                  </c15:fullRef>
                </c:ext>
              </c:extLst>
              <c:f>b_aggr!$BH$23:$BK$23</c:f>
              <c:numCache>
                <c:formatCode>#\ ##0;\(#\ ##0\);_-* "-"_-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9-41F8-82EB-7F854B70B1BF}"/>
            </c:ext>
          </c:extLst>
        </c:ser>
        <c:ser>
          <c:idx val="2"/>
          <c:order val="2"/>
          <c:tx>
            <c:v>RM gp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b_aggr!$BG$33:$BK$33</c15:sqref>
                  </c15:fullRef>
                </c:ext>
              </c:extLst>
              <c:f>b_aggr!$BH$33:$BK$33</c:f>
              <c:numCache>
                <c:formatCode>#\ ##0;\(#\ ##0\);_-* "-"_-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09-41F8-82EB-7F854B70B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1279"/>
        <c:axId val="47183375"/>
      </c:barChart>
      <c:catAx>
        <c:axId val="4719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3375"/>
        <c:crosses val="autoZero"/>
        <c:auto val="1"/>
        <c:lblAlgn val="ctr"/>
        <c:lblOffset val="100"/>
        <c:noMultiLvlLbl val="0"/>
      </c:catAx>
      <c:valAx>
        <c:axId val="4718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;\(#\ ##0\);_-* &quot;-&quot;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807720</xdr:colOff>
          <xdr:row>2</xdr:row>
          <xdr:rowOff>83820</xdr:rowOff>
        </xdr:from>
        <xdr:to>
          <xdr:col>21</xdr:col>
          <xdr:colOff>60960</xdr:colOff>
          <xdr:row>6</xdr:row>
          <xdr:rowOff>144780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441960</xdr:colOff>
          <xdr:row>4</xdr:row>
          <xdr:rowOff>121920</xdr:rowOff>
        </xdr:from>
        <xdr:to>
          <xdr:col>74</xdr:col>
          <xdr:colOff>137160</xdr:colOff>
          <xdr:row>9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Calculating new 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419100</xdr:colOff>
          <xdr:row>9</xdr:row>
          <xdr:rowOff>106680</xdr:rowOff>
        </xdr:from>
        <xdr:to>
          <xdr:col>74</xdr:col>
          <xdr:colOff>137160</xdr:colOff>
          <xdr:row>16</xdr:row>
          <xdr:rowOff>22860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Calculating new FL</a:t>
              </a:r>
            </a:p>
          </xdr:txBody>
        </xdr:sp>
        <xdr:clientData fPrintsWithSheet="0"/>
      </xdr:twoCellAnchor>
    </mc:Choice>
    <mc:Fallback/>
  </mc:AlternateContent>
  <xdr:twoCellAnchor>
    <xdr:from>
      <xdr:col>65</xdr:col>
      <xdr:colOff>439510</xdr:colOff>
      <xdr:row>20</xdr:row>
      <xdr:rowOff>44834</xdr:rowOff>
    </xdr:from>
    <xdr:to>
      <xdr:col>79</xdr:col>
      <xdr:colOff>503465</xdr:colOff>
      <xdr:row>47</xdr:row>
      <xdr:rowOff>81642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Жилудько Станислав Владимирович" refreshedDate="45044.64042152778" backgroundQuery="1" createdVersion="6" refreshedVersion="6" minRefreshableVersion="3" recordCount="0" supportSubquery="1" supportAdvancedDrill="1" xr:uid="{3336826E-5C5E-4046-A66B-55D934CF88EE}">
  <cacheSource type="external" connectionId="19"/>
  <cacheFields count="0"/>
  <cacheHierarchies count="16">
    <cacheHierarchy uniqueName="[Calendar].[Date]" caption="Date" attribute="1" time="1" defaultMemberUniqueName="[Calendar].[Date].[All]" allUniqueName="[Calendar].[Date].[All]" dimensionUniqueName="[Calendar]" displayFolder="" count="0" memberValueDatatype="7" unbalanced="0"/>
    <cacheHierarchy uniqueName="[Calendar].[Year]" caption="Year" attribute="1" defaultMemberUniqueName="[Calendar].[Year].[All]" allUniqueName="[Calendar].[Year].[All]" dimensionUniqueName="[Calendar]" displayFolder="" count="0" memberValueDatatype="5" unbalanced="0"/>
    <cacheHierarchy uniqueName="[Calendar].[Qtr Name]" caption="Qtr Name" attribute="1" defaultMemberUniqueName="[Calendar].[Qtr Name].[All]" allUniqueName="[Calendar].[Qtr Name].[All]" dimensionUniqueName="[Calendar]" displayFolder="" count="0" memberValueDatatype="130" unbalanced="0"/>
    <cacheHierarchy uniqueName="[Calendar].[Month]" caption="Month" attribute="1" defaultMemberUniqueName="[Calendar].[Month].[All]" allUniqueName="[Calendar].[Month].[All]" dimensionUniqueName="[Calendar]" displayFolder="" count="0" memberValueDatatype="5" unbalanced="0"/>
    <cacheHierarchy uniqueName="[Calendar].[Mo Name]" caption="Mo Name" attribute="1" defaultMemberUniqueName="[Calendar].[Mo Name].[All]" allUniqueName="[Calendar].[Mo Name].[All]" dimensionUniqueName="[Calendar]" displayFolder="" count="0" memberValueDatatype="130" unbalanced="0"/>
    <cacheHierarchy uniqueName="[Calendar].[Qtr Name1]" caption="Qtr Name1" attribute="1" defaultMemberUniqueName="[Calendar].[Qtr Name1].[All]" allUniqueName="[Calendar].[Qtr Name1].[All]" dimensionUniqueName="[Calendar]" displayFolder="" count="0" memberValueDatatype="130" unbalanced="0"/>
    <cacheHierarchy uniqueName="[Calendar].[Financial Year]" caption="Financial Year" attribute="1" defaultMemberUniqueName="[Calendar].[Financial Year].[All]" allUniqueName="[Calendar].[Financial Year].[All]" dimensionUniqueName="[Calendar]" displayFolder="" count="0" memberValueDatatype="130" unbalanced="0"/>
    <cacheHierarchy uniqueName="[Calendar].[EofM]" caption="EofM" attribute="1" defaultMemberUniqueName="[Calendar].[EofM].[All]" allUniqueName="[Calendar].[EofM].[All]" dimensionUniqueName="[Calendar]" displayFolder="" count="0" memberValueDatatype="130" unbalanced="0"/>
    <cacheHierarchy uniqueName="[Calendar].[Week]" caption="Week" attribute="1" defaultMemberUniqueName="[Calendar].[Week].[All]" allUniqueName="[Calendar].[Week].[All]" dimensionUniqueName="[Calendar]" displayFolder="" count="0" memberValueDatatype="130" unbalanced="0"/>
    <cacheHierarchy uniqueName="[Calendar].[IsEofM]" caption="IsEofM" attribute="1" defaultMemberUniqueName="[Calendar].[IsEofM].[All]" allUniqueName="[Calendar].[IsEofM].[All]" dimensionUniqueName="[Calendar]" displayFolder="" count="0" memberValueDatatype="130" unbalanced="0"/>
    <cacheHierarchy uniqueName="[Calendar].[MonthCode]" caption="MonthCode" attribute="1" defaultMemberUniqueName="[Calendar].[MonthCode].[All]" allUniqueName="[Calendar].[MonthCode].[All]" dimensionUniqueName="[Calendar]" displayFolder="" count="0" memberValueDatatype="130" unbalanced="0"/>
    <cacheHierarchy uniqueName="[Calendar].[Repd]" caption="Repd" attribute="1" defaultMemberUniqueName="[Calendar].[Repd].[All]" allUniqueName="[Calendar].[Repd].[All]" dimensionUniqueName="[Calendar]" displayFolder="" count="0" memberValueDatatype="20" unbalanced="0"/>
    <cacheHierarchy uniqueName="[Measures].[md]" caption="md" measure="1" displayFolder="" measureGroup="Calendar" count="0"/>
    <cacheHierarchy uniqueName="[Measures].[maxd]" caption="maxd" measure="1" displayFolder="" measureGroup="Calendar" count="0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2">
    <dimension name="Calendar" uniqueName="[Calendar]" caption="Calendar"/>
    <dimension measure="1" name="Measures" uniqueName="[Measures]" caption="Measures"/>
  </dimensions>
  <measureGroups count="1">
    <measureGroup name="Calendar" caption="Calendar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1EC0B-DD88-4414-AC50-7C1B13957E06}" name="PivotTable1" cacheId="41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compact="0" compactData="0" multipleFieldFilters="0">
  <location ref="Q9:S26" firstHeaderRow="1" firstDataRow="1" firstDataCol="0"/>
  <formats count="2">
    <format dxfId="70">
      <pivotArea outline="0" collapsedLevelsAreSubtotals="1" fieldPosition="0"/>
    </format>
    <format dxfId="69">
      <pivotArea type="topRight" dataOnly="0" labelOnly="1" outline="0" fieldPosition="0"/>
    </format>
  </format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oked Func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5C115E77-797E-41E6-BAA6-DF736C2B0E94}" autoFormatId="16" applyNumberFormats="0" applyBorderFormats="0" applyFontFormats="0" applyPatternFormats="0" applyAlignmentFormats="0" applyWidthHeightFormats="0">
  <queryTableRefresh nextId="4">
    <queryTableFields count="3">
      <queryTableField id="1" name="Счет1" tableColumnId="1"/>
      <queryTableField id="2" name="dr_cr" tableColumnId="2"/>
      <queryTableField id="3" name="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88A3BAC-7785-450D-B68F-86164AB0F008}" autoFormatId="16" applyNumberFormats="0" applyBorderFormats="0" applyFontFormats="0" applyPatternFormats="0" applyAlignmentFormats="0" applyWidthHeightFormats="0">
  <queryTableRefresh nextId="4">
    <queryTableFields count="3">
      <queryTableField id="1" name="Счет1" tableColumnId="1"/>
      <queryTableField id="2" name="dr_cr" tableColumnId="2"/>
      <queryTableField id="3" name="name" tableColumnId="3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2CD5F9-70F1-40FC-9F97-C73F38329917}" name="Invoked_Function" displayName="Invoked_Function" ref="A1:O333" totalsRowShown="0">
  <autoFilter ref="A1:O333" xr:uid="{184DC3DD-E6F0-4DA7-888A-4767BEBAADE9}"/>
  <sortState xmlns:xlrd2="http://schemas.microsoft.com/office/spreadsheetml/2017/richdata2" ref="A2:O333">
    <sortCondition ref="B1:B333"/>
  </sortState>
  <tableColumns count="15">
    <tableColumn id="1" xr3:uid="{A9CCFB60-A53E-4B4B-A736-85D776323E6F}" name="Column1" dataDxfId="68"/>
    <tableColumn id="2" xr3:uid="{748CE494-3663-4434-B1F6-639D447B2CEA}" name="Валюта" dataDxfId="67"/>
    <tableColumn id="3" xr3:uid="{233CA33E-D433-4662-B64D-B4DC139F08AA}" name="Column3" dataDxfId="66"/>
    <tableColumn id="5" xr3:uid="{1895A670-D6F5-4DE9-B8D5-B2FA7D5A4BBC}" name="Column5" dataDxfId="65"/>
    <tableColumn id="8" xr3:uid="{C9198096-2CE5-496F-8AA9-3CC495297F71}" name="Дебет" dataDxfId="64"/>
    <tableColumn id="11" xr3:uid="{84B6193B-403E-4471-A819-F5C3E8796502}" name="Кредит" dataDxfId="63"/>
    <tableColumn id="12" xr3:uid="{101C7BB6-0B7F-49A5-8A09-D555E24B5A83}" name="Дебет_1" dataDxfId="62"/>
    <tableColumn id="14" xr3:uid="{8FBB7AA4-8E80-41C1-9A8B-0D5E7F47E0A7}" name="Кредит_2" dataDxfId="61"/>
    <tableColumn id="17" xr3:uid="{E573477C-36A6-4FE9-8336-D5D932AC276B}" name="Дебет_3" dataDxfId="60"/>
    <tableColumn id="18" xr3:uid="{867F3C57-1247-4944-8A81-EBB83419E894}" name="Кредит_4" dataDxfId="59"/>
    <tableColumn id="19" xr3:uid="{60903979-AC47-4185-B7AB-FFCDE94DF359}" name="Custom" dataDxfId="58"/>
    <tableColumn id="20" xr3:uid="{4A8CF0D8-6411-467E-A653-790C44A26D0D}" name="Parent" dataDxfId="57"/>
    <tableColumn id="21" xr3:uid="{9D12792F-DF74-4809-A7AB-59059D9FDCF0}" name="chck"/>
    <tableColumn id="22" xr3:uid="{D08DF9A6-DB89-49A2-8152-F0C8BDE705EF}" name="child" dataDxfId="56"/>
    <tableColumn id="23" xr3:uid="{A3EA4056-0B80-41A2-A6B1-3C02FF7477C0}" name="Custom2" dataDxfId="5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5BFC9A-A750-4E5D-A114-78E8E120CD8B}" name="Table1" displayName="Table1" ref="A1:A2" totalsRowShown="0">
  <autoFilter ref="A1:A2" xr:uid="{6B0B0C1D-1459-42E9-A68A-40086AADFC7E}"/>
  <tableColumns count="1">
    <tableColumn id="1" xr3:uid="{D142CB35-9E2B-4B46-8605-2150835EE6CA}" name="RepDate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54F1AA-7AC2-4F56-8572-98A076E13F99}" name="FY" displayName="FY" ref="D1:D2" totalsRowShown="0" headerRowDxfId="47" dataDxfId="46">
  <tableColumns count="1">
    <tableColumn id="1" xr3:uid="{48065BB9-9841-4AE7-99A6-5D6B3D1BB32D}" name="FY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0280DA-BA6F-461C-BE85-674EFFF25B39}" name="Months" displayName="Months" ref="F3:G15" totalsRowShown="0">
  <autoFilter ref="F3:G15" xr:uid="{710280DA-BA6F-461C-BE85-674EFFF25B39}"/>
  <tableColumns count="2">
    <tableColumn id="1" xr3:uid="{C186C48A-AADB-4995-B3A3-D68CA51ADFC9}" name="Month"/>
    <tableColumn id="2" xr3:uid="{A2417B2A-ABE6-4137-8DC0-71DE7597E2FE}" name="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B4DB66-9E44-425A-B5DA-F86D9FE3C415}" name="accounts" displayName="accounts" ref="A5:A12" totalsRowShown="0">
  <autoFilter ref="A5:A12" xr:uid="{5E4B3EDD-3FE3-45E7-932D-4BA6C3281F52}"/>
  <tableColumns count="1">
    <tableColumn id="1" xr3:uid="{EDECA1AC-7513-418E-862D-E0B725C5A650}" name="acc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C1EA99-05B3-4A57-86B2-CD64AE4662FD}" name="path" displayName="path" ref="D11:D12" totalsRowShown="0">
  <autoFilter ref="D11:D12" xr:uid="{21BE8E57-B451-4E52-8B77-3B8597D86299}"/>
  <tableColumns count="1">
    <tableColumn id="1" xr3:uid="{B740FEDB-A9CF-4415-B5CE-1AFA2B5FDF7E}" name="path">
      <calculatedColumnFormula>D7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541BBF-8CBC-495D-9B79-FA03FC7D1347}" name="Mapp" displayName="Mapp" ref="E4:G2548" totalsRowShown="0" dataDxfId="44">
  <autoFilter ref="E4:G2548" xr:uid="{BB72A71A-6429-4FCF-A087-0E4F2DBD2E2D}"/>
  <tableColumns count="3">
    <tableColumn id="2" xr3:uid="{149F17E8-8868-4C8F-907A-EA42E9347006}" name="Report" dataDxfId="43"/>
    <tableColumn id="4" xr3:uid="{9DA57EEF-7FEC-4CD3-9D62-EB7EA7F0921F}" name="name" dataDxfId="42"/>
    <tableColumn id="5" xr3:uid="{CB3C70B2-0172-427B-B96E-358E654F8F7B}" name="Account" dataDxfId="4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FF0D212-D06F-49A8-A453-AE16649FD609}" name="BS_full_IFRS_int" displayName="BS_full_IFRS_int" ref="H1:J124" tableType="queryTable" totalsRowShown="0">
  <autoFilter ref="H1:J124" xr:uid="{473DEAE5-8330-4348-8934-BD164CC93995}"/>
  <tableColumns count="3">
    <tableColumn id="1" xr3:uid="{E430E246-5A39-43E8-B3FC-D33FB6576BB1}" uniqueName="1" name="Счет1" queryTableFieldId="1" dataDxfId="1"/>
    <tableColumn id="2" xr3:uid="{0A564C2A-C410-425D-A28A-43F9F57E0A49}" uniqueName="2" name="dr_cr" queryTableFieldId="2" dataDxfId="0"/>
    <tableColumn id="3" xr3:uid="{80FCF214-E228-4D8E-B0D9-EA85A7FD6E85}" uniqueName="3" name="name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0D3983-29A8-487B-BF97-B04E8F3BC7B5}" name="BS" displayName="BS" ref="A1:C143" totalsRowShown="0">
  <autoFilter ref="A1:C143" xr:uid="{228DD706-52C8-484F-BF5C-37C76D655488}"/>
  <tableColumns count="3">
    <tableColumn id="1" xr3:uid="{9A0BFFF0-F73B-480C-A6DF-67DECB767678}" name="Счет1" dataDxfId="39"/>
    <tableColumn id="4" xr3:uid="{AC610373-7B88-4A4A-BE6A-4B8DC140C38A}" name="dr_cr" dataDxfId="38"/>
    <tableColumn id="5" xr3:uid="{315124A6-D12C-414D-871A-24C4B891050E}" name="bs_acc.type" dataDxfId="3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4A2900-2E7F-4546-9732-A3A4AE47C1EA}" name="bs_acc" displayName="bs_acc" ref="F10:I238" totalsRowShown="0">
  <autoFilter ref="F10:I238" xr:uid="{C0EB6A21-EE04-47EF-938A-A1FBF0296FB2}"/>
  <tableColumns count="4">
    <tableColumn id="1" xr3:uid="{30A3DFE5-1CCF-43C7-A89F-0E4A2EC4465A}" name="acc"/>
    <tableColumn id="2" xr3:uid="{B93D52C6-C275-4EF6-B0E8-BCADC84142E7}" name="type"/>
    <tableColumn id="3" xr3:uid="{054786F9-A407-4ED3-8E17-7B1895BBC487}" name="BS_line"/>
    <tableColumn id="4" xr3:uid="{2BA3E368-AB7F-4AEC-BC4F-C670110AAC68}" name="BS_line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F67FD8C-825E-496A-8448-D95ACE52B65C}" name="BS_zL" displayName="BS_zL" ref="S1:V34" totalsRowShown="0">
  <autoFilter ref="S1:V34" xr:uid="{8004B1F5-0233-4194-B47D-A742B381B76B}"/>
  <tableColumns count="4">
    <tableColumn id="1" xr3:uid="{7BE3F780-E921-4B96-822C-97E8A432F0C8}" name="Счет1" dataDxfId="36"/>
    <tableColumn id="2" xr3:uid="{82605887-9B9F-4E67-A322-0E243997EE1A}" name="dr_cr" dataDxfId="35"/>
    <tableColumn id="3" xr3:uid="{D9BA0B8D-D14C-4A77-BB91-F503829D09E1}" name="BS_chck.dr_cr" dataDxfId="34"/>
    <tableColumn id="4" xr3:uid="{C8E86714-C70E-4AA5-9CA5-1447DF26553C}" name="diff" dataDxfId="3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556CBA5-0261-442C-90F3-816939A326E4}" name="acc_comparision" displayName="acc_comparision" ref="Z1:AC6" totalsRowShown="0">
  <autoFilter ref="Z1:AC6" xr:uid="{5F38C264-8AB9-4706-B21E-9E197CB1157F}"/>
  <tableColumns count="4">
    <tableColumn id="1" xr3:uid="{308B15D4-1B35-4F71-8ABC-58D047AC333B}" name="acc" dataDxfId="32"/>
    <tableColumn id="2" xr3:uid="{D7179F91-31F8-43AF-B7A3-2E090B17CED9}" name="lst"/>
    <tableColumn id="3" xr3:uid="{3527326D-B5A5-4DFC-83FC-0A4971120FC2}" name="bs_acc_g.all"/>
    <tableColumn id="4" xr3:uid="{CDCD26DD-0A5C-4D93-91D2-CD4C0D2FE85B}" name="diff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D06707D-5519-4F13-9466-6BBE9B1E7C86}" name="BS_full_FSBU" displayName="BS_full_FSBU" ref="AK1:AM105" totalsRowShown="0">
  <autoFilter ref="AK1:AM105" xr:uid="{FA0C5223-57C8-4331-BCE2-C666CFBC6E73}"/>
  <tableColumns count="3">
    <tableColumn id="1" xr3:uid="{A03E2A24-FF99-401B-BB4B-8DF596CFB499}" name="Счет1" dataDxfId="31"/>
    <tableColumn id="2" xr3:uid="{2B1B46E6-4724-426E-8C4A-F2E8740DD484}" name="dr_cr" dataDxfId="30"/>
    <tableColumn id="3" xr3:uid="{C3C5F228-66BD-4277-8062-5445AC4F2DB2}" name="nam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0A355CB-08BD-47E8-B0A3-C892C9822170}" name="bs_acc_l" displayName="bs_acc_l" ref="AP1:AS188" totalsRowShown="0" dataDxfId="29">
  <autoFilter ref="AP1:AS188" xr:uid="{36B9A45B-17BE-4B23-BCFD-E35B04A1E6D6}"/>
  <tableColumns count="4">
    <tableColumn id="1" xr3:uid="{00A9E33F-16A3-409E-9C5F-C7A1564CBD1B}" name="acc" dataDxfId="28"/>
    <tableColumn id="2" xr3:uid="{617CAC8F-F9B1-4D4C-9206-B09ADDCCC481}" name="type" dataDxfId="27"/>
    <tableColumn id="3" xr3:uid="{8C4D69A4-A7B1-43E1-9FF0-421A3777E663}" name="BS_line" dataDxfId="26"/>
    <tableColumn id="4" xr3:uid="{9FC12AC7-9A43-4BAA-9194-1CD5F9F9D38B}" name="BS_line2" dataDxfId="2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FAEEC3-79D6-41E2-B06C-A1DC14257F6A}" name="acc_comparision_l" displayName="acc_comparision_l" ref="AV1:AY6" totalsRowShown="0">
  <autoFilter ref="AV1:AY6" xr:uid="{9AFE1C21-EAE9-4CD3-9572-8C8970518D22}"/>
  <tableColumns count="4">
    <tableColumn id="1" xr3:uid="{2A216DDE-7148-41A0-8DDD-25E2BE8F8284}" name="acc" dataDxfId="24"/>
    <tableColumn id="2" xr3:uid="{05A3FB3B-1C72-44FF-BA18-D7D0C3FC4F61}" name="lst"/>
    <tableColumn id="3" xr3:uid="{0F0BBBDC-8E1D-4143-BD61-8FDBF229F564}" name="bs_acc_g.all"/>
    <tableColumn id="4" xr3:uid="{849F3F78-96EE-4F56-BB59-691AE7B28B93}" name="diff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1B8B341-8BA6-4217-9453-90BFE4161583}" name="FSBU_used_accounts" displayName="FSBU_used_accounts" ref="AV10:AW38" totalsRowShown="0">
  <autoFilter ref="AV10:AW38" xr:uid="{70240EEA-A2A2-4234-868D-603E05A67172}"/>
  <tableColumns count="2">
    <tableColumn id="1" xr3:uid="{C686BD1B-5755-4FCB-A2DE-D86D7280ED52}" name="name"/>
    <tableColumn id="2" xr3:uid="{9B047A93-D432-4559-9713-5C0CFAB2BB10}" name="accounts" dataDxfId="2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27D5B9A-A548-430B-A470-ED922C2C0045}" name="BS_full_IFRS" displayName="BS_full_IFRS" ref="AF1:AH129" tableType="queryTable" totalsRowShown="0">
  <autoFilter ref="AF1:AH129" xr:uid="{D8674D18-93A5-4F80-97B4-834475F6E1A4}"/>
  <tableColumns count="3">
    <tableColumn id="1" xr3:uid="{2250413B-7B2C-4F13-A42A-A635025A0579}" uniqueName="1" name="Счет1" queryTableFieldId="1" dataDxfId="22"/>
    <tableColumn id="2" xr3:uid="{880E28B3-6613-4E38-9F0B-D908998CCC4A}" uniqueName="2" name="dr_cr" queryTableFieldId="2" dataDxfId="21"/>
    <tableColumn id="3" xr3:uid="{19E95A6C-9351-4621-B357-6432D17645CE}" uniqueName="3" name="name" queryTableFieldId="3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57939DC-406A-48EC-90BF-E6899875D340}" name="RV_m" displayName="RV_m" ref="BE6:BG15" totalsRowShown="0">
  <autoFilter ref="BE6:BG15" xr:uid="{A348FFD4-BF95-4134-AA95-4D6217E9B156}"/>
  <tableColumns count="3">
    <tableColumn id="1" xr3:uid="{AD037185-B2FC-4373-8169-34BECEC590F2}" name="RV"/>
    <tableColumn id="2" xr3:uid="{CCC6F832-CE96-4E95-AD5A-8C19B16CFAFD}" name="CY"/>
    <tableColumn id="3" xr3:uid="{032687D3-E324-4946-8514-032A69493BA8}" name="Столбец1">
      <calculatedColumnFormula>BG6+1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96AFFB-401B-43FF-B242-9DC5CEB85A26}" name="LA" displayName="LA" ref="BH98:BI103" totalsRowShown="0" headerRowDxfId="5">
  <autoFilter ref="BH98:BI103" xr:uid="{A1351E37-358A-4E22-A174-83D545D8BE3C}"/>
  <tableColumns count="2">
    <tableColumn id="1" xr3:uid="{7DF46ADE-826E-4782-98B9-E6B1604C2A40}" name="LA" dataDxfId="4"/>
    <tableColumn id="2" xr3:uid="{764B6683-4D14-496A-A14C-19AC73A59CB9}" name="FY" dataDxfId="3">
      <calculatedColumnFormula>BI98+1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44932-2909-4BF0-9AE9-F7829E6C26C7}">
  <sheetPr codeName="Sheet3"/>
  <dimension ref="A1:AA333"/>
  <sheetViews>
    <sheetView zoomScale="70" zoomScaleNormal="70" workbookViewId="0">
      <selection activeCell="R10" sqref="R10"/>
    </sheetView>
  </sheetViews>
  <sheetFormatPr defaultRowHeight="14.4" x14ac:dyDescent="0.3"/>
  <cols>
    <col min="1" max="1" width="11.33203125" bestFit="1" customWidth="1"/>
    <col min="2" max="2" width="11.109375" bestFit="1" customWidth="1"/>
    <col min="3" max="3" width="80.88671875" bestFit="1" customWidth="1"/>
    <col min="4" max="4" width="11.33203125" bestFit="1" customWidth="1"/>
    <col min="5" max="6" width="12.21875" bestFit="1" customWidth="1"/>
    <col min="7" max="8" width="19.6640625" bestFit="1" customWidth="1"/>
    <col min="9" max="9" width="12.21875" bestFit="1" customWidth="1"/>
    <col min="10" max="10" width="12.77734375" bestFit="1" customWidth="1"/>
    <col min="11" max="11" width="16.6640625" bestFit="1" customWidth="1"/>
    <col min="12" max="12" width="9.88671875" bestFit="1" customWidth="1"/>
    <col min="13" max="14" width="8" bestFit="1" customWidth="1"/>
    <col min="15" max="15" width="12.77734375" bestFit="1" customWidth="1"/>
    <col min="16" max="16" width="12.44140625" bestFit="1" customWidth="1"/>
    <col min="17" max="17" width="8" bestFit="1" customWidth="1"/>
    <col min="18" max="19" width="16.6640625" bestFit="1" customWidth="1"/>
    <col min="20" max="20" width="9.88671875" bestFit="1" customWidth="1"/>
    <col min="21" max="21" width="8" bestFit="1" customWidth="1"/>
    <col min="22" max="22" width="8" customWidth="1"/>
    <col min="23" max="23" width="12.77734375" bestFit="1" customWidth="1"/>
    <col min="24" max="24" width="28.44140625" bestFit="1" customWidth="1"/>
    <col min="25" max="25" width="8" bestFit="1" customWidth="1"/>
    <col min="26" max="27" width="16.6640625" style="3" bestFit="1" customWidth="1"/>
    <col min="28" max="28" width="16.6640625" bestFit="1" customWidth="1"/>
    <col min="29" max="33" width="25.6640625" bestFit="1" customWidth="1"/>
    <col min="34" max="41" width="26.6640625" bestFit="1" customWidth="1"/>
  </cols>
  <sheetData>
    <row r="1" spans="1:27" x14ac:dyDescent="0.3">
      <c r="A1" t="s">
        <v>463</v>
      </c>
      <c r="B1" t="s">
        <v>5</v>
      </c>
      <c r="C1" t="s">
        <v>464</v>
      </c>
      <c r="D1" t="s">
        <v>465</v>
      </c>
      <c r="E1" t="s">
        <v>6</v>
      </c>
      <c r="F1" t="s">
        <v>7</v>
      </c>
      <c r="G1" t="s">
        <v>466</v>
      </c>
      <c r="H1" t="s">
        <v>467</v>
      </c>
      <c r="I1" t="s">
        <v>468</v>
      </c>
      <c r="J1" t="s">
        <v>469</v>
      </c>
      <c r="K1" t="s">
        <v>470</v>
      </c>
      <c r="L1" t="s">
        <v>471</v>
      </c>
      <c r="M1" t="s">
        <v>1341</v>
      </c>
      <c r="N1" t="s">
        <v>1343</v>
      </c>
      <c r="O1" t="s">
        <v>1344</v>
      </c>
      <c r="R1" s="3"/>
      <c r="S1" s="3"/>
      <c r="Z1"/>
      <c r="AA1"/>
    </row>
    <row r="2" spans="1:27" x14ac:dyDescent="0.3">
      <c r="A2">
        <v>1</v>
      </c>
      <c r="B2" t="s">
        <v>1346</v>
      </c>
      <c r="C2" t="s">
        <v>9</v>
      </c>
      <c r="D2" t="s">
        <v>8</v>
      </c>
      <c r="E2" t="s">
        <v>732</v>
      </c>
      <c r="G2" t="s">
        <v>733</v>
      </c>
      <c r="I2" t="s">
        <v>734</v>
      </c>
      <c r="K2">
        <v>690323410817.80005</v>
      </c>
      <c r="L2" t="s">
        <v>1346</v>
      </c>
      <c r="M2" t="s">
        <v>1342</v>
      </c>
      <c r="R2" s="3"/>
      <c r="S2" s="3"/>
      <c r="Z2"/>
      <c r="AA2"/>
    </row>
    <row r="3" spans="1:27" x14ac:dyDescent="0.3">
      <c r="A3">
        <v>2</v>
      </c>
      <c r="B3" t="s">
        <v>12</v>
      </c>
      <c r="C3" t="s">
        <v>13</v>
      </c>
      <c r="D3" t="s">
        <v>8</v>
      </c>
      <c r="E3" t="s">
        <v>738</v>
      </c>
      <c r="G3" t="s">
        <v>739</v>
      </c>
      <c r="I3" t="s">
        <v>740</v>
      </c>
      <c r="K3" s="3">
        <v>22768764551.189999</v>
      </c>
      <c r="L3" t="s">
        <v>1346</v>
      </c>
      <c r="M3" t="s">
        <v>1342</v>
      </c>
      <c r="N3" t="s">
        <v>12</v>
      </c>
      <c r="O3">
        <v>22768764551.189999</v>
      </c>
      <c r="R3" s="3"/>
      <c r="S3" s="3"/>
      <c r="Z3"/>
      <c r="AA3"/>
    </row>
    <row r="4" spans="1:27" x14ac:dyDescent="0.3">
      <c r="A4">
        <v>2</v>
      </c>
      <c r="B4" t="s">
        <v>14</v>
      </c>
      <c r="C4" t="s">
        <v>15</v>
      </c>
      <c r="D4" t="s">
        <v>8</v>
      </c>
      <c r="E4" t="s">
        <v>741</v>
      </c>
      <c r="G4" t="s">
        <v>742</v>
      </c>
      <c r="I4" t="s">
        <v>743</v>
      </c>
      <c r="K4">
        <v>34142166207.709999</v>
      </c>
      <c r="L4" t="s">
        <v>1346</v>
      </c>
      <c r="M4" t="s">
        <v>1342</v>
      </c>
      <c r="N4" t="s">
        <v>14</v>
      </c>
      <c r="O4">
        <v>34142166207.709999</v>
      </c>
      <c r="R4" s="3"/>
      <c r="S4" s="3"/>
      <c r="Z4"/>
      <c r="AA4"/>
    </row>
    <row r="5" spans="1:27" x14ac:dyDescent="0.3">
      <c r="A5">
        <v>2</v>
      </c>
      <c r="B5" t="s">
        <v>16</v>
      </c>
      <c r="C5" t="s">
        <v>17</v>
      </c>
      <c r="D5" t="s">
        <v>8</v>
      </c>
      <c r="E5" t="s">
        <v>744</v>
      </c>
      <c r="G5" t="s">
        <v>745</v>
      </c>
      <c r="I5" t="s">
        <v>746</v>
      </c>
      <c r="K5">
        <v>526022453.64999998</v>
      </c>
      <c r="L5" t="s">
        <v>1346</v>
      </c>
      <c r="M5" t="s">
        <v>1342</v>
      </c>
      <c r="N5" t="s">
        <v>16</v>
      </c>
      <c r="O5">
        <v>526022453.64999998</v>
      </c>
      <c r="R5" s="3"/>
      <c r="S5" s="3"/>
      <c r="Z5"/>
      <c r="AA5"/>
    </row>
    <row r="6" spans="1:27" x14ac:dyDescent="0.3">
      <c r="A6">
        <v>2</v>
      </c>
      <c r="B6" t="s">
        <v>10</v>
      </c>
      <c r="C6" t="s">
        <v>11</v>
      </c>
      <c r="D6" t="s">
        <v>8</v>
      </c>
      <c r="E6" t="s">
        <v>735</v>
      </c>
      <c r="G6" t="s">
        <v>736</v>
      </c>
      <c r="I6" t="s">
        <v>737</v>
      </c>
      <c r="K6">
        <v>632886457605.25</v>
      </c>
      <c r="L6" t="s">
        <v>1346</v>
      </c>
      <c r="M6" t="s">
        <v>1342</v>
      </c>
      <c r="N6" t="s">
        <v>10</v>
      </c>
      <c r="O6">
        <v>632886457605.25</v>
      </c>
      <c r="R6" s="3"/>
      <c r="S6" s="3"/>
      <c r="Z6"/>
      <c r="AA6"/>
    </row>
    <row r="7" spans="1:27" x14ac:dyDescent="0.3">
      <c r="A7">
        <v>1</v>
      </c>
      <c r="B7" t="s">
        <v>1347</v>
      </c>
      <c r="C7" t="s">
        <v>18</v>
      </c>
      <c r="D7" t="s">
        <v>8</v>
      </c>
      <c r="E7" t="s">
        <v>747</v>
      </c>
      <c r="G7" t="s">
        <v>748</v>
      </c>
      <c r="I7" t="s">
        <v>749</v>
      </c>
      <c r="K7" s="3">
        <v>280930854280.65997</v>
      </c>
      <c r="L7" t="s">
        <v>1347</v>
      </c>
      <c r="M7" t="s">
        <v>1342</v>
      </c>
      <c r="R7" s="3"/>
      <c r="S7" s="3"/>
      <c r="Z7"/>
      <c r="AA7"/>
    </row>
    <row r="8" spans="1:27" x14ac:dyDescent="0.3">
      <c r="A8">
        <v>2</v>
      </c>
      <c r="B8" t="s">
        <v>21</v>
      </c>
      <c r="C8" t="s">
        <v>22</v>
      </c>
      <c r="D8" t="s">
        <v>8</v>
      </c>
      <c r="E8" t="s">
        <v>753</v>
      </c>
      <c r="G8" t="s">
        <v>754</v>
      </c>
      <c r="I8" t="s">
        <v>755</v>
      </c>
      <c r="K8">
        <v>4955219717.0100002</v>
      </c>
      <c r="L8" t="s">
        <v>1347</v>
      </c>
      <c r="M8" t="s">
        <v>1342</v>
      </c>
      <c r="N8" t="s">
        <v>21</v>
      </c>
      <c r="O8">
        <v>4955219717.0100002</v>
      </c>
      <c r="R8" s="3"/>
      <c r="S8" s="3"/>
      <c r="Z8"/>
      <c r="AA8"/>
    </row>
    <row r="9" spans="1:27" x14ac:dyDescent="0.3">
      <c r="A9">
        <v>2</v>
      </c>
      <c r="B9" t="s">
        <v>23</v>
      </c>
      <c r="C9" t="s">
        <v>24</v>
      </c>
      <c r="D9" t="s">
        <v>8</v>
      </c>
      <c r="E9" t="s">
        <v>756</v>
      </c>
      <c r="G9" t="s">
        <v>757</v>
      </c>
      <c r="I9" t="s">
        <v>758</v>
      </c>
      <c r="K9">
        <v>272229474337.57001</v>
      </c>
      <c r="L9" t="s">
        <v>1347</v>
      </c>
      <c r="M9" t="s">
        <v>1342</v>
      </c>
      <c r="N9" t="s">
        <v>23</v>
      </c>
      <c r="O9">
        <v>272229474337.57001</v>
      </c>
      <c r="Q9" s="68"/>
      <c r="R9" s="69"/>
      <c r="S9" s="70"/>
      <c r="Z9"/>
      <c r="AA9"/>
    </row>
    <row r="10" spans="1:27" x14ac:dyDescent="0.3">
      <c r="A10">
        <v>2</v>
      </c>
      <c r="B10" t="s">
        <v>19</v>
      </c>
      <c r="C10" t="s">
        <v>20</v>
      </c>
      <c r="D10" t="s">
        <v>8</v>
      </c>
      <c r="E10" t="s">
        <v>750</v>
      </c>
      <c r="G10" t="s">
        <v>751</v>
      </c>
      <c r="I10" t="s">
        <v>752</v>
      </c>
      <c r="K10" s="3">
        <v>3699613307.9000001</v>
      </c>
      <c r="L10" t="s">
        <v>1347</v>
      </c>
      <c r="M10" t="s">
        <v>1342</v>
      </c>
      <c r="N10" t="s">
        <v>19</v>
      </c>
      <c r="O10">
        <v>3699613307.9000001</v>
      </c>
      <c r="Q10" s="62"/>
      <c r="R10" s="63"/>
      <c r="S10" s="64"/>
      <c r="Z10"/>
      <c r="AA10"/>
    </row>
    <row r="11" spans="1:27" x14ac:dyDescent="0.3">
      <c r="A11">
        <v>2</v>
      </c>
      <c r="B11" t="s">
        <v>25</v>
      </c>
      <c r="C11" t="s">
        <v>26</v>
      </c>
      <c r="D11" t="s">
        <v>8</v>
      </c>
      <c r="G11" t="s">
        <v>759</v>
      </c>
      <c r="I11" t="s">
        <v>759</v>
      </c>
      <c r="K11" s="3">
        <v>46546918.18</v>
      </c>
      <c r="L11" t="s">
        <v>1347</v>
      </c>
      <c r="M11" t="s">
        <v>1342</v>
      </c>
      <c r="N11" t="s">
        <v>25</v>
      </c>
      <c r="O11">
        <v>46546918.18</v>
      </c>
      <c r="Q11" s="62"/>
      <c r="R11" s="63"/>
      <c r="S11" s="64"/>
      <c r="Z11"/>
      <c r="AA11"/>
    </row>
    <row r="12" spans="1:27" x14ac:dyDescent="0.3">
      <c r="A12">
        <v>1</v>
      </c>
      <c r="B12" t="s">
        <v>1352</v>
      </c>
      <c r="C12" t="s">
        <v>27</v>
      </c>
      <c r="D12" t="s">
        <v>8</v>
      </c>
      <c r="E12" t="s">
        <v>760</v>
      </c>
      <c r="I12" t="s">
        <v>760</v>
      </c>
      <c r="K12">
        <v>12000000</v>
      </c>
      <c r="L12" t="s">
        <v>1352</v>
      </c>
      <c r="M12" t="s">
        <v>1342</v>
      </c>
      <c r="N12" t="s">
        <v>1352</v>
      </c>
      <c r="O12">
        <v>12000000</v>
      </c>
      <c r="Q12" s="62"/>
      <c r="R12" s="63"/>
      <c r="S12" s="64"/>
      <c r="Z12"/>
      <c r="AA12"/>
    </row>
    <row r="13" spans="1:27" x14ac:dyDescent="0.3">
      <c r="A13">
        <v>1</v>
      </c>
      <c r="B13" t="s">
        <v>1348</v>
      </c>
      <c r="C13" t="s">
        <v>28</v>
      </c>
      <c r="D13" t="s">
        <v>8</v>
      </c>
      <c r="E13" t="s">
        <v>761</v>
      </c>
      <c r="G13" t="s">
        <v>762</v>
      </c>
      <c r="H13" t="s">
        <v>763</v>
      </c>
      <c r="I13" t="s">
        <v>764</v>
      </c>
      <c r="K13" s="3">
        <v>2029634968.6700001</v>
      </c>
      <c r="L13" t="s">
        <v>1348</v>
      </c>
      <c r="M13" t="s">
        <v>1342</v>
      </c>
      <c r="Q13" s="62"/>
      <c r="R13" s="63"/>
      <c r="S13" s="64"/>
      <c r="Z13"/>
      <c r="AA13"/>
    </row>
    <row r="14" spans="1:27" x14ac:dyDescent="0.3">
      <c r="A14">
        <v>2</v>
      </c>
      <c r="B14" t="s">
        <v>1348</v>
      </c>
      <c r="C14" t="s">
        <v>28</v>
      </c>
      <c r="D14" t="s">
        <v>8</v>
      </c>
      <c r="G14" t="s">
        <v>765</v>
      </c>
      <c r="I14" t="s">
        <v>765</v>
      </c>
      <c r="K14">
        <v>58552750.520000003</v>
      </c>
      <c r="L14" t="s">
        <v>1348</v>
      </c>
      <c r="M14" t="s">
        <v>1342</v>
      </c>
      <c r="N14" t="s">
        <v>1348</v>
      </c>
      <c r="O14">
        <v>58552750.520000003</v>
      </c>
      <c r="Q14" s="62"/>
      <c r="R14" s="63"/>
      <c r="S14" s="64"/>
      <c r="Z14"/>
      <c r="AA14"/>
    </row>
    <row r="15" spans="1:27" x14ac:dyDescent="0.3">
      <c r="A15">
        <v>2</v>
      </c>
      <c r="B15" t="s">
        <v>29</v>
      </c>
      <c r="C15" t="s">
        <v>30</v>
      </c>
      <c r="D15" t="s">
        <v>8</v>
      </c>
      <c r="E15" t="s">
        <v>766</v>
      </c>
      <c r="G15" t="s">
        <v>767</v>
      </c>
      <c r="H15" t="s">
        <v>763</v>
      </c>
      <c r="I15" t="s">
        <v>768</v>
      </c>
      <c r="K15">
        <v>1450539955.8099999</v>
      </c>
      <c r="L15" t="s">
        <v>1348</v>
      </c>
      <c r="M15" t="s">
        <v>1342</v>
      </c>
      <c r="N15" t="s">
        <v>29</v>
      </c>
      <c r="O15">
        <v>1450539955.8099999</v>
      </c>
      <c r="Q15" s="62"/>
      <c r="R15" s="63"/>
      <c r="S15" s="64"/>
      <c r="Z15"/>
      <c r="AA15"/>
    </row>
    <row r="16" spans="1:27" x14ac:dyDescent="0.3">
      <c r="A16">
        <v>2</v>
      </c>
      <c r="B16" t="s">
        <v>31</v>
      </c>
      <c r="C16" t="s">
        <v>32</v>
      </c>
      <c r="D16" t="s">
        <v>8</v>
      </c>
      <c r="E16" t="s">
        <v>769</v>
      </c>
      <c r="I16" t="s">
        <v>769</v>
      </c>
      <c r="K16">
        <v>520542262.33999997</v>
      </c>
      <c r="L16" t="s">
        <v>1348</v>
      </c>
      <c r="M16" t="s">
        <v>1342</v>
      </c>
      <c r="N16" t="s">
        <v>31</v>
      </c>
      <c r="O16">
        <v>520542262.33999997</v>
      </c>
      <c r="Q16" s="62"/>
      <c r="R16" s="63"/>
      <c r="S16" s="64"/>
      <c r="Z16"/>
      <c r="AA16"/>
    </row>
    <row r="17" spans="1:27" x14ac:dyDescent="0.3">
      <c r="A17">
        <v>1</v>
      </c>
      <c r="B17" t="s">
        <v>1349</v>
      </c>
      <c r="C17" t="s">
        <v>33</v>
      </c>
      <c r="D17" t="s">
        <v>8</v>
      </c>
      <c r="E17" t="s">
        <v>770</v>
      </c>
      <c r="G17" t="s">
        <v>771</v>
      </c>
      <c r="I17" t="s">
        <v>772</v>
      </c>
      <c r="K17" s="3">
        <v>44170388111.089996</v>
      </c>
      <c r="L17" t="s">
        <v>1349</v>
      </c>
      <c r="M17" t="s">
        <v>1342</v>
      </c>
      <c r="Q17" s="62"/>
      <c r="R17" s="63"/>
      <c r="S17" s="64"/>
      <c r="Z17"/>
      <c r="AA17"/>
    </row>
    <row r="18" spans="1:27" x14ac:dyDescent="0.3">
      <c r="A18">
        <v>2</v>
      </c>
      <c r="B18" t="s">
        <v>1349</v>
      </c>
      <c r="C18" t="s">
        <v>33</v>
      </c>
      <c r="D18" t="s">
        <v>8</v>
      </c>
      <c r="G18" t="s">
        <v>773</v>
      </c>
      <c r="I18" t="s">
        <v>773</v>
      </c>
      <c r="K18">
        <v>152215391.30000001</v>
      </c>
      <c r="L18" t="s">
        <v>1349</v>
      </c>
      <c r="M18" t="s">
        <v>1342</v>
      </c>
      <c r="N18" t="s">
        <v>1349</v>
      </c>
      <c r="O18">
        <v>152215391.30000001</v>
      </c>
      <c r="Q18" s="62"/>
      <c r="R18" s="63"/>
      <c r="S18" s="64"/>
      <c r="Z18"/>
      <c r="AA18"/>
    </row>
    <row r="19" spans="1:27" x14ac:dyDescent="0.3">
      <c r="A19">
        <v>2</v>
      </c>
      <c r="B19" t="s">
        <v>34</v>
      </c>
      <c r="C19" t="s">
        <v>35</v>
      </c>
      <c r="D19" t="s">
        <v>8</v>
      </c>
      <c r="E19" t="s">
        <v>774</v>
      </c>
      <c r="G19" t="s">
        <v>775</v>
      </c>
      <c r="I19" t="s">
        <v>776</v>
      </c>
      <c r="K19" s="3">
        <v>25862097986.18</v>
      </c>
      <c r="L19" t="s">
        <v>1349</v>
      </c>
      <c r="M19" t="s">
        <v>1342</v>
      </c>
      <c r="N19" t="s">
        <v>34</v>
      </c>
      <c r="O19">
        <v>25862097986.18</v>
      </c>
      <c r="Q19" s="62"/>
      <c r="R19" s="63"/>
      <c r="S19" s="64"/>
      <c r="Z19"/>
      <c r="AA19"/>
    </row>
    <row r="20" spans="1:27" x14ac:dyDescent="0.3">
      <c r="A20">
        <v>2</v>
      </c>
      <c r="B20" t="s">
        <v>36</v>
      </c>
      <c r="C20" t="s">
        <v>37</v>
      </c>
      <c r="D20" t="s">
        <v>8</v>
      </c>
      <c r="E20" t="s">
        <v>777</v>
      </c>
      <c r="G20" t="s">
        <v>778</v>
      </c>
      <c r="I20" t="s">
        <v>779</v>
      </c>
      <c r="K20" s="3">
        <v>18156074733.610001</v>
      </c>
      <c r="L20" t="s">
        <v>1349</v>
      </c>
      <c r="M20" t="s">
        <v>1342</v>
      </c>
      <c r="N20" t="s">
        <v>36</v>
      </c>
      <c r="O20">
        <v>18156074733.610001</v>
      </c>
      <c r="Q20" s="62"/>
      <c r="R20" s="63"/>
      <c r="S20" s="64"/>
      <c r="Z20"/>
      <c r="AA20"/>
    </row>
    <row r="21" spans="1:27" x14ac:dyDescent="0.3">
      <c r="A21">
        <v>1</v>
      </c>
      <c r="B21" t="s">
        <v>1353</v>
      </c>
      <c r="C21" t="s">
        <v>38</v>
      </c>
      <c r="D21" t="s">
        <v>8</v>
      </c>
      <c r="G21" t="s">
        <v>780</v>
      </c>
      <c r="I21" t="s">
        <v>780</v>
      </c>
      <c r="K21" s="3">
        <v>16608695.65</v>
      </c>
      <c r="L21" t="s">
        <v>1353</v>
      </c>
      <c r="M21" t="s">
        <v>1342</v>
      </c>
      <c r="N21" t="s">
        <v>1353</v>
      </c>
      <c r="O21">
        <v>16608695.65</v>
      </c>
      <c r="Q21" s="62"/>
      <c r="R21" s="63"/>
      <c r="S21" s="64"/>
      <c r="Z21"/>
      <c r="AA21"/>
    </row>
    <row r="22" spans="1:27" x14ac:dyDescent="0.3">
      <c r="A22">
        <v>1</v>
      </c>
      <c r="B22" t="s">
        <v>1363</v>
      </c>
      <c r="C22" t="s">
        <v>39</v>
      </c>
      <c r="D22" t="s">
        <v>8</v>
      </c>
      <c r="F22" t="s">
        <v>1129</v>
      </c>
      <c r="H22" t="s">
        <v>1130</v>
      </c>
      <c r="J22" t="s">
        <v>1131</v>
      </c>
      <c r="K22">
        <v>-59819019351.129997</v>
      </c>
      <c r="L22" t="s">
        <v>1363</v>
      </c>
      <c r="M22" t="s">
        <v>1342</v>
      </c>
      <c r="Q22" s="62"/>
      <c r="R22" s="63"/>
      <c r="S22" s="64"/>
      <c r="Z22"/>
      <c r="AA22"/>
    </row>
    <row r="23" spans="1:27" x14ac:dyDescent="0.3">
      <c r="A23">
        <v>2</v>
      </c>
      <c r="B23" t="s">
        <v>40</v>
      </c>
      <c r="C23" t="s">
        <v>41</v>
      </c>
      <c r="D23" t="s">
        <v>8</v>
      </c>
      <c r="F23" t="s">
        <v>1132</v>
      </c>
      <c r="H23" t="s">
        <v>1133</v>
      </c>
      <c r="J23" t="s">
        <v>1134</v>
      </c>
      <c r="K23">
        <v>-1160106513.1600001</v>
      </c>
      <c r="L23" t="s">
        <v>1363</v>
      </c>
      <c r="M23" t="s">
        <v>1342</v>
      </c>
      <c r="N23" t="s">
        <v>40</v>
      </c>
      <c r="O23">
        <v>-1160106513.1600001</v>
      </c>
      <c r="Q23" s="62"/>
      <c r="R23" s="63"/>
      <c r="S23" s="64"/>
      <c r="Z23"/>
      <c r="AA23"/>
    </row>
    <row r="24" spans="1:27" x14ac:dyDescent="0.3">
      <c r="A24">
        <v>2</v>
      </c>
      <c r="B24" t="s">
        <v>42</v>
      </c>
      <c r="C24" t="s">
        <v>43</v>
      </c>
      <c r="D24" t="s">
        <v>8</v>
      </c>
      <c r="F24" t="s">
        <v>1135</v>
      </c>
      <c r="H24" t="s">
        <v>1136</v>
      </c>
      <c r="J24" t="s">
        <v>1137</v>
      </c>
      <c r="K24">
        <v>-3942626336.8299999</v>
      </c>
      <c r="L24" t="s">
        <v>1363</v>
      </c>
      <c r="M24" t="s">
        <v>1342</v>
      </c>
      <c r="N24" t="s">
        <v>42</v>
      </c>
      <c r="O24">
        <v>-3942626336.8299999</v>
      </c>
      <c r="Q24" s="62"/>
      <c r="R24" s="63"/>
      <c r="S24" s="64"/>
      <c r="Z24"/>
      <c r="AA24"/>
    </row>
    <row r="25" spans="1:27" x14ac:dyDescent="0.3">
      <c r="A25">
        <v>2</v>
      </c>
      <c r="B25" t="s">
        <v>44</v>
      </c>
      <c r="C25" t="s">
        <v>45</v>
      </c>
      <c r="D25" t="s">
        <v>8</v>
      </c>
      <c r="F25" t="s">
        <v>1138</v>
      </c>
      <c r="H25" t="s">
        <v>1139</v>
      </c>
      <c r="J25" t="s">
        <v>1140</v>
      </c>
      <c r="K25" s="3">
        <v>-65790723.299999997</v>
      </c>
      <c r="L25" t="s">
        <v>1363</v>
      </c>
      <c r="M25" t="s">
        <v>1342</v>
      </c>
      <c r="N25" t="s">
        <v>44</v>
      </c>
      <c r="O25">
        <v>-65790723.299999997</v>
      </c>
      <c r="Q25" s="62"/>
      <c r="R25" s="63"/>
      <c r="S25" s="64"/>
      <c r="Z25"/>
      <c r="AA25"/>
    </row>
    <row r="26" spans="1:27" x14ac:dyDescent="0.3">
      <c r="A26">
        <v>2</v>
      </c>
      <c r="B26" t="s">
        <v>46</v>
      </c>
      <c r="C26" t="s">
        <v>47</v>
      </c>
      <c r="D26" t="s">
        <v>8</v>
      </c>
      <c r="F26" t="s">
        <v>1141</v>
      </c>
      <c r="H26" t="s">
        <v>1142</v>
      </c>
      <c r="J26" t="s">
        <v>1143</v>
      </c>
      <c r="K26">
        <v>-54650495777.839996</v>
      </c>
      <c r="L26" t="s">
        <v>1363</v>
      </c>
      <c r="M26" t="s">
        <v>1342</v>
      </c>
      <c r="N26" t="s">
        <v>46</v>
      </c>
      <c r="O26">
        <v>-54650495777.839996</v>
      </c>
      <c r="Q26" s="65"/>
      <c r="R26" s="66"/>
      <c r="S26" s="67"/>
      <c r="Z26"/>
      <c r="AA26"/>
    </row>
    <row r="27" spans="1:27" x14ac:dyDescent="0.3">
      <c r="A27">
        <v>1</v>
      </c>
      <c r="B27" t="s">
        <v>1364</v>
      </c>
      <c r="C27" t="s">
        <v>48</v>
      </c>
      <c r="D27" t="s">
        <v>8</v>
      </c>
      <c r="F27" t="s">
        <v>1144</v>
      </c>
      <c r="H27" t="s">
        <v>1145</v>
      </c>
      <c r="J27" t="s">
        <v>1146</v>
      </c>
      <c r="K27">
        <v>-57499992829.599998</v>
      </c>
      <c r="L27" t="s">
        <v>1364</v>
      </c>
      <c r="M27" t="s">
        <v>1342</v>
      </c>
      <c r="Z27"/>
      <c r="AA27"/>
    </row>
    <row r="28" spans="1:27" x14ac:dyDescent="0.3">
      <c r="A28">
        <v>2</v>
      </c>
      <c r="B28" t="s">
        <v>49</v>
      </c>
      <c r="C28" t="s">
        <v>50</v>
      </c>
      <c r="D28" t="s">
        <v>8</v>
      </c>
      <c r="F28" t="s">
        <v>1147</v>
      </c>
      <c r="H28" t="s">
        <v>1148</v>
      </c>
      <c r="J28" t="s">
        <v>1149</v>
      </c>
      <c r="K28">
        <v>-730119949.96000004</v>
      </c>
      <c r="L28" t="s">
        <v>1364</v>
      </c>
      <c r="M28" t="s">
        <v>1342</v>
      </c>
      <c r="N28" t="s">
        <v>49</v>
      </c>
      <c r="O28">
        <v>-730119949.96000004</v>
      </c>
      <c r="Z28"/>
      <c r="AA28"/>
    </row>
    <row r="29" spans="1:27" x14ac:dyDescent="0.3">
      <c r="A29">
        <v>2</v>
      </c>
      <c r="B29" t="s">
        <v>51</v>
      </c>
      <c r="C29" t="s">
        <v>52</v>
      </c>
      <c r="D29" t="s">
        <v>8</v>
      </c>
      <c r="F29" t="s">
        <v>1150</v>
      </c>
      <c r="H29" t="s">
        <v>1151</v>
      </c>
      <c r="J29" t="s">
        <v>1152</v>
      </c>
      <c r="K29" s="3">
        <v>-55830339713.410004</v>
      </c>
      <c r="L29" t="s">
        <v>1364</v>
      </c>
      <c r="M29" t="s">
        <v>1342</v>
      </c>
      <c r="N29" t="s">
        <v>51</v>
      </c>
      <c r="O29">
        <v>-55830339713.410004</v>
      </c>
      <c r="Z29"/>
      <c r="AA29"/>
    </row>
    <row r="30" spans="1:27" x14ac:dyDescent="0.3">
      <c r="A30">
        <v>2</v>
      </c>
      <c r="B30" t="s">
        <v>53</v>
      </c>
      <c r="C30" t="s">
        <v>54</v>
      </c>
      <c r="D30" t="s">
        <v>8</v>
      </c>
      <c r="F30" t="s">
        <v>1153</v>
      </c>
      <c r="H30" t="s">
        <v>1154</v>
      </c>
      <c r="J30" t="s">
        <v>1155</v>
      </c>
      <c r="K30">
        <v>-938828408.38</v>
      </c>
      <c r="L30" t="s">
        <v>1364</v>
      </c>
      <c r="M30" t="s">
        <v>1342</v>
      </c>
      <c r="N30" t="s">
        <v>53</v>
      </c>
      <c r="O30">
        <v>-938828408.38</v>
      </c>
      <c r="Z30"/>
      <c r="AA30"/>
    </row>
    <row r="31" spans="1:27" x14ac:dyDescent="0.3">
      <c r="A31">
        <v>2</v>
      </c>
      <c r="B31" t="s">
        <v>55</v>
      </c>
      <c r="C31" t="s">
        <v>56</v>
      </c>
      <c r="D31" t="s">
        <v>8</v>
      </c>
      <c r="H31" t="s">
        <v>1156</v>
      </c>
      <c r="J31" t="s">
        <v>1156</v>
      </c>
      <c r="K31">
        <v>-704757.85</v>
      </c>
      <c r="L31" t="s">
        <v>1364</v>
      </c>
      <c r="M31" t="s">
        <v>1342</v>
      </c>
      <c r="N31" t="s">
        <v>55</v>
      </c>
      <c r="O31">
        <v>-704757.85</v>
      </c>
      <c r="Z31"/>
      <c r="AA31"/>
    </row>
    <row r="32" spans="1:27" x14ac:dyDescent="0.3">
      <c r="A32">
        <v>1</v>
      </c>
      <c r="B32" t="s">
        <v>1365</v>
      </c>
      <c r="C32" t="s">
        <v>57</v>
      </c>
      <c r="D32" t="s">
        <v>8</v>
      </c>
      <c r="F32" t="s">
        <v>1157</v>
      </c>
      <c r="H32" t="s">
        <v>1158</v>
      </c>
      <c r="J32" t="s">
        <v>1159</v>
      </c>
      <c r="K32" s="3">
        <v>-5400000</v>
      </c>
      <c r="L32" t="s">
        <v>1365</v>
      </c>
      <c r="M32" t="s">
        <v>1342</v>
      </c>
      <c r="N32" t="s">
        <v>1365</v>
      </c>
      <c r="O32">
        <v>-5400000</v>
      </c>
      <c r="Z32"/>
      <c r="AA32"/>
    </row>
    <row r="33" spans="1:27" x14ac:dyDescent="0.3">
      <c r="A33">
        <v>1</v>
      </c>
      <c r="B33" t="s">
        <v>1366</v>
      </c>
      <c r="C33" t="s">
        <v>58</v>
      </c>
      <c r="D33" t="s">
        <v>8</v>
      </c>
      <c r="F33" t="s">
        <v>1160</v>
      </c>
      <c r="H33" t="s">
        <v>1161</v>
      </c>
      <c r="J33" t="s">
        <v>1162</v>
      </c>
      <c r="K33">
        <v>-1206071874.6900001</v>
      </c>
      <c r="L33" t="s">
        <v>1366</v>
      </c>
      <c r="M33" t="s">
        <v>1342</v>
      </c>
      <c r="Z33"/>
      <c r="AA33"/>
    </row>
    <row r="34" spans="1:27" x14ac:dyDescent="0.3">
      <c r="A34">
        <v>2</v>
      </c>
      <c r="B34" t="s">
        <v>1366</v>
      </c>
      <c r="C34" t="s">
        <v>58</v>
      </c>
      <c r="D34" t="s">
        <v>8</v>
      </c>
      <c r="H34" t="s">
        <v>1163</v>
      </c>
      <c r="J34" t="s">
        <v>1163</v>
      </c>
      <c r="K34" s="3">
        <v>-20093963.800000001</v>
      </c>
      <c r="L34" t="s">
        <v>1366</v>
      </c>
      <c r="M34" t="s">
        <v>1342</v>
      </c>
      <c r="N34" t="s">
        <v>1366</v>
      </c>
      <c r="O34">
        <v>-20093963.800000001</v>
      </c>
      <c r="Z34"/>
      <c r="AA34"/>
    </row>
    <row r="35" spans="1:27" x14ac:dyDescent="0.3">
      <c r="A35">
        <v>2</v>
      </c>
      <c r="B35" t="s">
        <v>59</v>
      </c>
      <c r="C35" t="s">
        <v>60</v>
      </c>
      <c r="D35" t="s">
        <v>8</v>
      </c>
      <c r="F35" t="s">
        <v>1164</v>
      </c>
      <c r="H35" t="s">
        <v>1165</v>
      </c>
      <c r="J35" t="s">
        <v>1166</v>
      </c>
      <c r="K35" s="3">
        <v>-852520460.09000003</v>
      </c>
      <c r="L35" t="s">
        <v>1366</v>
      </c>
      <c r="M35" t="s">
        <v>1342</v>
      </c>
      <c r="N35" t="s">
        <v>59</v>
      </c>
      <c r="O35">
        <v>-852520460.09000003</v>
      </c>
      <c r="Z35"/>
      <c r="AA35"/>
    </row>
    <row r="36" spans="1:27" x14ac:dyDescent="0.3">
      <c r="A36">
        <v>2</v>
      </c>
      <c r="B36" t="s">
        <v>61</v>
      </c>
      <c r="C36" t="s">
        <v>62</v>
      </c>
      <c r="D36" t="s">
        <v>8</v>
      </c>
      <c r="F36" t="s">
        <v>1167</v>
      </c>
      <c r="H36" t="s">
        <v>1168</v>
      </c>
      <c r="J36" t="s">
        <v>1169</v>
      </c>
      <c r="K36" s="3">
        <v>-333457450.80000001</v>
      </c>
      <c r="L36" t="s">
        <v>1366</v>
      </c>
      <c r="M36" t="s">
        <v>1342</v>
      </c>
      <c r="N36" t="s">
        <v>61</v>
      </c>
      <c r="O36">
        <v>-333457450.80000001</v>
      </c>
      <c r="Z36"/>
      <c r="AA36"/>
    </row>
    <row r="37" spans="1:27" x14ac:dyDescent="0.3">
      <c r="A37">
        <v>1</v>
      </c>
      <c r="B37" t="s">
        <v>1367</v>
      </c>
      <c r="C37" t="s">
        <v>63</v>
      </c>
      <c r="D37" t="s">
        <v>8</v>
      </c>
      <c r="F37" t="s">
        <v>1170</v>
      </c>
      <c r="H37" t="s">
        <v>1171</v>
      </c>
      <c r="J37" t="s">
        <v>1172</v>
      </c>
      <c r="K37" s="3">
        <v>-10297938119.26</v>
      </c>
      <c r="L37" t="s">
        <v>1367</v>
      </c>
      <c r="M37" t="s">
        <v>1342</v>
      </c>
      <c r="Z37"/>
      <c r="AA37"/>
    </row>
    <row r="38" spans="1:27" x14ac:dyDescent="0.3">
      <c r="A38">
        <v>2</v>
      </c>
      <c r="B38" t="s">
        <v>1367</v>
      </c>
      <c r="C38" t="s">
        <v>63</v>
      </c>
      <c r="D38" t="s">
        <v>8</v>
      </c>
      <c r="H38" t="s">
        <v>1173</v>
      </c>
      <c r="J38" t="s">
        <v>1173</v>
      </c>
      <c r="K38" s="3">
        <v>-20295385.52</v>
      </c>
      <c r="L38" t="s">
        <v>1367</v>
      </c>
      <c r="M38" t="s">
        <v>1342</v>
      </c>
      <c r="N38" t="s">
        <v>1367</v>
      </c>
      <c r="O38">
        <v>-20295385.52</v>
      </c>
      <c r="Z38"/>
      <c r="AA38"/>
    </row>
    <row r="39" spans="1:27" x14ac:dyDescent="0.3">
      <c r="A39">
        <v>2</v>
      </c>
      <c r="B39" t="s">
        <v>64</v>
      </c>
      <c r="C39" t="s">
        <v>65</v>
      </c>
      <c r="D39" t="s">
        <v>8</v>
      </c>
      <c r="F39" t="s">
        <v>1174</v>
      </c>
      <c r="H39" t="s">
        <v>1175</v>
      </c>
      <c r="J39" t="s">
        <v>1176</v>
      </c>
      <c r="K39" s="3">
        <v>-4700775253.4200001</v>
      </c>
      <c r="L39" t="s">
        <v>1367</v>
      </c>
      <c r="M39" t="s">
        <v>1342</v>
      </c>
      <c r="N39" t="s">
        <v>64</v>
      </c>
      <c r="O39">
        <v>-4700775253.4200001</v>
      </c>
      <c r="Z39"/>
      <c r="AA39"/>
    </row>
    <row r="40" spans="1:27" x14ac:dyDescent="0.3">
      <c r="A40">
        <v>2</v>
      </c>
      <c r="B40" t="s">
        <v>66</v>
      </c>
      <c r="C40" t="s">
        <v>67</v>
      </c>
      <c r="D40" t="s">
        <v>8</v>
      </c>
      <c r="F40" t="s">
        <v>1177</v>
      </c>
      <c r="H40" t="s">
        <v>1178</v>
      </c>
      <c r="J40" t="s">
        <v>1179</v>
      </c>
      <c r="K40" s="3">
        <v>-5576867480.3199997</v>
      </c>
      <c r="L40" t="s">
        <v>1367</v>
      </c>
      <c r="M40" t="s">
        <v>1342</v>
      </c>
      <c r="N40" t="s">
        <v>66</v>
      </c>
      <c r="O40">
        <v>-5576867480.3199997</v>
      </c>
      <c r="Z40"/>
      <c r="AA40"/>
    </row>
    <row r="41" spans="1:27" x14ac:dyDescent="0.3">
      <c r="A41">
        <v>1</v>
      </c>
      <c r="B41" t="s">
        <v>1368</v>
      </c>
      <c r="C41" t="s">
        <v>68</v>
      </c>
      <c r="D41" t="s">
        <v>8</v>
      </c>
      <c r="H41" t="s">
        <v>1180</v>
      </c>
      <c r="J41" t="s">
        <v>1180</v>
      </c>
      <c r="K41" s="3">
        <v>-415217.4</v>
      </c>
      <c r="L41" t="s">
        <v>1368</v>
      </c>
      <c r="M41" t="s">
        <v>1342</v>
      </c>
      <c r="N41" t="s">
        <v>1368</v>
      </c>
      <c r="O41">
        <v>-415217.4</v>
      </c>
      <c r="Z41"/>
      <c r="AA41"/>
    </row>
    <row r="42" spans="1:27" x14ac:dyDescent="0.3">
      <c r="A42">
        <v>1</v>
      </c>
      <c r="B42" t="s">
        <v>1354</v>
      </c>
      <c r="C42" t="s">
        <v>69</v>
      </c>
      <c r="D42" t="s">
        <v>8</v>
      </c>
      <c r="E42" t="s">
        <v>781</v>
      </c>
      <c r="G42" t="s">
        <v>782</v>
      </c>
      <c r="I42" t="s">
        <v>783</v>
      </c>
      <c r="K42">
        <v>2475735023</v>
      </c>
      <c r="L42" t="s">
        <v>1354</v>
      </c>
      <c r="M42" t="s">
        <v>1342</v>
      </c>
      <c r="N42" t="s">
        <v>1354</v>
      </c>
      <c r="O42">
        <v>2475735023</v>
      </c>
      <c r="Z42"/>
      <c r="AA42"/>
    </row>
    <row r="43" spans="1:27" x14ac:dyDescent="0.3">
      <c r="A43">
        <v>1</v>
      </c>
      <c r="B43" t="s">
        <v>1355</v>
      </c>
      <c r="C43" t="s">
        <v>70</v>
      </c>
      <c r="D43" t="s">
        <v>8</v>
      </c>
      <c r="E43" t="s">
        <v>784</v>
      </c>
      <c r="I43" t="s">
        <v>784</v>
      </c>
      <c r="K43">
        <v>1241520</v>
      </c>
      <c r="L43" t="s">
        <v>1355</v>
      </c>
      <c r="M43" t="s">
        <v>1342</v>
      </c>
      <c r="N43" t="s">
        <v>1355</v>
      </c>
      <c r="O43">
        <v>1241520</v>
      </c>
      <c r="Z43"/>
      <c r="AA43"/>
    </row>
    <row r="44" spans="1:27" x14ac:dyDescent="0.3">
      <c r="A44">
        <v>1</v>
      </c>
      <c r="B44" t="s">
        <v>1356</v>
      </c>
      <c r="C44" t="s">
        <v>71</v>
      </c>
      <c r="D44" t="s">
        <v>8</v>
      </c>
      <c r="E44" t="s">
        <v>785</v>
      </c>
      <c r="G44" t="s">
        <v>786</v>
      </c>
      <c r="I44" t="s">
        <v>787</v>
      </c>
      <c r="K44" s="3">
        <v>2595200820.77</v>
      </c>
      <c r="L44" t="s">
        <v>1356</v>
      </c>
      <c r="M44" t="s">
        <v>1342</v>
      </c>
      <c r="N44" t="s">
        <v>1356</v>
      </c>
      <c r="O44">
        <v>2595200820.77</v>
      </c>
      <c r="Z44"/>
      <c r="AA44"/>
    </row>
    <row r="45" spans="1:27" x14ac:dyDescent="0.3">
      <c r="A45">
        <v>1</v>
      </c>
      <c r="B45" t="s">
        <v>1357</v>
      </c>
      <c r="C45" t="s">
        <v>72</v>
      </c>
      <c r="D45" t="s">
        <v>8</v>
      </c>
      <c r="E45" t="s">
        <v>788</v>
      </c>
      <c r="I45" t="s">
        <v>788</v>
      </c>
      <c r="K45">
        <v>1722400</v>
      </c>
      <c r="L45" t="s">
        <v>1357</v>
      </c>
      <c r="M45" t="s">
        <v>1342</v>
      </c>
      <c r="N45" t="s">
        <v>1357</v>
      </c>
      <c r="O45">
        <v>1722400</v>
      </c>
      <c r="Z45"/>
      <c r="AA45"/>
    </row>
    <row r="46" spans="1:27" x14ac:dyDescent="0.3">
      <c r="A46">
        <v>1</v>
      </c>
      <c r="B46" t="s">
        <v>1369</v>
      </c>
      <c r="C46" t="s">
        <v>73</v>
      </c>
      <c r="D46" t="s">
        <v>8</v>
      </c>
      <c r="F46" t="s">
        <v>1181</v>
      </c>
      <c r="H46" t="s">
        <v>1182</v>
      </c>
      <c r="J46" t="s">
        <v>1183</v>
      </c>
      <c r="K46">
        <v>-127138094.04000001</v>
      </c>
      <c r="L46" t="s">
        <v>1369</v>
      </c>
      <c r="M46" t="s">
        <v>1342</v>
      </c>
      <c r="N46" t="s">
        <v>1369</v>
      </c>
      <c r="O46">
        <v>-127138094.04000001</v>
      </c>
      <c r="Z46"/>
      <c r="AA46"/>
    </row>
    <row r="47" spans="1:27" x14ac:dyDescent="0.3">
      <c r="A47">
        <v>1</v>
      </c>
      <c r="B47" t="s">
        <v>1370</v>
      </c>
      <c r="C47" t="s">
        <v>74</v>
      </c>
      <c r="D47" t="s">
        <v>8</v>
      </c>
      <c r="F47" t="s">
        <v>1184</v>
      </c>
      <c r="H47" t="s">
        <v>1185</v>
      </c>
      <c r="J47" t="s">
        <v>1186</v>
      </c>
      <c r="K47">
        <v>-527646</v>
      </c>
      <c r="L47" t="s">
        <v>1370</v>
      </c>
      <c r="M47" t="s">
        <v>1342</v>
      </c>
      <c r="N47" t="s">
        <v>1370</v>
      </c>
      <c r="O47">
        <v>-527646</v>
      </c>
      <c r="Z47"/>
      <c r="AA47"/>
    </row>
    <row r="48" spans="1:27" x14ac:dyDescent="0.3">
      <c r="A48">
        <v>1</v>
      </c>
      <c r="B48" t="s">
        <v>1371</v>
      </c>
      <c r="C48" t="s">
        <v>75</v>
      </c>
      <c r="D48" t="s">
        <v>8</v>
      </c>
      <c r="F48" t="s">
        <v>785</v>
      </c>
      <c r="H48" t="s">
        <v>1187</v>
      </c>
      <c r="J48" t="s">
        <v>1188</v>
      </c>
      <c r="K48" s="3">
        <v>-1500457431.5</v>
      </c>
      <c r="L48" t="s">
        <v>1371</v>
      </c>
      <c r="M48" t="s">
        <v>1342</v>
      </c>
      <c r="N48" t="s">
        <v>1371</v>
      </c>
      <c r="O48">
        <v>-1500457431.5</v>
      </c>
      <c r="Z48"/>
      <c r="AA48"/>
    </row>
    <row r="49" spans="1:27" x14ac:dyDescent="0.3">
      <c r="A49">
        <v>1</v>
      </c>
      <c r="B49" t="s">
        <v>1358</v>
      </c>
      <c r="C49" t="s">
        <v>76</v>
      </c>
      <c r="D49" t="s">
        <v>8</v>
      </c>
      <c r="E49" t="s">
        <v>789</v>
      </c>
      <c r="G49" t="s">
        <v>790</v>
      </c>
      <c r="I49" t="s">
        <v>791</v>
      </c>
      <c r="K49">
        <v>804510734719.95996</v>
      </c>
      <c r="L49" t="s">
        <v>1358</v>
      </c>
      <c r="M49" t="s">
        <v>1342</v>
      </c>
      <c r="N49" t="s">
        <v>1358</v>
      </c>
      <c r="O49">
        <v>804510734719.95996</v>
      </c>
      <c r="Z49"/>
      <c r="AA49"/>
    </row>
    <row r="50" spans="1:27" x14ac:dyDescent="0.3">
      <c r="A50">
        <v>1</v>
      </c>
      <c r="B50" t="s">
        <v>1359</v>
      </c>
      <c r="C50" t="s">
        <v>77</v>
      </c>
      <c r="D50" t="s">
        <v>8</v>
      </c>
      <c r="E50" t="s">
        <v>792</v>
      </c>
      <c r="I50" t="s">
        <v>792</v>
      </c>
      <c r="K50" s="3">
        <v>596678145</v>
      </c>
      <c r="L50" t="s">
        <v>1359</v>
      </c>
      <c r="M50" t="s">
        <v>1342</v>
      </c>
      <c r="N50" t="s">
        <v>1359</v>
      </c>
      <c r="O50">
        <v>596678145</v>
      </c>
      <c r="Z50"/>
      <c r="AA50"/>
    </row>
    <row r="51" spans="1:27" x14ac:dyDescent="0.3">
      <c r="A51">
        <v>1</v>
      </c>
      <c r="B51" t="s">
        <v>1360</v>
      </c>
      <c r="C51" t="s">
        <v>78</v>
      </c>
      <c r="D51" t="s">
        <v>8</v>
      </c>
      <c r="E51" t="s">
        <v>793</v>
      </c>
      <c r="G51" t="s">
        <v>794</v>
      </c>
      <c r="H51" t="s">
        <v>795</v>
      </c>
      <c r="I51" t="s">
        <v>796</v>
      </c>
      <c r="K51">
        <v>39322270984.220001</v>
      </c>
      <c r="L51" t="s">
        <v>1360</v>
      </c>
      <c r="M51" t="s">
        <v>1342</v>
      </c>
      <c r="N51" t="s">
        <v>1360</v>
      </c>
      <c r="O51">
        <v>39322270984.220001</v>
      </c>
      <c r="Z51"/>
      <c r="AA51"/>
    </row>
    <row r="52" spans="1:27" x14ac:dyDescent="0.3">
      <c r="A52">
        <v>1</v>
      </c>
      <c r="B52" t="s">
        <v>1361</v>
      </c>
      <c r="C52" t="s">
        <v>79</v>
      </c>
      <c r="D52" t="s">
        <v>8</v>
      </c>
      <c r="E52" t="s">
        <v>797</v>
      </c>
      <c r="G52" t="s">
        <v>798</v>
      </c>
      <c r="H52" t="s">
        <v>799</v>
      </c>
      <c r="I52" t="s">
        <v>800</v>
      </c>
      <c r="K52">
        <v>225873024935.10999</v>
      </c>
      <c r="L52" t="s">
        <v>1361</v>
      </c>
      <c r="M52" t="s">
        <v>1342</v>
      </c>
      <c r="N52" t="s">
        <v>1361</v>
      </c>
      <c r="O52">
        <v>225873024935.10999</v>
      </c>
      <c r="Z52"/>
      <c r="AA52"/>
    </row>
    <row r="53" spans="1:27" x14ac:dyDescent="0.3">
      <c r="A53">
        <v>1</v>
      </c>
      <c r="B53" t="s">
        <v>1350</v>
      </c>
      <c r="C53" t="s">
        <v>80</v>
      </c>
      <c r="D53" t="s">
        <v>8</v>
      </c>
      <c r="E53" t="s">
        <v>801</v>
      </c>
      <c r="G53" t="s">
        <v>802</v>
      </c>
      <c r="H53" t="s">
        <v>803</v>
      </c>
      <c r="I53" t="s">
        <v>804</v>
      </c>
      <c r="K53" s="3">
        <v>2856835614177.48</v>
      </c>
      <c r="L53" t="s">
        <v>1350</v>
      </c>
      <c r="M53" t="s">
        <v>1342</v>
      </c>
      <c r="Z53"/>
      <c r="AA53"/>
    </row>
    <row r="54" spans="1:27" x14ac:dyDescent="0.3">
      <c r="A54">
        <v>2</v>
      </c>
      <c r="B54" t="s">
        <v>81</v>
      </c>
      <c r="C54" t="s">
        <v>82</v>
      </c>
      <c r="D54" t="s">
        <v>8</v>
      </c>
      <c r="E54" t="s">
        <v>805</v>
      </c>
      <c r="G54" t="s">
        <v>806</v>
      </c>
      <c r="H54" t="s">
        <v>807</v>
      </c>
      <c r="I54" t="s">
        <v>808</v>
      </c>
      <c r="K54">
        <v>1065585557733.12</v>
      </c>
      <c r="L54" t="s">
        <v>1350</v>
      </c>
      <c r="M54" t="s">
        <v>1342</v>
      </c>
      <c r="N54" t="s">
        <v>81</v>
      </c>
      <c r="O54">
        <v>1065585557733.12</v>
      </c>
      <c r="Z54"/>
      <c r="AA54"/>
    </row>
    <row r="55" spans="1:27" x14ac:dyDescent="0.3">
      <c r="A55">
        <v>2</v>
      </c>
      <c r="B55" t="s">
        <v>83</v>
      </c>
      <c r="C55" t="s">
        <v>84</v>
      </c>
      <c r="D55" t="s">
        <v>8</v>
      </c>
      <c r="E55" t="s">
        <v>809</v>
      </c>
      <c r="G55" t="s">
        <v>810</v>
      </c>
      <c r="H55" t="s">
        <v>811</v>
      </c>
      <c r="I55" t="s">
        <v>812</v>
      </c>
      <c r="K55">
        <v>1573013139446.3</v>
      </c>
      <c r="L55" t="s">
        <v>1350</v>
      </c>
      <c r="M55" t="s">
        <v>1342</v>
      </c>
      <c r="N55" t="s">
        <v>83</v>
      </c>
      <c r="O55">
        <v>1573013139446.3</v>
      </c>
      <c r="Z55"/>
      <c r="AA55"/>
    </row>
    <row r="56" spans="1:27" x14ac:dyDescent="0.3">
      <c r="A56">
        <v>2</v>
      </c>
      <c r="B56" t="s">
        <v>85</v>
      </c>
      <c r="C56" t="s">
        <v>86</v>
      </c>
      <c r="D56" t="s">
        <v>8</v>
      </c>
      <c r="E56" t="s">
        <v>813</v>
      </c>
      <c r="G56" t="s">
        <v>814</v>
      </c>
      <c r="H56" t="s">
        <v>815</v>
      </c>
      <c r="I56" t="s">
        <v>816</v>
      </c>
      <c r="K56" s="3">
        <v>64363271379.690002</v>
      </c>
      <c r="L56" t="s">
        <v>1350</v>
      </c>
      <c r="M56" t="s">
        <v>1342</v>
      </c>
      <c r="N56" t="s">
        <v>85</v>
      </c>
      <c r="O56">
        <v>64363271379.690002</v>
      </c>
      <c r="Z56"/>
      <c r="AA56"/>
    </row>
    <row r="57" spans="1:27" x14ac:dyDescent="0.3">
      <c r="A57">
        <v>2</v>
      </c>
      <c r="B57" t="s">
        <v>87</v>
      </c>
      <c r="C57" t="s">
        <v>88</v>
      </c>
      <c r="D57" t="s">
        <v>8</v>
      </c>
      <c r="G57" t="s">
        <v>817</v>
      </c>
      <c r="I57" t="s">
        <v>817</v>
      </c>
      <c r="K57" s="3">
        <v>11683059993.08</v>
      </c>
      <c r="L57" t="s">
        <v>1350</v>
      </c>
      <c r="M57" t="s">
        <v>1342</v>
      </c>
      <c r="N57" t="s">
        <v>87</v>
      </c>
      <c r="O57">
        <v>11683059993.08</v>
      </c>
      <c r="Z57"/>
      <c r="AA57"/>
    </row>
    <row r="58" spans="1:27" x14ac:dyDescent="0.3">
      <c r="A58">
        <v>2</v>
      </c>
      <c r="B58" t="s">
        <v>89</v>
      </c>
      <c r="C58" t="s">
        <v>90</v>
      </c>
      <c r="D58" t="s">
        <v>8</v>
      </c>
      <c r="E58" t="s">
        <v>818</v>
      </c>
      <c r="G58" t="s">
        <v>819</v>
      </c>
      <c r="H58" t="s">
        <v>820</v>
      </c>
      <c r="I58" t="s">
        <v>821</v>
      </c>
      <c r="K58" s="3">
        <v>142190585625.29001</v>
      </c>
      <c r="L58" t="s">
        <v>1350</v>
      </c>
      <c r="M58" t="s">
        <v>1342</v>
      </c>
      <c r="N58" t="s">
        <v>89</v>
      </c>
      <c r="O58">
        <v>142190585625.29001</v>
      </c>
      <c r="Z58"/>
      <c r="AA58"/>
    </row>
    <row r="59" spans="1:27" x14ac:dyDescent="0.3">
      <c r="A59">
        <v>1</v>
      </c>
      <c r="B59" t="s">
        <v>1351</v>
      </c>
      <c r="C59" t="s">
        <v>91</v>
      </c>
      <c r="D59" t="s">
        <v>8</v>
      </c>
      <c r="E59" t="s">
        <v>822</v>
      </c>
      <c r="G59" t="s">
        <v>823</v>
      </c>
      <c r="H59" t="s">
        <v>824</v>
      </c>
      <c r="I59" t="s">
        <v>825</v>
      </c>
      <c r="K59">
        <v>101251948739.19</v>
      </c>
      <c r="L59" t="s">
        <v>1351</v>
      </c>
      <c r="M59" t="s">
        <v>1342</v>
      </c>
      <c r="Z59"/>
      <c r="AA59"/>
    </row>
    <row r="60" spans="1:27" x14ac:dyDescent="0.3">
      <c r="A60">
        <v>2</v>
      </c>
      <c r="B60" t="s">
        <v>92</v>
      </c>
      <c r="C60" t="s">
        <v>93</v>
      </c>
      <c r="D60" t="s">
        <v>8</v>
      </c>
      <c r="E60" t="s">
        <v>822</v>
      </c>
      <c r="G60" t="s">
        <v>823</v>
      </c>
      <c r="H60" t="s">
        <v>824</v>
      </c>
      <c r="I60" t="s">
        <v>825</v>
      </c>
      <c r="K60">
        <v>101251948739.19</v>
      </c>
      <c r="L60" t="s">
        <v>1351</v>
      </c>
      <c r="M60" t="s">
        <v>1342</v>
      </c>
      <c r="N60" t="s">
        <v>92</v>
      </c>
      <c r="O60">
        <v>101251948739.19</v>
      </c>
      <c r="Z60"/>
      <c r="AA60"/>
    </row>
    <row r="61" spans="1:27" x14ac:dyDescent="0.3">
      <c r="A61">
        <v>1</v>
      </c>
      <c r="B61" t="s">
        <v>1345</v>
      </c>
      <c r="C61" t="s">
        <v>94</v>
      </c>
      <c r="D61" t="s">
        <v>8</v>
      </c>
      <c r="G61" t="s">
        <v>661</v>
      </c>
      <c r="H61" t="s">
        <v>661</v>
      </c>
      <c r="K61" s="3"/>
      <c r="L61" t="s">
        <v>1345</v>
      </c>
      <c r="M61" t="s">
        <v>1342</v>
      </c>
      <c r="N61" t="s">
        <v>1345</v>
      </c>
      <c r="Z61"/>
      <c r="AA61"/>
    </row>
    <row r="62" spans="1:27" x14ac:dyDescent="0.3">
      <c r="A62">
        <v>1</v>
      </c>
      <c r="B62" t="s">
        <v>1362</v>
      </c>
      <c r="C62" t="s">
        <v>95</v>
      </c>
      <c r="D62" t="s">
        <v>8</v>
      </c>
      <c r="G62" t="s">
        <v>826</v>
      </c>
      <c r="I62" t="s">
        <v>826</v>
      </c>
      <c r="K62" s="3">
        <v>34400000</v>
      </c>
      <c r="L62" t="s">
        <v>1362</v>
      </c>
      <c r="M62" t="s">
        <v>1342</v>
      </c>
      <c r="N62" t="s">
        <v>1362</v>
      </c>
      <c r="O62">
        <v>34400000</v>
      </c>
      <c r="Z62"/>
      <c r="AA62"/>
    </row>
    <row r="63" spans="1:27" x14ac:dyDescent="0.3">
      <c r="A63">
        <v>1</v>
      </c>
      <c r="B63" t="s">
        <v>530</v>
      </c>
      <c r="C63" t="s">
        <v>96</v>
      </c>
      <c r="D63" t="s">
        <v>8</v>
      </c>
      <c r="E63" t="s">
        <v>827</v>
      </c>
      <c r="G63" t="s">
        <v>828</v>
      </c>
      <c r="H63" t="s">
        <v>829</v>
      </c>
      <c r="I63" t="s">
        <v>830</v>
      </c>
      <c r="K63">
        <v>3667747580.6900001</v>
      </c>
      <c r="L63" t="s">
        <v>530</v>
      </c>
      <c r="M63" t="s">
        <v>1342</v>
      </c>
      <c r="Z63"/>
      <c r="AA63"/>
    </row>
    <row r="64" spans="1:27" x14ac:dyDescent="0.3">
      <c r="A64">
        <v>2</v>
      </c>
      <c r="B64" t="s">
        <v>530</v>
      </c>
      <c r="C64" t="s">
        <v>96</v>
      </c>
      <c r="D64" t="s">
        <v>8</v>
      </c>
      <c r="E64" t="s">
        <v>831</v>
      </c>
      <c r="I64" t="s">
        <v>831</v>
      </c>
      <c r="K64" s="3">
        <v>913043.48</v>
      </c>
      <c r="L64" t="s">
        <v>530</v>
      </c>
      <c r="M64" t="s">
        <v>1342</v>
      </c>
      <c r="N64" t="s">
        <v>530</v>
      </c>
      <c r="O64">
        <v>913043.48</v>
      </c>
      <c r="Z64"/>
      <c r="AA64"/>
    </row>
    <row r="65" spans="1:27" x14ac:dyDescent="0.3">
      <c r="A65">
        <v>2</v>
      </c>
      <c r="B65" t="s">
        <v>99</v>
      </c>
      <c r="C65" t="s">
        <v>96</v>
      </c>
      <c r="D65" t="s">
        <v>8</v>
      </c>
      <c r="E65" t="s">
        <v>836</v>
      </c>
      <c r="G65" t="s">
        <v>837</v>
      </c>
      <c r="H65" t="s">
        <v>838</v>
      </c>
      <c r="I65" t="s">
        <v>839</v>
      </c>
      <c r="K65">
        <v>1340444630.23</v>
      </c>
      <c r="L65" t="s">
        <v>530</v>
      </c>
      <c r="M65" t="s">
        <v>1342</v>
      </c>
      <c r="N65" t="s">
        <v>99</v>
      </c>
      <c r="O65">
        <v>1340444630.23</v>
      </c>
      <c r="Z65"/>
      <c r="AA65"/>
    </row>
    <row r="66" spans="1:27" x14ac:dyDescent="0.3">
      <c r="A66">
        <v>2</v>
      </c>
      <c r="B66" t="s">
        <v>97</v>
      </c>
      <c r="C66" t="s">
        <v>98</v>
      </c>
      <c r="D66" t="s">
        <v>8</v>
      </c>
      <c r="E66" t="s">
        <v>832</v>
      </c>
      <c r="G66" t="s">
        <v>833</v>
      </c>
      <c r="H66" t="s">
        <v>834</v>
      </c>
      <c r="I66" t="s">
        <v>835</v>
      </c>
      <c r="K66">
        <v>2326389906.98</v>
      </c>
      <c r="L66" t="s">
        <v>530</v>
      </c>
      <c r="M66" t="s">
        <v>1342</v>
      </c>
      <c r="N66" t="s">
        <v>97</v>
      </c>
      <c r="O66">
        <v>2326389906.98</v>
      </c>
      <c r="Z66"/>
      <c r="AA66"/>
    </row>
    <row r="67" spans="1:27" x14ac:dyDescent="0.3">
      <c r="A67">
        <v>1</v>
      </c>
      <c r="B67" t="s">
        <v>531</v>
      </c>
      <c r="C67" t="s">
        <v>100</v>
      </c>
      <c r="D67" t="s">
        <v>8</v>
      </c>
      <c r="E67" t="s">
        <v>840</v>
      </c>
      <c r="G67" t="s">
        <v>841</v>
      </c>
      <c r="H67" t="s">
        <v>842</v>
      </c>
      <c r="I67" t="s">
        <v>843</v>
      </c>
      <c r="K67">
        <v>78464430677.339996</v>
      </c>
      <c r="L67" t="s">
        <v>531</v>
      </c>
      <c r="M67" t="s">
        <v>1342</v>
      </c>
      <c r="N67" t="s">
        <v>531</v>
      </c>
      <c r="O67">
        <v>78464430677.339996</v>
      </c>
      <c r="Z67"/>
      <c r="AA67"/>
    </row>
    <row r="68" spans="1:27" x14ac:dyDescent="0.3">
      <c r="A68">
        <v>1</v>
      </c>
      <c r="B68" t="s">
        <v>532</v>
      </c>
      <c r="C68" t="s">
        <v>101</v>
      </c>
      <c r="D68" t="s">
        <v>8</v>
      </c>
      <c r="E68" t="s">
        <v>844</v>
      </c>
      <c r="G68" t="s">
        <v>845</v>
      </c>
      <c r="H68" t="s">
        <v>846</v>
      </c>
      <c r="I68" t="s">
        <v>847</v>
      </c>
      <c r="K68">
        <v>28185434772.66</v>
      </c>
      <c r="L68" t="s">
        <v>532</v>
      </c>
      <c r="M68" t="s">
        <v>1342</v>
      </c>
      <c r="N68" t="s">
        <v>532</v>
      </c>
      <c r="O68">
        <v>28185434772.66</v>
      </c>
      <c r="Z68"/>
      <c r="AA68"/>
    </row>
    <row r="69" spans="1:27" x14ac:dyDescent="0.3">
      <c r="A69">
        <v>1</v>
      </c>
      <c r="B69" t="s">
        <v>533</v>
      </c>
      <c r="C69" t="s">
        <v>102</v>
      </c>
      <c r="D69" t="s">
        <v>8</v>
      </c>
      <c r="E69" t="s">
        <v>848</v>
      </c>
      <c r="G69" t="s">
        <v>849</v>
      </c>
      <c r="H69" t="s">
        <v>850</v>
      </c>
      <c r="I69" t="s">
        <v>851</v>
      </c>
      <c r="K69">
        <v>3549852245.6199999</v>
      </c>
      <c r="L69" t="s">
        <v>533</v>
      </c>
      <c r="M69" t="s">
        <v>1342</v>
      </c>
      <c r="N69" t="s">
        <v>533</v>
      </c>
      <c r="O69">
        <v>3549852245.6199999</v>
      </c>
      <c r="Z69"/>
      <c r="AA69"/>
    </row>
    <row r="70" spans="1:27" x14ac:dyDescent="0.3">
      <c r="A70">
        <v>1</v>
      </c>
      <c r="B70" t="s">
        <v>534</v>
      </c>
      <c r="C70" t="s">
        <v>103</v>
      </c>
      <c r="D70" t="s">
        <v>8</v>
      </c>
      <c r="E70" t="s">
        <v>852</v>
      </c>
      <c r="G70" t="s">
        <v>853</v>
      </c>
      <c r="H70" t="s">
        <v>854</v>
      </c>
      <c r="I70" t="s">
        <v>855</v>
      </c>
      <c r="K70">
        <v>3412610750.7800002</v>
      </c>
      <c r="L70" t="s">
        <v>534</v>
      </c>
      <c r="M70" t="s">
        <v>1342</v>
      </c>
      <c r="N70" t="s">
        <v>534</v>
      </c>
      <c r="O70">
        <v>3412610750.7800002</v>
      </c>
      <c r="Z70"/>
      <c r="AA70"/>
    </row>
    <row r="71" spans="1:27" x14ac:dyDescent="0.3">
      <c r="A71">
        <v>1</v>
      </c>
      <c r="B71" t="s">
        <v>535</v>
      </c>
      <c r="C71" t="s">
        <v>104</v>
      </c>
      <c r="D71" t="s">
        <v>8</v>
      </c>
      <c r="E71" t="s">
        <v>856</v>
      </c>
      <c r="G71" t="s">
        <v>857</v>
      </c>
      <c r="H71" t="s">
        <v>858</v>
      </c>
      <c r="I71" t="s">
        <v>859</v>
      </c>
      <c r="K71">
        <v>288199541901.21997</v>
      </c>
      <c r="L71" t="s">
        <v>535</v>
      </c>
      <c r="M71" t="s">
        <v>1342</v>
      </c>
      <c r="Z71"/>
      <c r="AA71"/>
    </row>
    <row r="72" spans="1:27" x14ac:dyDescent="0.3">
      <c r="A72">
        <v>2</v>
      </c>
      <c r="B72" t="s">
        <v>535</v>
      </c>
      <c r="C72" t="s">
        <v>104</v>
      </c>
      <c r="D72" t="s">
        <v>8</v>
      </c>
      <c r="E72" t="s">
        <v>856</v>
      </c>
      <c r="G72" t="s">
        <v>860</v>
      </c>
      <c r="H72" t="s">
        <v>861</v>
      </c>
      <c r="I72" t="s">
        <v>862</v>
      </c>
      <c r="K72">
        <v>13108803921.940001</v>
      </c>
      <c r="L72" t="s">
        <v>535</v>
      </c>
      <c r="M72" t="s">
        <v>1342</v>
      </c>
      <c r="N72" t="s">
        <v>535</v>
      </c>
      <c r="O72">
        <v>13108803921.940001</v>
      </c>
      <c r="Z72"/>
      <c r="AA72"/>
    </row>
    <row r="73" spans="1:27" x14ac:dyDescent="0.3">
      <c r="A73">
        <v>2</v>
      </c>
      <c r="B73" t="s">
        <v>105</v>
      </c>
      <c r="C73" t="s">
        <v>104</v>
      </c>
      <c r="D73" t="s">
        <v>8</v>
      </c>
      <c r="G73" t="s">
        <v>863</v>
      </c>
      <c r="H73" t="s">
        <v>864</v>
      </c>
      <c r="I73" t="s">
        <v>865</v>
      </c>
      <c r="K73">
        <v>12173973999.84</v>
      </c>
      <c r="L73" t="s">
        <v>535</v>
      </c>
      <c r="M73" t="s">
        <v>1342</v>
      </c>
      <c r="N73" t="s">
        <v>105</v>
      </c>
      <c r="O73">
        <v>12173973999.84</v>
      </c>
      <c r="Z73"/>
      <c r="AA73"/>
    </row>
    <row r="74" spans="1:27" x14ac:dyDescent="0.3">
      <c r="A74">
        <v>2</v>
      </c>
      <c r="B74" t="s">
        <v>106</v>
      </c>
      <c r="C74" t="s">
        <v>107</v>
      </c>
      <c r="D74" t="s">
        <v>8</v>
      </c>
      <c r="G74" t="s">
        <v>866</v>
      </c>
      <c r="H74" t="s">
        <v>867</v>
      </c>
      <c r="I74" t="s">
        <v>868</v>
      </c>
      <c r="K74" s="3">
        <v>262916763979.44</v>
      </c>
      <c r="L74" t="s">
        <v>535</v>
      </c>
      <c r="M74" t="s">
        <v>1342</v>
      </c>
      <c r="N74" t="s">
        <v>106</v>
      </c>
      <c r="O74">
        <v>262916763979.44</v>
      </c>
      <c r="Z74"/>
      <c r="AA74"/>
    </row>
    <row r="75" spans="1:27" x14ac:dyDescent="0.3">
      <c r="A75">
        <v>1</v>
      </c>
      <c r="B75" t="s">
        <v>536</v>
      </c>
      <c r="C75" t="s">
        <v>108</v>
      </c>
      <c r="D75" t="s">
        <v>8</v>
      </c>
      <c r="E75" t="s">
        <v>869</v>
      </c>
      <c r="G75" t="s">
        <v>870</v>
      </c>
      <c r="H75" t="s">
        <v>871</v>
      </c>
      <c r="I75" t="s">
        <v>872</v>
      </c>
      <c r="K75">
        <v>37830045.310000002</v>
      </c>
      <c r="L75" t="s">
        <v>536</v>
      </c>
      <c r="M75" t="s">
        <v>1342</v>
      </c>
      <c r="N75" t="s">
        <v>536</v>
      </c>
      <c r="O75">
        <v>37830045.310000002</v>
      </c>
      <c r="Z75"/>
      <c r="AA75"/>
    </row>
    <row r="76" spans="1:27" x14ac:dyDescent="0.3">
      <c r="A76">
        <v>1</v>
      </c>
      <c r="B76" t="s">
        <v>537</v>
      </c>
      <c r="C76" t="s">
        <v>109</v>
      </c>
      <c r="D76" t="s">
        <v>8</v>
      </c>
      <c r="E76" t="s">
        <v>873</v>
      </c>
      <c r="G76" t="s">
        <v>874</v>
      </c>
      <c r="H76" t="s">
        <v>875</v>
      </c>
      <c r="I76" t="s">
        <v>876</v>
      </c>
      <c r="K76">
        <v>51465955115.129997</v>
      </c>
      <c r="L76" t="s">
        <v>537</v>
      </c>
      <c r="M76" t="s">
        <v>1342</v>
      </c>
      <c r="N76" t="s">
        <v>537</v>
      </c>
      <c r="O76">
        <v>51465955115.129997</v>
      </c>
      <c r="Z76"/>
      <c r="AA76"/>
    </row>
    <row r="77" spans="1:27" x14ac:dyDescent="0.3">
      <c r="A77">
        <v>1</v>
      </c>
      <c r="B77" t="s">
        <v>538</v>
      </c>
      <c r="C77" t="s">
        <v>110</v>
      </c>
      <c r="D77" t="s">
        <v>8</v>
      </c>
      <c r="E77" t="s">
        <v>877</v>
      </c>
      <c r="G77" t="s">
        <v>878</v>
      </c>
      <c r="H77" t="s">
        <v>879</v>
      </c>
      <c r="I77" t="s">
        <v>880</v>
      </c>
      <c r="K77" s="3">
        <v>26249830843.389999</v>
      </c>
      <c r="L77" t="s">
        <v>538</v>
      </c>
      <c r="M77" t="s">
        <v>1342</v>
      </c>
      <c r="N77" t="s">
        <v>538</v>
      </c>
      <c r="O77">
        <v>26249830843.389999</v>
      </c>
      <c r="Z77"/>
      <c r="AA77"/>
    </row>
    <row r="78" spans="1:27" x14ac:dyDescent="0.3">
      <c r="A78">
        <v>1</v>
      </c>
      <c r="B78" t="s">
        <v>520</v>
      </c>
      <c r="C78" t="s">
        <v>111</v>
      </c>
      <c r="D78" t="s">
        <v>8</v>
      </c>
      <c r="E78" t="s">
        <v>881</v>
      </c>
      <c r="G78" t="s">
        <v>882</v>
      </c>
      <c r="H78" t="s">
        <v>883</v>
      </c>
      <c r="I78" t="s">
        <v>884</v>
      </c>
      <c r="K78">
        <v>28550381637.27</v>
      </c>
      <c r="L78" t="s">
        <v>520</v>
      </c>
      <c r="M78" t="s">
        <v>1342</v>
      </c>
      <c r="Z78"/>
      <c r="AA78"/>
    </row>
    <row r="79" spans="1:27" x14ac:dyDescent="0.3">
      <c r="A79">
        <v>2</v>
      </c>
      <c r="B79" t="s">
        <v>520</v>
      </c>
      <c r="C79" t="s">
        <v>111</v>
      </c>
      <c r="D79" t="s">
        <v>8</v>
      </c>
      <c r="E79" t="s">
        <v>885</v>
      </c>
      <c r="G79" t="s">
        <v>886</v>
      </c>
      <c r="H79" t="s">
        <v>887</v>
      </c>
      <c r="I79" t="s">
        <v>888</v>
      </c>
      <c r="K79">
        <v>27648600</v>
      </c>
      <c r="L79" t="s">
        <v>520</v>
      </c>
      <c r="M79" t="s">
        <v>1342</v>
      </c>
      <c r="N79" t="s">
        <v>520</v>
      </c>
      <c r="O79">
        <v>27648600</v>
      </c>
      <c r="Z79"/>
      <c r="AA79"/>
    </row>
    <row r="80" spans="1:27" x14ac:dyDescent="0.3">
      <c r="A80">
        <v>2</v>
      </c>
      <c r="B80" t="s">
        <v>116</v>
      </c>
      <c r="C80" t="s">
        <v>111</v>
      </c>
      <c r="D80" t="s">
        <v>8</v>
      </c>
      <c r="E80" t="s">
        <v>897</v>
      </c>
      <c r="G80" t="s">
        <v>898</v>
      </c>
      <c r="H80" t="s">
        <v>899</v>
      </c>
      <c r="I80" t="s">
        <v>900</v>
      </c>
      <c r="K80" s="3">
        <v>24030799795</v>
      </c>
      <c r="L80" t="s">
        <v>520</v>
      </c>
      <c r="M80" t="s">
        <v>1342</v>
      </c>
      <c r="N80" t="s">
        <v>116</v>
      </c>
      <c r="O80">
        <v>24030799795</v>
      </c>
      <c r="Z80"/>
      <c r="AA80"/>
    </row>
    <row r="81" spans="1:27" x14ac:dyDescent="0.3">
      <c r="A81">
        <v>2</v>
      </c>
      <c r="B81" t="s">
        <v>117</v>
      </c>
      <c r="C81" t="s">
        <v>118</v>
      </c>
      <c r="D81" t="s">
        <v>8</v>
      </c>
      <c r="E81" t="s">
        <v>696</v>
      </c>
      <c r="G81" t="s">
        <v>697</v>
      </c>
      <c r="H81" t="s">
        <v>698</v>
      </c>
      <c r="L81" t="s">
        <v>520</v>
      </c>
      <c r="M81" t="s">
        <v>1342</v>
      </c>
      <c r="N81" t="s">
        <v>117</v>
      </c>
      <c r="Z81"/>
      <c r="AA81"/>
    </row>
    <row r="82" spans="1:27" x14ac:dyDescent="0.3">
      <c r="A82">
        <v>2</v>
      </c>
      <c r="B82" t="s">
        <v>112</v>
      </c>
      <c r="C82" t="s">
        <v>113</v>
      </c>
      <c r="D82" t="s">
        <v>8</v>
      </c>
      <c r="E82" t="s">
        <v>889</v>
      </c>
      <c r="G82" t="s">
        <v>890</v>
      </c>
      <c r="H82" t="s">
        <v>891</v>
      </c>
      <c r="I82" t="s">
        <v>892</v>
      </c>
      <c r="K82">
        <v>4521739.13</v>
      </c>
      <c r="L82" t="s">
        <v>520</v>
      </c>
      <c r="M82" t="s">
        <v>1342</v>
      </c>
      <c r="N82" t="s">
        <v>112</v>
      </c>
      <c r="O82">
        <v>4521739.13</v>
      </c>
      <c r="Z82"/>
      <c r="AA82"/>
    </row>
    <row r="83" spans="1:27" x14ac:dyDescent="0.3">
      <c r="A83">
        <v>2</v>
      </c>
      <c r="B83" t="s">
        <v>114</v>
      </c>
      <c r="C83" t="s">
        <v>115</v>
      </c>
      <c r="D83" t="s">
        <v>8</v>
      </c>
      <c r="E83" t="s">
        <v>893</v>
      </c>
      <c r="G83" t="s">
        <v>894</v>
      </c>
      <c r="H83" t="s">
        <v>895</v>
      </c>
      <c r="I83" t="s">
        <v>896</v>
      </c>
      <c r="K83">
        <v>4487411503.1400003</v>
      </c>
      <c r="L83" t="s">
        <v>520</v>
      </c>
      <c r="M83" t="s">
        <v>1342</v>
      </c>
      <c r="N83" t="s">
        <v>114</v>
      </c>
      <c r="O83">
        <v>4487411503.1400003</v>
      </c>
      <c r="Z83"/>
      <c r="AA83"/>
    </row>
    <row r="84" spans="1:27" x14ac:dyDescent="0.3">
      <c r="A84">
        <v>1</v>
      </c>
      <c r="B84" t="s">
        <v>539</v>
      </c>
      <c r="C84" t="s">
        <v>119</v>
      </c>
      <c r="D84" t="s">
        <v>8</v>
      </c>
      <c r="E84" t="s">
        <v>901</v>
      </c>
      <c r="G84" t="s">
        <v>902</v>
      </c>
      <c r="H84" t="s">
        <v>903</v>
      </c>
      <c r="I84" t="s">
        <v>904</v>
      </c>
      <c r="K84" s="3">
        <v>3967288169.77</v>
      </c>
      <c r="L84" t="s">
        <v>539</v>
      </c>
      <c r="M84" t="s">
        <v>1342</v>
      </c>
      <c r="N84" t="s">
        <v>539</v>
      </c>
      <c r="O84">
        <v>3967288169.77</v>
      </c>
      <c r="Z84"/>
      <c r="AA84"/>
    </row>
    <row r="85" spans="1:27" x14ac:dyDescent="0.3">
      <c r="A85">
        <v>1</v>
      </c>
      <c r="B85" t="s">
        <v>540</v>
      </c>
      <c r="C85" t="s">
        <v>120</v>
      </c>
      <c r="D85" t="s">
        <v>8</v>
      </c>
      <c r="E85" t="s">
        <v>905</v>
      </c>
      <c r="G85" t="s">
        <v>906</v>
      </c>
      <c r="H85" t="s">
        <v>907</v>
      </c>
      <c r="I85" t="s">
        <v>908</v>
      </c>
      <c r="K85" s="3">
        <v>21684587526.169998</v>
      </c>
      <c r="L85" t="s">
        <v>540</v>
      </c>
      <c r="M85" t="s">
        <v>1342</v>
      </c>
      <c r="N85" t="s">
        <v>540</v>
      </c>
      <c r="O85">
        <v>21684587526.169998</v>
      </c>
      <c r="Z85"/>
      <c r="AA85"/>
    </row>
    <row r="86" spans="1:27" x14ac:dyDescent="0.3">
      <c r="A86">
        <v>1</v>
      </c>
      <c r="B86" t="s">
        <v>541</v>
      </c>
      <c r="C86" t="s">
        <v>121</v>
      </c>
      <c r="D86" t="s">
        <v>8</v>
      </c>
      <c r="G86" t="s">
        <v>909</v>
      </c>
      <c r="H86" t="s">
        <v>910</v>
      </c>
      <c r="I86" t="s">
        <v>911</v>
      </c>
      <c r="K86" s="3">
        <v>7240290.21</v>
      </c>
      <c r="L86" t="s">
        <v>541</v>
      </c>
      <c r="M86" t="s">
        <v>1342</v>
      </c>
      <c r="N86" t="s">
        <v>541</v>
      </c>
      <c r="O86">
        <v>7240290.21</v>
      </c>
      <c r="Z86"/>
      <c r="AA86"/>
    </row>
    <row r="87" spans="1:27" x14ac:dyDescent="0.3">
      <c r="A87">
        <v>1</v>
      </c>
      <c r="B87" t="s">
        <v>472</v>
      </c>
      <c r="C87" t="s">
        <v>122</v>
      </c>
      <c r="D87" t="s">
        <v>8</v>
      </c>
      <c r="G87" t="s">
        <v>662</v>
      </c>
      <c r="H87" t="s">
        <v>662</v>
      </c>
      <c r="L87" t="s">
        <v>472</v>
      </c>
      <c r="M87" t="s">
        <v>1342</v>
      </c>
      <c r="Z87"/>
      <c r="AA87"/>
    </row>
    <row r="88" spans="1:27" x14ac:dyDescent="0.3">
      <c r="A88">
        <v>2</v>
      </c>
      <c r="B88" t="s">
        <v>123</v>
      </c>
      <c r="C88" t="s">
        <v>124</v>
      </c>
      <c r="D88" t="s">
        <v>8</v>
      </c>
      <c r="G88" t="s">
        <v>595</v>
      </c>
      <c r="H88" t="s">
        <v>595</v>
      </c>
      <c r="L88" t="s">
        <v>472</v>
      </c>
      <c r="M88" t="s">
        <v>1342</v>
      </c>
      <c r="N88" t="s">
        <v>123</v>
      </c>
      <c r="Z88"/>
      <c r="AA88"/>
    </row>
    <row r="89" spans="1:27" x14ac:dyDescent="0.3">
      <c r="A89">
        <v>2</v>
      </c>
      <c r="B89" t="s">
        <v>125</v>
      </c>
      <c r="C89" t="s">
        <v>126</v>
      </c>
      <c r="D89" t="s">
        <v>8</v>
      </c>
      <c r="G89" t="s">
        <v>596</v>
      </c>
      <c r="H89" t="s">
        <v>596</v>
      </c>
      <c r="L89" t="s">
        <v>472</v>
      </c>
      <c r="M89" t="s">
        <v>1342</v>
      </c>
      <c r="N89" t="s">
        <v>125</v>
      </c>
      <c r="Z89"/>
      <c r="AA89"/>
    </row>
    <row r="90" spans="1:27" x14ac:dyDescent="0.3">
      <c r="A90">
        <v>2</v>
      </c>
      <c r="B90" t="s">
        <v>127</v>
      </c>
      <c r="C90" t="s">
        <v>128</v>
      </c>
      <c r="D90" t="s">
        <v>8</v>
      </c>
      <c r="G90" t="s">
        <v>597</v>
      </c>
      <c r="H90" t="s">
        <v>597</v>
      </c>
      <c r="L90" t="s">
        <v>472</v>
      </c>
      <c r="M90" t="s">
        <v>1342</v>
      </c>
      <c r="N90" t="s">
        <v>127</v>
      </c>
      <c r="Z90"/>
      <c r="AA90"/>
    </row>
    <row r="91" spans="1:27" x14ac:dyDescent="0.3">
      <c r="A91">
        <v>2</v>
      </c>
      <c r="B91" t="s">
        <v>129</v>
      </c>
      <c r="C91" t="s">
        <v>130</v>
      </c>
      <c r="D91" t="s">
        <v>8</v>
      </c>
      <c r="G91" t="s">
        <v>598</v>
      </c>
      <c r="H91" t="s">
        <v>598</v>
      </c>
      <c r="K91" s="3"/>
      <c r="L91" t="s">
        <v>472</v>
      </c>
      <c r="M91" t="s">
        <v>1342</v>
      </c>
      <c r="N91" t="s">
        <v>129</v>
      </c>
      <c r="Z91"/>
      <c r="AA91"/>
    </row>
    <row r="92" spans="1:27" x14ac:dyDescent="0.3">
      <c r="A92">
        <v>2</v>
      </c>
      <c r="B92" t="s">
        <v>131</v>
      </c>
      <c r="C92" t="s">
        <v>132</v>
      </c>
      <c r="D92" t="s">
        <v>8</v>
      </c>
      <c r="G92" t="s">
        <v>599</v>
      </c>
      <c r="H92" t="s">
        <v>599</v>
      </c>
      <c r="L92" t="s">
        <v>472</v>
      </c>
      <c r="M92" t="s">
        <v>1342</v>
      </c>
      <c r="N92" t="s">
        <v>131</v>
      </c>
      <c r="Z92"/>
      <c r="AA92"/>
    </row>
    <row r="93" spans="1:27" x14ac:dyDescent="0.3">
      <c r="A93">
        <v>2</v>
      </c>
      <c r="B93" t="s">
        <v>133</v>
      </c>
      <c r="C93" t="s">
        <v>134</v>
      </c>
      <c r="D93" t="s">
        <v>8</v>
      </c>
      <c r="G93" t="s">
        <v>600</v>
      </c>
      <c r="H93" t="s">
        <v>600</v>
      </c>
      <c r="K93" s="3"/>
      <c r="L93" t="s">
        <v>472</v>
      </c>
      <c r="M93" t="s">
        <v>1342</v>
      </c>
      <c r="N93" t="s">
        <v>133</v>
      </c>
      <c r="Z93"/>
      <c r="AA93"/>
    </row>
    <row r="94" spans="1:27" x14ac:dyDescent="0.3">
      <c r="A94">
        <v>1</v>
      </c>
      <c r="B94" t="s">
        <v>496</v>
      </c>
      <c r="C94" t="s">
        <v>135</v>
      </c>
      <c r="D94" t="s">
        <v>8</v>
      </c>
      <c r="G94" t="s">
        <v>663</v>
      </c>
      <c r="H94" t="s">
        <v>663</v>
      </c>
      <c r="K94" s="3"/>
      <c r="L94" t="s">
        <v>496</v>
      </c>
      <c r="M94" t="s">
        <v>1342</v>
      </c>
      <c r="N94" t="s">
        <v>496</v>
      </c>
      <c r="Z94"/>
      <c r="AA94"/>
    </row>
    <row r="95" spans="1:27" x14ac:dyDescent="0.3">
      <c r="A95">
        <v>1</v>
      </c>
      <c r="B95" t="s">
        <v>497</v>
      </c>
      <c r="C95" t="s">
        <v>136</v>
      </c>
      <c r="D95" t="s">
        <v>8</v>
      </c>
      <c r="G95" t="s">
        <v>664</v>
      </c>
      <c r="H95" t="s">
        <v>664</v>
      </c>
      <c r="K95" s="3"/>
      <c r="L95" t="s">
        <v>497</v>
      </c>
      <c r="M95" t="s">
        <v>1342</v>
      </c>
      <c r="N95" t="s">
        <v>497</v>
      </c>
      <c r="Z95"/>
      <c r="AA95"/>
    </row>
    <row r="96" spans="1:27" x14ac:dyDescent="0.3">
      <c r="A96">
        <v>1</v>
      </c>
      <c r="B96" t="s">
        <v>498</v>
      </c>
      <c r="C96" t="s">
        <v>137</v>
      </c>
      <c r="D96" t="s">
        <v>8</v>
      </c>
      <c r="G96" t="s">
        <v>665</v>
      </c>
      <c r="H96" t="s">
        <v>665</v>
      </c>
      <c r="K96" s="3"/>
      <c r="L96" t="s">
        <v>498</v>
      </c>
      <c r="M96" t="s">
        <v>1342</v>
      </c>
      <c r="N96" t="s">
        <v>498</v>
      </c>
      <c r="Z96"/>
      <c r="AA96"/>
    </row>
    <row r="97" spans="1:27" x14ac:dyDescent="0.3">
      <c r="A97">
        <v>1</v>
      </c>
      <c r="B97" t="s">
        <v>542</v>
      </c>
      <c r="C97" t="s">
        <v>138</v>
      </c>
      <c r="D97" t="s">
        <v>8</v>
      </c>
      <c r="E97" t="s">
        <v>912</v>
      </c>
      <c r="G97" t="s">
        <v>913</v>
      </c>
      <c r="H97" t="s">
        <v>914</v>
      </c>
      <c r="I97" t="s">
        <v>915</v>
      </c>
      <c r="K97" s="3">
        <v>290512106072.67999</v>
      </c>
      <c r="L97" t="s">
        <v>542</v>
      </c>
      <c r="M97" t="s">
        <v>1342</v>
      </c>
      <c r="N97" t="s">
        <v>542</v>
      </c>
      <c r="O97">
        <v>290512106072.67999</v>
      </c>
      <c r="Z97"/>
      <c r="AA97"/>
    </row>
    <row r="98" spans="1:27" x14ac:dyDescent="0.3">
      <c r="A98">
        <v>1</v>
      </c>
      <c r="B98" t="s">
        <v>543</v>
      </c>
      <c r="C98" t="s">
        <v>138</v>
      </c>
      <c r="D98" t="s">
        <v>8</v>
      </c>
      <c r="E98" t="s">
        <v>916</v>
      </c>
      <c r="G98" t="s">
        <v>917</v>
      </c>
      <c r="H98" t="s">
        <v>918</v>
      </c>
      <c r="I98" t="s">
        <v>919</v>
      </c>
      <c r="K98" s="3">
        <v>1450934304.3</v>
      </c>
      <c r="L98" t="s">
        <v>543</v>
      </c>
      <c r="M98" t="s">
        <v>1342</v>
      </c>
      <c r="N98" t="s">
        <v>543</v>
      </c>
      <c r="O98">
        <v>1450934304.3</v>
      </c>
      <c r="Z98"/>
      <c r="AA98"/>
    </row>
    <row r="99" spans="1:27" x14ac:dyDescent="0.3">
      <c r="A99">
        <v>1</v>
      </c>
      <c r="B99" t="s">
        <v>544</v>
      </c>
      <c r="C99" t="s">
        <v>139</v>
      </c>
      <c r="D99" t="s">
        <v>8</v>
      </c>
      <c r="G99" t="s">
        <v>667</v>
      </c>
      <c r="I99" t="s">
        <v>667</v>
      </c>
      <c r="K99" s="3">
        <v>175200000</v>
      </c>
      <c r="L99" t="s">
        <v>544</v>
      </c>
      <c r="M99" t="s">
        <v>1342</v>
      </c>
      <c r="N99" t="s">
        <v>544</v>
      </c>
      <c r="O99">
        <v>175200000</v>
      </c>
      <c r="Z99"/>
      <c r="AA99"/>
    </row>
    <row r="100" spans="1:27" x14ac:dyDescent="0.3">
      <c r="A100">
        <v>1</v>
      </c>
      <c r="B100" t="s">
        <v>473</v>
      </c>
      <c r="C100" t="s">
        <v>140</v>
      </c>
      <c r="D100" t="s">
        <v>8</v>
      </c>
      <c r="G100" t="s">
        <v>666</v>
      </c>
      <c r="H100" t="s">
        <v>666</v>
      </c>
      <c r="K100" s="3"/>
      <c r="L100" t="s">
        <v>473</v>
      </c>
      <c r="M100" t="s">
        <v>1342</v>
      </c>
      <c r="Z100"/>
      <c r="AA100"/>
    </row>
    <row r="101" spans="1:27" x14ac:dyDescent="0.3">
      <c r="A101">
        <v>2</v>
      </c>
      <c r="B101" t="s">
        <v>141</v>
      </c>
      <c r="C101" t="s">
        <v>142</v>
      </c>
      <c r="D101" t="s">
        <v>8</v>
      </c>
      <c r="G101" t="s">
        <v>601</v>
      </c>
      <c r="H101" t="s">
        <v>601</v>
      </c>
      <c r="K101" s="3"/>
      <c r="L101" t="s">
        <v>473</v>
      </c>
      <c r="M101" t="s">
        <v>1342</v>
      </c>
      <c r="N101" t="s">
        <v>141</v>
      </c>
      <c r="Z101"/>
      <c r="AA101"/>
    </row>
    <row r="102" spans="1:27" x14ac:dyDescent="0.3">
      <c r="A102">
        <v>2</v>
      </c>
      <c r="B102" t="s">
        <v>143</v>
      </c>
      <c r="C102" t="s">
        <v>144</v>
      </c>
      <c r="D102" t="s">
        <v>8</v>
      </c>
      <c r="G102" t="s">
        <v>602</v>
      </c>
      <c r="H102" t="s">
        <v>602</v>
      </c>
      <c r="L102" t="s">
        <v>473</v>
      </c>
      <c r="M102" t="s">
        <v>1342</v>
      </c>
      <c r="N102" t="s">
        <v>143</v>
      </c>
      <c r="Z102"/>
      <c r="AA102"/>
    </row>
    <row r="103" spans="1:27" x14ac:dyDescent="0.3">
      <c r="A103">
        <v>2</v>
      </c>
      <c r="B103" t="s">
        <v>145</v>
      </c>
      <c r="C103" t="s">
        <v>146</v>
      </c>
      <c r="D103" t="s">
        <v>8</v>
      </c>
      <c r="G103" t="s">
        <v>603</v>
      </c>
      <c r="H103" t="s">
        <v>603</v>
      </c>
      <c r="L103" t="s">
        <v>473</v>
      </c>
      <c r="M103" t="s">
        <v>1342</v>
      </c>
      <c r="N103" t="s">
        <v>145</v>
      </c>
      <c r="Z103"/>
      <c r="AA103"/>
    </row>
    <row r="104" spans="1:27" x14ac:dyDescent="0.3">
      <c r="A104">
        <v>2</v>
      </c>
      <c r="B104" t="s">
        <v>147</v>
      </c>
      <c r="C104" t="s">
        <v>148</v>
      </c>
      <c r="D104" t="s">
        <v>8</v>
      </c>
      <c r="G104" t="s">
        <v>604</v>
      </c>
      <c r="H104" t="s">
        <v>604</v>
      </c>
      <c r="K104" s="3"/>
      <c r="L104" t="s">
        <v>473</v>
      </c>
      <c r="M104" t="s">
        <v>1342</v>
      </c>
      <c r="N104" t="s">
        <v>147</v>
      </c>
      <c r="Z104"/>
      <c r="AA104"/>
    </row>
    <row r="105" spans="1:27" x14ac:dyDescent="0.3">
      <c r="A105">
        <v>2</v>
      </c>
      <c r="B105" t="s">
        <v>149</v>
      </c>
      <c r="C105" t="s">
        <v>150</v>
      </c>
      <c r="D105" t="s">
        <v>8</v>
      </c>
      <c r="G105" t="s">
        <v>605</v>
      </c>
      <c r="H105" t="s">
        <v>605</v>
      </c>
      <c r="L105" t="s">
        <v>473</v>
      </c>
      <c r="M105" t="s">
        <v>1342</v>
      </c>
      <c r="N105" t="s">
        <v>149</v>
      </c>
      <c r="Z105"/>
      <c r="AA105"/>
    </row>
    <row r="106" spans="1:27" x14ac:dyDescent="0.3">
      <c r="A106">
        <v>2</v>
      </c>
      <c r="B106" t="s">
        <v>151</v>
      </c>
      <c r="C106" t="s">
        <v>152</v>
      </c>
      <c r="D106" t="s">
        <v>8</v>
      </c>
      <c r="G106" t="s">
        <v>606</v>
      </c>
      <c r="H106" t="s">
        <v>606</v>
      </c>
      <c r="L106" t="s">
        <v>473</v>
      </c>
      <c r="M106" t="s">
        <v>1342</v>
      </c>
      <c r="N106" t="s">
        <v>151</v>
      </c>
      <c r="Z106"/>
      <c r="AA106"/>
    </row>
    <row r="107" spans="1:27" x14ac:dyDescent="0.3">
      <c r="A107">
        <v>1</v>
      </c>
      <c r="B107" t="s">
        <v>499</v>
      </c>
      <c r="C107" t="s">
        <v>153</v>
      </c>
      <c r="D107" t="s">
        <v>8</v>
      </c>
      <c r="G107" t="s">
        <v>667</v>
      </c>
      <c r="H107" t="s">
        <v>667</v>
      </c>
      <c r="K107" s="3"/>
      <c r="L107" t="s">
        <v>499</v>
      </c>
      <c r="M107" t="s">
        <v>1342</v>
      </c>
      <c r="N107" t="s">
        <v>499</v>
      </c>
      <c r="Z107"/>
      <c r="AA107"/>
    </row>
    <row r="108" spans="1:27" x14ac:dyDescent="0.3">
      <c r="A108">
        <v>1</v>
      </c>
      <c r="B108" t="s">
        <v>545</v>
      </c>
      <c r="C108" t="s">
        <v>154</v>
      </c>
      <c r="D108" t="s">
        <v>8</v>
      </c>
      <c r="E108" t="s">
        <v>920</v>
      </c>
      <c r="G108" t="s">
        <v>921</v>
      </c>
      <c r="H108" t="s">
        <v>922</v>
      </c>
      <c r="I108" t="s">
        <v>923</v>
      </c>
      <c r="K108" s="3">
        <v>186700796678.95001</v>
      </c>
      <c r="L108" t="s">
        <v>545</v>
      </c>
      <c r="M108" t="s">
        <v>1342</v>
      </c>
      <c r="Z108"/>
      <c r="AA108"/>
    </row>
    <row r="109" spans="1:27" x14ac:dyDescent="0.3">
      <c r="A109">
        <v>2</v>
      </c>
      <c r="B109" t="s">
        <v>155</v>
      </c>
      <c r="C109" t="s">
        <v>156</v>
      </c>
      <c r="D109" t="s">
        <v>8</v>
      </c>
      <c r="E109" t="s">
        <v>924</v>
      </c>
      <c r="G109" t="s">
        <v>925</v>
      </c>
      <c r="H109" t="s">
        <v>926</v>
      </c>
      <c r="I109" t="s">
        <v>927</v>
      </c>
      <c r="K109">
        <v>12811546851.530001</v>
      </c>
      <c r="L109" t="s">
        <v>545</v>
      </c>
      <c r="M109" t="s">
        <v>1342</v>
      </c>
      <c r="N109" t="s">
        <v>155</v>
      </c>
      <c r="O109">
        <v>12811546851.530001</v>
      </c>
      <c r="Z109"/>
      <c r="AA109"/>
    </row>
    <row r="110" spans="1:27" x14ac:dyDescent="0.3">
      <c r="A110">
        <v>2</v>
      </c>
      <c r="B110" t="s">
        <v>157</v>
      </c>
      <c r="C110" t="s">
        <v>158</v>
      </c>
      <c r="D110" t="s">
        <v>8</v>
      </c>
      <c r="E110" t="s">
        <v>928</v>
      </c>
      <c r="G110" t="s">
        <v>929</v>
      </c>
      <c r="H110" t="s">
        <v>930</v>
      </c>
      <c r="I110" t="s">
        <v>931</v>
      </c>
      <c r="K110" s="3">
        <v>173889249827.42001</v>
      </c>
      <c r="L110" t="s">
        <v>545</v>
      </c>
      <c r="M110" t="s">
        <v>1342</v>
      </c>
      <c r="N110" t="s">
        <v>157</v>
      </c>
      <c r="O110">
        <v>173889249827.42001</v>
      </c>
      <c r="Z110"/>
      <c r="AA110"/>
    </row>
    <row r="111" spans="1:27" x14ac:dyDescent="0.3">
      <c r="A111">
        <v>1</v>
      </c>
      <c r="B111" t="s">
        <v>546</v>
      </c>
      <c r="C111" t="s">
        <v>159</v>
      </c>
      <c r="D111" t="s">
        <v>8</v>
      </c>
      <c r="E111" t="s">
        <v>932</v>
      </c>
      <c r="H111" t="s">
        <v>933</v>
      </c>
      <c r="I111" t="s">
        <v>934</v>
      </c>
      <c r="K111" s="3">
        <v>727159994.16999996</v>
      </c>
      <c r="L111" t="s">
        <v>546</v>
      </c>
      <c r="M111" t="s">
        <v>1342</v>
      </c>
      <c r="N111" t="s">
        <v>546</v>
      </c>
      <c r="O111">
        <v>727159994.16999996</v>
      </c>
      <c r="Z111"/>
      <c r="AA111"/>
    </row>
    <row r="112" spans="1:27" x14ac:dyDescent="0.3">
      <c r="A112">
        <v>1</v>
      </c>
      <c r="B112" t="s">
        <v>547</v>
      </c>
      <c r="C112" t="s">
        <v>160</v>
      </c>
      <c r="D112" t="s">
        <v>8</v>
      </c>
      <c r="G112" t="s">
        <v>935</v>
      </c>
      <c r="H112" t="s">
        <v>936</v>
      </c>
      <c r="I112" t="s">
        <v>937</v>
      </c>
      <c r="K112" s="3">
        <v>52797528982.970001</v>
      </c>
      <c r="L112" t="s">
        <v>547</v>
      </c>
      <c r="M112" t="s">
        <v>1342</v>
      </c>
      <c r="Z112"/>
      <c r="AA112"/>
    </row>
    <row r="113" spans="1:27" x14ac:dyDescent="0.3">
      <c r="A113">
        <v>2</v>
      </c>
      <c r="B113" t="s">
        <v>161</v>
      </c>
      <c r="C113" t="s">
        <v>162</v>
      </c>
      <c r="D113" t="s">
        <v>8</v>
      </c>
      <c r="G113" t="s">
        <v>935</v>
      </c>
      <c r="H113" t="s">
        <v>936</v>
      </c>
      <c r="I113" t="s">
        <v>937</v>
      </c>
      <c r="K113" s="3">
        <v>52797528982.970001</v>
      </c>
      <c r="L113" t="s">
        <v>547</v>
      </c>
      <c r="M113" t="s">
        <v>1342</v>
      </c>
      <c r="N113" t="s">
        <v>161</v>
      </c>
      <c r="O113">
        <v>52797528982.970001</v>
      </c>
      <c r="Z113"/>
      <c r="AA113"/>
    </row>
    <row r="114" spans="1:27" x14ac:dyDescent="0.3">
      <c r="A114">
        <v>1</v>
      </c>
      <c r="B114" t="s">
        <v>548</v>
      </c>
      <c r="C114" t="s">
        <v>163</v>
      </c>
      <c r="D114" t="s">
        <v>8</v>
      </c>
      <c r="E114" t="s">
        <v>938</v>
      </c>
      <c r="G114" t="s">
        <v>939</v>
      </c>
      <c r="H114" t="s">
        <v>940</v>
      </c>
      <c r="I114" t="s">
        <v>941</v>
      </c>
      <c r="K114" s="3">
        <v>695516580630.19995</v>
      </c>
      <c r="L114" t="s">
        <v>548</v>
      </c>
      <c r="M114" t="s">
        <v>1342</v>
      </c>
      <c r="Z114"/>
      <c r="AA114"/>
    </row>
    <row r="115" spans="1:27" x14ac:dyDescent="0.3">
      <c r="A115">
        <v>2</v>
      </c>
      <c r="B115" t="s">
        <v>164</v>
      </c>
      <c r="C115" t="s">
        <v>163</v>
      </c>
      <c r="D115" t="s">
        <v>8</v>
      </c>
      <c r="E115" t="s">
        <v>938</v>
      </c>
      <c r="G115" t="s">
        <v>939</v>
      </c>
      <c r="H115" t="s">
        <v>940</v>
      </c>
      <c r="I115" t="s">
        <v>941</v>
      </c>
      <c r="K115" s="3">
        <v>695516580630.19995</v>
      </c>
      <c r="L115" t="s">
        <v>548</v>
      </c>
      <c r="M115" t="s">
        <v>1342</v>
      </c>
      <c r="N115" t="s">
        <v>164</v>
      </c>
      <c r="O115">
        <v>695516580630.19995</v>
      </c>
      <c r="Z115"/>
      <c r="AA115"/>
    </row>
    <row r="116" spans="1:27" x14ac:dyDescent="0.3">
      <c r="A116">
        <v>1</v>
      </c>
      <c r="B116" t="s">
        <v>549</v>
      </c>
      <c r="C116" t="s">
        <v>165</v>
      </c>
      <c r="D116" t="s">
        <v>8</v>
      </c>
      <c r="E116" t="s">
        <v>942</v>
      </c>
      <c r="G116" t="s">
        <v>943</v>
      </c>
      <c r="H116" t="s">
        <v>944</v>
      </c>
      <c r="I116" t="s">
        <v>945</v>
      </c>
      <c r="K116" s="3">
        <v>95194932.760000005</v>
      </c>
      <c r="L116" t="s">
        <v>549</v>
      </c>
      <c r="M116" t="s">
        <v>1342</v>
      </c>
      <c r="N116" t="s">
        <v>549</v>
      </c>
      <c r="O116">
        <v>95194932.760000005</v>
      </c>
      <c r="Z116"/>
      <c r="AA116"/>
    </row>
    <row r="117" spans="1:27" x14ac:dyDescent="0.3">
      <c r="A117">
        <v>1</v>
      </c>
      <c r="B117" t="s">
        <v>550</v>
      </c>
      <c r="C117" t="s">
        <v>166</v>
      </c>
      <c r="D117" t="s">
        <v>8</v>
      </c>
      <c r="E117" t="s">
        <v>946</v>
      </c>
      <c r="G117" t="s">
        <v>947</v>
      </c>
      <c r="H117" t="s">
        <v>948</v>
      </c>
      <c r="I117" t="s">
        <v>949</v>
      </c>
      <c r="K117">
        <v>22473596435.709999</v>
      </c>
      <c r="L117" t="s">
        <v>550</v>
      </c>
      <c r="M117" t="s">
        <v>1342</v>
      </c>
      <c r="N117" t="s">
        <v>550</v>
      </c>
      <c r="O117">
        <v>22473596435.709999</v>
      </c>
      <c r="Z117"/>
      <c r="AA117"/>
    </row>
    <row r="118" spans="1:27" x14ac:dyDescent="0.3">
      <c r="A118">
        <v>1</v>
      </c>
      <c r="B118" t="s">
        <v>521</v>
      </c>
      <c r="C118" t="s">
        <v>167</v>
      </c>
      <c r="D118" t="s">
        <v>8</v>
      </c>
      <c r="E118" t="s">
        <v>699</v>
      </c>
      <c r="H118" t="s">
        <v>699</v>
      </c>
      <c r="K118" s="3"/>
      <c r="L118" t="s">
        <v>521</v>
      </c>
      <c r="M118" t="s">
        <v>1342</v>
      </c>
      <c r="N118" t="s">
        <v>521</v>
      </c>
      <c r="Z118"/>
      <c r="AA118"/>
    </row>
    <row r="119" spans="1:27" x14ac:dyDescent="0.3">
      <c r="A119">
        <v>1</v>
      </c>
      <c r="B119" t="s">
        <v>551</v>
      </c>
      <c r="C119" t="s">
        <v>168</v>
      </c>
      <c r="D119" t="s">
        <v>8</v>
      </c>
      <c r="G119" t="s">
        <v>950</v>
      </c>
      <c r="I119" t="s">
        <v>950</v>
      </c>
      <c r="K119" s="3">
        <v>13307175986.66</v>
      </c>
      <c r="L119" t="s">
        <v>551</v>
      </c>
      <c r="M119" t="s">
        <v>1342</v>
      </c>
      <c r="N119" t="s">
        <v>551</v>
      </c>
      <c r="O119">
        <v>13307175986.66</v>
      </c>
      <c r="Z119"/>
      <c r="AA119"/>
    </row>
    <row r="120" spans="1:27" x14ac:dyDescent="0.3">
      <c r="A120">
        <v>1</v>
      </c>
      <c r="B120" t="s">
        <v>552</v>
      </c>
      <c r="C120" t="s">
        <v>169</v>
      </c>
      <c r="D120" t="s">
        <v>8</v>
      </c>
      <c r="E120" t="s">
        <v>951</v>
      </c>
      <c r="G120" t="s">
        <v>952</v>
      </c>
      <c r="H120" t="s">
        <v>953</v>
      </c>
      <c r="I120" t="s">
        <v>954</v>
      </c>
      <c r="K120" s="3">
        <v>783046530759.93994</v>
      </c>
      <c r="L120" t="s">
        <v>552</v>
      </c>
      <c r="M120" t="s">
        <v>1342</v>
      </c>
      <c r="Z120"/>
      <c r="AA120"/>
    </row>
    <row r="121" spans="1:27" x14ac:dyDescent="0.3">
      <c r="A121">
        <v>2</v>
      </c>
      <c r="B121" t="s">
        <v>170</v>
      </c>
      <c r="C121" t="s">
        <v>171</v>
      </c>
      <c r="D121" t="s">
        <v>8</v>
      </c>
      <c r="E121" t="s">
        <v>955</v>
      </c>
      <c r="G121" t="s">
        <v>956</v>
      </c>
      <c r="H121" t="s">
        <v>957</v>
      </c>
      <c r="I121" t="s">
        <v>958</v>
      </c>
      <c r="K121" s="3">
        <v>7097268684.1999998</v>
      </c>
      <c r="L121" t="s">
        <v>552</v>
      </c>
      <c r="M121" t="s">
        <v>1342</v>
      </c>
      <c r="N121" t="s">
        <v>170</v>
      </c>
      <c r="O121">
        <v>7097268684.1999998</v>
      </c>
      <c r="Z121"/>
      <c r="AA121"/>
    </row>
    <row r="122" spans="1:27" x14ac:dyDescent="0.3">
      <c r="A122">
        <v>2</v>
      </c>
      <c r="B122" t="s">
        <v>172</v>
      </c>
      <c r="C122" t="s">
        <v>173</v>
      </c>
      <c r="D122" t="s">
        <v>8</v>
      </c>
      <c r="E122" t="s">
        <v>959</v>
      </c>
      <c r="G122" t="s">
        <v>960</v>
      </c>
      <c r="H122" t="s">
        <v>961</v>
      </c>
      <c r="I122" t="s">
        <v>962</v>
      </c>
      <c r="K122">
        <v>775949262075.73999</v>
      </c>
      <c r="L122" t="s">
        <v>552</v>
      </c>
      <c r="M122" t="s">
        <v>1342</v>
      </c>
      <c r="N122" t="s">
        <v>172</v>
      </c>
      <c r="O122">
        <v>775949262075.73999</v>
      </c>
      <c r="Z122"/>
      <c r="AA122"/>
    </row>
    <row r="123" spans="1:27" x14ac:dyDescent="0.3">
      <c r="A123">
        <v>2</v>
      </c>
      <c r="B123" t="s">
        <v>522</v>
      </c>
      <c r="C123" t="s">
        <v>174</v>
      </c>
      <c r="D123" t="s">
        <v>8</v>
      </c>
      <c r="E123" t="s">
        <v>700</v>
      </c>
      <c r="G123" t="s">
        <v>637</v>
      </c>
      <c r="H123" t="s">
        <v>700</v>
      </c>
      <c r="L123" t="s">
        <v>522</v>
      </c>
      <c r="M123" t="s">
        <v>1342</v>
      </c>
      <c r="N123" t="s">
        <v>522</v>
      </c>
      <c r="Z123"/>
      <c r="AA123"/>
    </row>
    <row r="124" spans="1:27" x14ac:dyDescent="0.3">
      <c r="A124">
        <v>1</v>
      </c>
      <c r="B124" t="s">
        <v>522</v>
      </c>
      <c r="C124" t="s">
        <v>174</v>
      </c>
      <c r="D124" t="s">
        <v>8</v>
      </c>
      <c r="E124" t="s">
        <v>963</v>
      </c>
      <c r="G124" t="s">
        <v>964</v>
      </c>
      <c r="H124" t="s">
        <v>965</v>
      </c>
      <c r="I124" t="s">
        <v>966</v>
      </c>
      <c r="K124">
        <v>163769248027.51001</v>
      </c>
      <c r="L124" t="s">
        <v>522</v>
      </c>
      <c r="M124" t="s">
        <v>1342</v>
      </c>
      <c r="Z124"/>
      <c r="AA124"/>
    </row>
    <row r="125" spans="1:27" x14ac:dyDescent="0.3">
      <c r="A125">
        <v>2</v>
      </c>
      <c r="B125" t="s">
        <v>175</v>
      </c>
      <c r="C125" t="s">
        <v>174</v>
      </c>
      <c r="D125" t="s">
        <v>8</v>
      </c>
      <c r="E125" t="s">
        <v>967</v>
      </c>
      <c r="G125" t="s">
        <v>964</v>
      </c>
      <c r="H125" t="s">
        <v>968</v>
      </c>
      <c r="I125" t="s">
        <v>966</v>
      </c>
      <c r="K125" s="3">
        <v>163769248027.51001</v>
      </c>
      <c r="L125" t="s">
        <v>522</v>
      </c>
      <c r="M125" t="s">
        <v>1342</v>
      </c>
      <c r="N125" t="s">
        <v>175</v>
      </c>
      <c r="O125">
        <v>163769248027.51001</v>
      </c>
      <c r="Z125"/>
      <c r="AA125"/>
    </row>
    <row r="126" spans="1:27" x14ac:dyDescent="0.3">
      <c r="A126">
        <v>1</v>
      </c>
      <c r="B126" t="s">
        <v>553</v>
      </c>
      <c r="C126" t="s">
        <v>176</v>
      </c>
      <c r="D126" t="s">
        <v>8</v>
      </c>
      <c r="E126" t="s">
        <v>969</v>
      </c>
      <c r="G126" t="s">
        <v>970</v>
      </c>
      <c r="H126" t="s">
        <v>971</v>
      </c>
      <c r="I126" t="s">
        <v>972</v>
      </c>
      <c r="K126" s="3">
        <v>108566904.5</v>
      </c>
      <c r="L126" t="s">
        <v>553</v>
      </c>
      <c r="M126" t="s">
        <v>1342</v>
      </c>
      <c r="Z126"/>
      <c r="AA126"/>
    </row>
    <row r="127" spans="1:27" x14ac:dyDescent="0.3">
      <c r="A127">
        <v>2</v>
      </c>
      <c r="B127" t="s">
        <v>553</v>
      </c>
      <c r="C127" t="s">
        <v>176</v>
      </c>
      <c r="D127" t="s">
        <v>8</v>
      </c>
      <c r="E127" t="s">
        <v>973</v>
      </c>
      <c r="H127" t="s">
        <v>974</v>
      </c>
      <c r="I127" t="s">
        <v>975</v>
      </c>
      <c r="K127" s="3">
        <v>31856768.359999999</v>
      </c>
      <c r="L127" t="s">
        <v>553</v>
      </c>
      <c r="M127" t="s">
        <v>1342</v>
      </c>
      <c r="N127" t="s">
        <v>553</v>
      </c>
      <c r="O127">
        <v>31856768.359999999</v>
      </c>
      <c r="Z127"/>
      <c r="AA127"/>
    </row>
    <row r="128" spans="1:27" x14ac:dyDescent="0.3">
      <c r="A128">
        <v>2</v>
      </c>
      <c r="B128" t="s">
        <v>177</v>
      </c>
      <c r="C128" t="s">
        <v>178</v>
      </c>
      <c r="D128" t="s">
        <v>8</v>
      </c>
      <c r="E128" t="s">
        <v>976</v>
      </c>
      <c r="G128" t="s">
        <v>970</v>
      </c>
      <c r="H128" t="s">
        <v>977</v>
      </c>
      <c r="I128" t="s">
        <v>978</v>
      </c>
      <c r="K128" s="3">
        <v>76710136.140000001</v>
      </c>
      <c r="L128" t="s">
        <v>553</v>
      </c>
      <c r="M128" t="s">
        <v>1342</v>
      </c>
      <c r="N128" t="s">
        <v>177</v>
      </c>
      <c r="O128">
        <v>76710136.140000001</v>
      </c>
      <c r="Z128"/>
      <c r="AA128"/>
    </row>
    <row r="129" spans="1:27" x14ac:dyDescent="0.3">
      <c r="A129">
        <v>1</v>
      </c>
      <c r="B129" t="s">
        <v>554</v>
      </c>
      <c r="C129" t="s">
        <v>179</v>
      </c>
      <c r="D129" t="s">
        <v>8</v>
      </c>
      <c r="E129" t="s">
        <v>979</v>
      </c>
      <c r="G129" t="s">
        <v>980</v>
      </c>
      <c r="H129" t="s">
        <v>981</v>
      </c>
      <c r="I129" t="s">
        <v>982</v>
      </c>
      <c r="K129" s="3">
        <v>17178728.879999999</v>
      </c>
      <c r="L129" t="s">
        <v>554</v>
      </c>
      <c r="M129" t="s">
        <v>1342</v>
      </c>
      <c r="N129" t="s">
        <v>554</v>
      </c>
      <c r="O129">
        <v>17178728.879999999</v>
      </c>
      <c r="Z129"/>
      <c r="AA129"/>
    </row>
    <row r="130" spans="1:27" x14ac:dyDescent="0.3">
      <c r="A130">
        <v>2</v>
      </c>
      <c r="B130" t="s">
        <v>474</v>
      </c>
      <c r="C130" t="s">
        <v>180</v>
      </c>
      <c r="D130" t="s">
        <v>8</v>
      </c>
      <c r="G130" t="s">
        <v>607</v>
      </c>
      <c r="H130" t="s">
        <v>607</v>
      </c>
      <c r="K130" s="3"/>
      <c r="L130" t="s">
        <v>474</v>
      </c>
      <c r="M130" t="s">
        <v>1342</v>
      </c>
      <c r="N130" t="s">
        <v>474</v>
      </c>
      <c r="Z130"/>
      <c r="AA130"/>
    </row>
    <row r="131" spans="1:27" x14ac:dyDescent="0.3">
      <c r="A131">
        <v>1</v>
      </c>
      <c r="B131" t="s">
        <v>474</v>
      </c>
      <c r="C131" t="s">
        <v>180</v>
      </c>
      <c r="D131" t="s">
        <v>8</v>
      </c>
      <c r="E131" t="s">
        <v>983</v>
      </c>
      <c r="G131" t="s">
        <v>984</v>
      </c>
      <c r="H131" t="s">
        <v>985</v>
      </c>
      <c r="I131" t="s">
        <v>986</v>
      </c>
      <c r="K131">
        <v>161726908943.17999</v>
      </c>
      <c r="L131" t="s">
        <v>474</v>
      </c>
      <c r="M131" t="s">
        <v>1342</v>
      </c>
      <c r="Z131"/>
      <c r="AA131"/>
    </row>
    <row r="132" spans="1:27" x14ac:dyDescent="0.3">
      <c r="A132">
        <v>2</v>
      </c>
      <c r="B132" t="s">
        <v>181</v>
      </c>
      <c r="C132" t="s">
        <v>180</v>
      </c>
      <c r="D132" t="s">
        <v>8</v>
      </c>
      <c r="G132" t="s">
        <v>608</v>
      </c>
      <c r="H132" t="s">
        <v>608</v>
      </c>
      <c r="L132" t="s">
        <v>474</v>
      </c>
      <c r="M132" t="s">
        <v>1342</v>
      </c>
      <c r="N132" t="s">
        <v>181</v>
      </c>
      <c r="Z132"/>
      <c r="AA132"/>
    </row>
    <row r="133" spans="1:27" x14ac:dyDescent="0.3">
      <c r="A133">
        <v>2</v>
      </c>
      <c r="B133" t="s">
        <v>182</v>
      </c>
      <c r="C133" t="s">
        <v>183</v>
      </c>
      <c r="D133" t="s">
        <v>8</v>
      </c>
      <c r="G133" t="s">
        <v>609</v>
      </c>
      <c r="H133" t="s">
        <v>609</v>
      </c>
      <c r="L133" t="s">
        <v>474</v>
      </c>
      <c r="M133" t="s">
        <v>1342</v>
      </c>
      <c r="N133" t="s">
        <v>182</v>
      </c>
      <c r="Z133"/>
      <c r="AA133"/>
    </row>
    <row r="134" spans="1:27" x14ac:dyDescent="0.3">
      <c r="A134">
        <v>2</v>
      </c>
      <c r="B134" t="s">
        <v>184</v>
      </c>
      <c r="C134" t="s">
        <v>180</v>
      </c>
      <c r="D134" t="s">
        <v>8</v>
      </c>
      <c r="E134" t="s">
        <v>983</v>
      </c>
      <c r="G134" t="s">
        <v>987</v>
      </c>
      <c r="H134" t="s">
        <v>988</v>
      </c>
      <c r="I134" t="s">
        <v>986</v>
      </c>
      <c r="K134" s="3">
        <v>161726908943.17999</v>
      </c>
      <c r="L134" t="s">
        <v>474</v>
      </c>
      <c r="M134" t="s">
        <v>1342</v>
      </c>
      <c r="N134" t="s">
        <v>184</v>
      </c>
      <c r="O134">
        <v>161726908943.17999</v>
      </c>
      <c r="Z134"/>
      <c r="AA134"/>
    </row>
    <row r="135" spans="1:27" x14ac:dyDescent="0.3">
      <c r="A135">
        <v>2</v>
      </c>
      <c r="B135" t="s">
        <v>475</v>
      </c>
      <c r="C135" t="s">
        <v>185</v>
      </c>
      <c r="D135" t="s">
        <v>8</v>
      </c>
      <c r="G135" t="s">
        <v>610</v>
      </c>
      <c r="H135" t="s">
        <v>610</v>
      </c>
      <c r="K135" s="3"/>
      <c r="L135" t="s">
        <v>475</v>
      </c>
      <c r="M135" t="s">
        <v>1342</v>
      </c>
      <c r="N135" t="s">
        <v>475</v>
      </c>
      <c r="Z135"/>
      <c r="AA135"/>
    </row>
    <row r="136" spans="1:27" x14ac:dyDescent="0.3">
      <c r="A136">
        <v>1</v>
      </c>
      <c r="B136" t="s">
        <v>475</v>
      </c>
      <c r="C136" t="s">
        <v>185</v>
      </c>
      <c r="D136" t="s">
        <v>8</v>
      </c>
      <c r="E136" t="s">
        <v>989</v>
      </c>
      <c r="G136" t="s">
        <v>990</v>
      </c>
      <c r="H136" t="s">
        <v>991</v>
      </c>
      <c r="I136" t="s">
        <v>992</v>
      </c>
      <c r="K136" s="3">
        <v>3325017892891.0698</v>
      </c>
      <c r="L136" t="s">
        <v>475</v>
      </c>
      <c r="M136" t="s">
        <v>1342</v>
      </c>
      <c r="Z136"/>
      <c r="AA136"/>
    </row>
    <row r="137" spans="1:27" x14ac:dyDescent="0.3">
      <c r="A137">
        <v>2</v>
      </c>
      <c r="B137" t="s">
        <v>186</v>
      </c>
      <c r="C137" t="s">
        <v>185</v>
      </c>
      <c r="D137" t="s">
        <v>8</v>
      </c>
      <c r="E137" t="s">
        <v>989</v>
      </c>
      <c r="G137" t="s">
        <v>990</v>
      </c>
      <c r="H137" t="s">
        <v>991</v>
      </c>
      <c r="I137" t="s">
        <v>992</v>
      </c>
      <c r="K137" s="3">
        <v>3325017892891.0698</v>
      </c>
      <c r="L137" t="s">
        <v>475</v>
      </c>
      <c r="M137" t="s">
        <v>1342</v>
      </c>
      <c r="N137" t="s">
        <v>186</v>
      </c>
      <c r="O137">
        <v>3325017892891.0698</v>
      </c>
      <c r="Z137"/>
      <c r="AA137"/>
    </row>
    <row r="138" spans="1:27" x14ac:dyDescent="0.3">
      <c r="A138">
        <v>1</v>
      </c>
      <c r="B138" t="s">
        <v>523</v>
      </c>
      <c r="C138" t="s">
        <v>187</v>
      </c>
      <c r="D138" t="s">
        <v>8</v>
      </c>
      <c r="E138" t="s">
        <v>702</v>
      </c>
      <c r="G138" t="s">
        <v>993</v>
      </c>
      <c r="H138" t="s">
        <v>994</v>
      </c>
      <c r="I138" t="s">
        <v>995</v>
      </c>
      <c r="K138" s="3">
        <v>28511225174.490002</v>
      </c>
      <c r="L138" t="s">
        <v>523</v>
      </c>
      <c r="M138" t="s">
        <v>1342</v>
      </c>
      <c r="Z138"/>
      <c r="AA138"/>
    </row>
    <row r="139" spans="1:27" x14ac:dyDescent="0.3">
      <c r="A139">
        <v>2</v>
      </c>
      <c r="B139" t="s">
        <v>188</v>
      </c>
      <c r="C139" t="s">
        <v>189</v>
      </c>
      <c r="D139" t="s">
        <v>8</v>
      </c>
      <c r="G139" t="s">
        <v>996</v>
      </c>
      <c r="H139" t="s">
        <v>997</v>
      </c>
      <c r="I139" t="s">
        <v>998</v>
      </c>
      <c r="K139">
        <v>6484979.0899999999</v>
      </c>
      <c r="L139" t="s">
        <v>523</v>
      </c>
      <c r="M139" t="s">
        <v>1342</v>
      </c>
      <c r="N139" t="s">
        <v>188</v>
      </c>
      <c r="O139">
        <v>6484979.0899999999</v>
      </c>
      <c r="Z139"/>
      <c r="AA139"/>
    </row>
    <row r="140" spans="1:27" x14ac:dyDescent="0.3">
      <c r="A140">
        <v>2</v>
      </c>
      <c r="B140" t="s">
        <v>190</v>
      </c>
      <c r="C140" t="s">
        <v>191</v>
      </c>
      <c r="D140" t="s">
        <v>8</v>
      </c>
      <c r="E140" t="s">
        <v>680</v>
      </c>
      <c r="G140" t="s">
        <v>701</v>
      </c>
      <c r="H140" t="s">
        <v>701</v>
      </c>
      <c r="K140" s="3"/>
      <c r="L140" t="s">
        <v>523</v>
      </c>
      <c r="M140" t="s">
        <v>1342</v>
      </c>
      <c r="N140" t="s">
        <v>190</v>
      </c>
      <c r="Z140"/>
      <c r="AA140"/>
    </row>
    <row r="141" spans="1:27" x14ac:dyDescent="0.3">
      <c r="A141">
        <v>2</v>
      </c>
      <c r="B141" t="s">
        <v>192</v>
      </c>
      <c r="C141" t="s">
        <v>193</v>
      </c>
      <c r="D141" t="s">
        <v>8</v>
      </c>
      <c r="E141" t="s">
        <v>702</v>
      </c>
      <c r="G141" t="s">
        <v>703</v>
      </c>
      <c r="H141" t="s">
        <v>704</v>
      </c>
      <c r="L141" t="s">
        <v>523</v>
      </c>
      <c r="M141" t="s">
        <v>1342</v>
      </c>
      <c r="N141" t="s">
        <v>192</v>
      </c>
      <c r="Z141"/>
      <c r="AA141"/>
    </row>
    <row r="142" spans="1:27" x14ac:dyDescent="0.3">
      <c r="A142">
        <v>2</v>
      </c>
      <c r="B142" t="s">
        <v>194</v>
      </c>
      <c r="C142" t="s">
        <v>195</v>
      </c>
      <c r="D142" t="s">
        <v>8</v>
      </c>
      <c r="G142" t="s">
        <v>999</v>
      </c>
      <c r="H142" t="s">
        <v>1000</v>
      </c>
      <c r="I142" t="s">
        <v>1001</v>
      </c>
      <c r="K142">
        <v>219049503.71000001</v>
      </c>
      <c r="L142" t="s">
        <v>523</v>
      </c>
      <c r="M142" t="s">
        <v>1342</v>
      </c>
      <c r="N142" t="s">
        <v>194</v>
      </c>
      <c r="O142">
        <v>219049503.71000001</v>
      </c>
      <c r="Z142"/>
      <c r="AA142"/>
    </row>
    <row r="143" spans="1:27" x14ac:dyDescent="0.3">
      <c r="A143">
        <v>2</v>
      </c>
      <c r="B143" t="s">
        <v>196</v>
      </c>
      <c r="C143" t="s">
        <v>197</v>
      </c>
      <c r="D143" t="s">
        <v>8</v>
      </c>
      <c r="G143" t="s">
        <v>1002</v>
      </c>
      <c r="H143" t="s">
        <v>1003</v>
      </c>
      <c r="I143" t="s">
        <v>1004</v>
      </c>
      <c r="K143">
        <v>28285690691.689999</v>
      </c>
      <c r="L143" t="s">
        <v>523</v>
      </c>
      <c r="M143" t="s">
        <v>1342</v>
      </c>
      <c r="N143" t="s">
        <v>196</v>
      </c>
      <c r="O143">
        <v>28285690691.689999</v>
      </c>
      <c r="Z143"/>
      <c r="AA143"/>
    </row>
    <row r="144" spans="1:27" x14ac:dyDescent="0.3">
      <c r="A144">
        <v>1</v>
      </c>
      <c r="B144" t="s">
        <v>524</v>
      </c>
      <c r="C144" t="s">
        <v>198</v>
      </c>
      <c r="D144" t="s">
        <v>8</v>
      </c>
      <c r="E144" t="s">
        <v>705</v>
      </c>
      <c r="G144" t="s">
        <v>1005</v>
      </c>
      <c r="H144" t="s">
        <v>707</v>
      </c>
      <c r="I144" t="s">
        <v>1006</v>
      </c>
      <c r="K144">
        <v>480000</v>
      </c>
      <c r="L144" t="s">
        <v>524</v>
      </c>
      <c r="M144" t="s">
        <v>1342</v>
      </c>
      <c r="Z144"/>
      <c r="AA144"/>
    </row>
    <row r="145" spans="1:27" x14ac:dyDescent="0.3">
      <c r="A145">
        <v>2</v>
      </c>
      <c r="B145" t="s">
        <v>201</v>
      </c>
      <c r="C145" t="s">
        <v>202</v>
      </c>
      <c r="D145" t="s">
        <v>8</v>
      </c>
      <c r="E145" t="s">
        <v>705</v>
      </c>
      <c r="G145" t="s">
        <v>706</v>
      </c>
      <c r="H145" t="s">
        <v>707</v>
      </c>
      <c r="L145" t="s">
        <v>524</v>
      </c>
      <c r="M145" t="s">
        <v>1342</v>
      </c>
      <c r="N145" t="s">
        <v>201</v>
      </c>
      <c r="Z145"/>
      <c r="AA145"/>
    </row>
    <row r="146" spans="1:27" x14ac:dyDescent="0.3">
      <c r="A146">
        <v>2</v>
      </c>
      <c r="B146" t="s">
        <v>199</v>
      </c>
      <c r="C146" t="s">
        <v>200</v>
      </c>
      <c r="D146" t="s">
        <v>8</v>
      </c>
      <c r="G146" t="s">
        <v>1006</v>
      </c>
      <c r="I146" t="s">
        <v>1006</v>
      </c>
      <c r="K146" s="3">
        <v>480000</v>
      </c>
      <c r="L146" t="s">
        <v>524</v>
      </c>
      <c r="M146" t="s">
        <v>1342</v>
      </c>
      <c r="N146" t="s">
        <v>199</v>
      </c>
      <c r="O146">
        <v>480000</v>
      </c>
      <c r="Z146"/>
      <c r="AA146"/>
    </row>
    <row r="147" spans="1:27" x14ac:dyDescent="0.3">
      <c r="A147">
        <v>1</v>
      </c>
      <c r="B147" t="s">
        <v>555</v>
      </c>
      <c r="C147" t="s">
        <v>203</v>
      </c>
      <c r="D147" t="s">
        <v>8</v>
      </c>
      <c r="G147" t="s">
        <v>1007</v>
      </c>
      <c r="H147" t="s">
        <v>1008</v>
      </c>
      <c r="I147" t="s">
        <v>1009</v>
      </c>
      <c r="K147" s="3">
        <v>16540031697.309999</v>
      </c>
      <c r="L147" t="s">
        <v>555</v>
      </c>
      <c r="M147" t="s">
        <v>1342</v>
      </c>
      <c r="N147" t="s">
        <v>555</v>
      </c>
      <c r="O147">
        <v>16540031697.309999</v>
      </c>
      <c r="Z147"/>
      <c r="AA147"/>
    </row>
    <row r="148" spans="1:27" x14ac:dyDescent="0.3">
      <c r="A148">
        <v>1</v>
      </c>
      <c r="B148" t="s">
        <v>556</v>
      </c>
      <c r="C148" t="s">
        <v>204</v>
      </c>
      <c r="D148" t="s">
        <v>8</v>
      </c>
      <c r="G148" t="s">
        <v>1010</v>
      </c>
      <c r="H148" t="s">
        <v>1011</v>
      </c>
      <c r="I148" t="s">
        <v>1012</v>
      </c>
      <c r="K148">
        <v>1192959377.51</v>
      </c>
      <c r="L148" t="s">
        <v>556</v>
      </c>
      <c r="M148" t="s">
        <v>1342</v>
      </c>
      <c r="N148" t="s">
        <v>556</v>
      </c>
      <c r="O148">
        <v>1192959377.51</v>
      </c>
      <c r="Z148"/>
      <c r="AA148"/>
    </row>
    <row r="149" spans="1:27" x14ac:dyDescent="0.3">
      <c r="A149">
        <v>1</v>
      </c>
      <c r="B149" t="s">
        <v>557</v>
      </c>
      <c r="C149" t="s">
        <v>205</v>
      </c>
      <c r="D149" t="s">
        <v>8</v>
      </c>
      <c r="E149" t="s">
        <v>1013</v>
      </c>
      <c r="G149" t="s">
        <v>1014</v>
      </c>
      <c r="H149" t="s">
        <v>1015</v>
      </c>
      <c r="I149" t="s">
        <v>1016</v>
      </c>
      <c r="K149" s="3">
        <v>16739681530.309999</v>
      </c>
      <c r="L149" t="s">
        <v>557</v>
      </c>
      <c r="M149" t="s">
        <v>1342</v>
      </c>
      <c r="N149" t="s">
        <v>557</v>
      </c>
      <c r="O149">
        <v>16739681530.309999</v>
      </c>
      <c r="Z149"/>
      <c r="AA149"/>
    </row>
    <row r="150" spans="1:27" x14ac:dyDescent="0.3">
      <c r="A150">
        <v>1</v>
      </c>
      <c r="B150" t="s">
        <v>558</v>
      </c>
      <c r="C150" t="s">
        <v>206</v>
      </c>
      <c r="D150" t="s">
        <v>8</v>
      </c>
      <c r="E150" t="s">
        <v>1017</v>
      </c>
      <c r="G150" t="s">
        <v>1018</v>
      </c>
      <c r="H150" t="s">
        <v>1019</v>
      </c>
      <c r="I150" t="s">
        <v>1020</v>
      </c>
      <c r="K150">
        <v>248689681</v>
      </c>
      <c r="L150" t="s">
        <v>558</v>
      </c>
      <c r="M150" t="s">
        <v>1342</v>
      </c>
      <c r="N150" t="s">
        <v>558</v>
      </c>
      <c r="O150">
        <v>248689681</v>
      </c>
      <c r="Z150"/>
      <c r="AA150"/>
    </row>
    <row r="151" spans="1:27" x14ac:dyDescent="0.3">
      <c r="A151">
        <v>1</v>
      </c>
      <c r="B151" t="s">
        <v>500</v>
      </c>
      <c r="C151" t="s">
        <v>207</v>
      </c>
      <c r="D151" t="s">
        <v>8</v>
      </c>
      <c r="G151" t="s">
        <v>668</v>
      </c>
      <c r="H151" t="s">
        <v>668</v>
      </c>
      <c r="L151" t="s">
        <v>500</v>
      </c>
      <c r="M151" t="s">
        <v>1342</v>
      </c>
      <c r="N151" t="s">
        <v>500</v>
      </c>
      <c r="Z151"/>
      <c r="AA151"/>
    </row>
    <row r="152" spans="1:27" x14ac:dyDescent="0.3">
      <c r="A152">
        <v>1</v>
      </c>
      <c r="B152" t="s">
        <v>559</v>
      </c>
      <c r="C152" t="s">
        <v>208</v>
      </c>
      <c r="D152" t="s">
        <v>8</v>
      </c>
      <c r="G152" t="s">
        <v>1021</v>
      </c>
      <c r="H152" t="s">
        <v>1022</v>
      </c>
      <c r="I152" t="s">
        <v>1023</v>
      </c>
      <c r="K152">
        <v>81621354.519999996</v>
      </c>
      <c r="L152" t="s">
        <v>559</v>
      </c>
      <c r="M152" t="s">
        <v>1342</v>
      </c>
      <c r="N152" t="s">
        <v>559</v>
      </c>
      <c r="O152">
        <v>81621354.519999996</v>
      </c>
      <c r="Z152"/>
      <c r="AA152"/>
    </row>
    <row r="153" spans="1:27" x14ac:dyDescent="0.3">
      <c r="A153">
        <v>1</v>
      </c>
      <c r="B153" t="s">
        <v>525</v>
      </c>
      <c r="C153" t="s">
        <v>209</v>
      </c>
      <c r="D153" t="s">
        <v>8</v>
      </c>
      <c r="E153" t="s">
        <v>708</v>
      </c>
      <c r="G153" t="s">
        <v>709</v>
      </c>
      <c r="H153" t="s">
        <v>710</v>
      </c>
      <c r="K153" s="3"/>
      <c r="L153" t="s">
        <v>525</v>
      </c>
      <c r="M153" t="s">
        <v>1342</v>
      </c>
      <c r="N153" t="s">
        <v>525</v>
      </c>
      <c r="Z153"/>
      <c r="AA153"/>
    </row>
    <row r="154" spans="1:27" x14ac:dyDescent="0.3">
      <c r="A154">
        <v>1</v>
      </c>
      <c r="B154" t="s">
        <v>476</v>
      </c>
      <c r="C154" t="s">
        <v>210</v>
      </c>
      <c r="D154" t="s">
        <v>8</v>
      </c>
      <c r="G154" t="s">
        <v>611</v>
      </c>
      <c r="H154" t="s">
        <v>611</v>
      </c>
      <c r="L154" t="s">
        <v>476</v>
      </c>
      <c r="M154" t="s">
        <v>1342</v>
      </c>
      <c r="Z154"/>
      <c r="AA154"/>
    </row>
    <row r="155" spans="1:27" x14ac:dyDescent="0.3">
      <c r="A155">
        <v>2</v>
      </c>
      <c r="B155" t="s">
        <v>211</v>
      </c>
      <c r="C155" t="s">
        <v>212</v>
      </c>
      <c r="D155" t="s">
        <v>8</v>
      </c>
      <c r="G155" t="s">
        <v>611</v>
      </c>
      <c r="H155" t="s">
        <v>611</v>
      </c>
      <c r="K155" s="3"/>
      <c r="L155" t="s">
        <v>476</v>
      </c>
      <c r="M155" t="s">
        <v>1342</v>
      </c>
      <c r="N155" t="s">
        <v>211</v>
      </c>
      <c r="Z155"/>
      <c r="AA155"/>
    </row>
    <row r="156" spans="1:27" x14ac:dyDescent="0.3">
      <c r="A156">
        <v>1</v>
      </c>
      <c r="B156" t="s">
        <v>477</v>
      </c>
      <c r="C156" t="s">
        <v>213</v>
      </c>
      <c r="D156" t="s">
        <v>8</v>
      </c>
      <c r="G156" t="s">
        <v>612</v>
      </c>
      <c r="H156" t="s">
        <v>612</v>
      </c>
      <c r="K156" s="3"/>
      <c r="L156" t="s">
        <v>477</v>
      </c>
      <c r="M156" t="s">
        <v>1342</v>
      </c>
      <c r="Z156"/>
      <c r="AA156"/>
    </row>
    <row r="157" spans="1:27" x14ac:dyDescent="0.3">
      <c r="A157">
        <v>2</v>
      </c>
      <c r="B157" t="s">
        <v>214</v>
      </c>
      <c r="C157" t="s">
        <v>215</v>
      </c>
      <c r="D157" t="s">
        <v>8</v>
      </c>
      <c r="G157" t="s">
        <v>612</v>
      </c>
      <c r="H157" t="s">
        <v>612</v>
      </c>
      <c r="L157" t="s">
        <v>477</v>
      </c>
      <c r="M157" t="s">
        <v>1342</v>
      </c>
      <c r="N157" t="s">
        <v>214</v>
      </c>
      <c r="Z157"/>
      <c r="AA157"/>
    </row>
    <row r="158" spans="1:27" x14ac:dyDescent="0.3">
      <c r="A158">
        <v>1</v>
      </c>
      <c r="B158" t="s">
        <v>560</v>
      </c>
      <c r="C158" t="s">
        <v>216</v>
      </c>
      <c r="D158" t="s">
        <v>8</v>
      </c>
      <c r="E158" t="s">
        <v>1024</v>
      </c>
      <c r="G158" t="s">
        <v>1025</v>
      </c>
      <c r="H158" t="s">
        <v>1026</v>
      </c>
      <c r="I158" t="s">
        <v>1027</v>
      </c>
      <c r="K158" s="3">
        <v>340383312.75</v>
      </c>
      <c r="L158" t="s">
        <v>560</v>
      </c>
      <c r="M158" t="s">
        <v>1342</v>
      </c>
      <c r="Z158"/>
      <c r="AA158"/>
    </row>
    <row r="159" spans="1:27" x14ac:dyDescent="0.3">
      <c r="A159">
        <v>2</v>
      </c>
      <c r="B159" t="s">
        <v>217</v>
      </c>
      <c r="C159" t="s">
        <v>218</v>
      </c>
      <c r="D159" t="s">
        <v>8</v>
      </c>
      <c r="E159" t="s">
        <v>1024</v>
      </c>
      <c r="G159" t="s">
        <v>1025</v>
      </c>
      <c r="H159" t="s">
        <v>1026</v>
      </c>
      <c r="I159" t="s">
        <v>1027</v>
      </c>
      <c r="K159" s="3">
        <v>340383312.75</v>
      </c>
      <c r="L159" t="s">
        <v>560</v>
      </c>
      <c r="M159" t="s">
        <v>1342</v>
      </c>
      <c r="N159" t="s">
        <v>217</v>
      </c>
      <c r="O159">
        <v>340383312.75</v>
      </c>
      <c r="Z159"/>
      <c r="AA159"/>
    </row>
    <row r="160" spans="1:27" x14ac:dyDescent="0.3">
      <c r="A160">
        <v>1</v>
      </c>
      <c r="B160" t="s">
        <v>561</v>
      </c>
      <c r="C160" t="s">
        <v>219</v>
      </c>
      <c r="D160" t="s">
        <v>8</v>
      </c>
      <c r="G160" t="s">
        <v>692</v>
      </c>
      <c r="H160" t="s">
        <v>1028</v>
      </c>
      <c r="I160" t="s">
        <v>1029</v>
      </c>
      <c r="K160">
        <v>99074616.439999998</v>
      </c>
      <c r="L160" t="s">
        <v>561</v>
      </c>
      <c r="M160" t="s">
        <v>1342</v>
      </c>
      <c r="Z160"/>
      <c r="AA160"/>
    </row>
    <row r="161" spans="1:27" x14ac:dyDescent="0.3">
      <c r="A161">
        <v>2</v>
      </c>
      <c r="B161" t="s">
        <v>220</v>
      </c>
      <c r="C161" t="s">
        <v>221</v>
      </c>
      <c r="D161" t="s">
        <v>8</v>
      </c>
      <c r="G161" t="s">
        <v>692</v>
      </c>
      <c r="H161" t="s">
        <v>1028</v>
      </c>
      <c r="I161" t="s">
        <v>1029</v>
      </c>
      <c r="K161" s="3">
        <v>99074616.439999998</v>
      </c>
      <c r="L161" t="s">
        <v>561</v>
      </c>
      <c r="M161" t="s">
        <v>1342</v>
      </c>
      <c r="N161" t="s">
        <v>220</v>
      </c>
      <c r="O161">
        <v>99074616.439999998</v>
      </c>
      <c r="Z161"/>
      <c r="AA161"/>
    </row>
    <row r="162" spans="1:27" x14ac:dyDescent="0.3">
      <c r="A162">
        <v>1</v>
      </c>
      <c r="B162" t="s">
        <v>501</v>
      </c>
      <c r="C162" t="s">
        <v>222</v>
      </c>
      <c r="D162" t="s">
        <v>8</v>
      </c>
      <c r="G162" t="s">
        <v>669</v>
      </c>
      <c r="H162" t="s">
        <v>669</v>
      </c>
      <c r="L162" t="s">
        <v>501</v>
      </c>
      <c r="M162" t="s">
        <v>1342</v>
      </c>
      <c r="N162" t="s">
        <v>501</v>
      </c>
      <c r="Z162"/>
      <c r="AA162"/>
    </row>
    <row r="163" spans="1:27" x14ac:dyDescent="0.3">
      <c r="A163">
        <v>1</v>
      </c>
      <c r="B163" t="s">
        <v>562</v>
      </c>
      <c r="C163" t="s">
        <v>223</v>
      </c>
      <c r="D163" t="s">
        <v>8</v>
      </c>
      <c r="E163" t="s">
        <v>1030</v>
      </c>
      <c r="G163" t="s">
        <v>1031</v>
      </c>
      <c r="H163" t="s">
        <v>1032</v>
      </c>
      <c r="I163" t="s">
        <v>1033</v>
      </c>
      <c r="K163">
        <v>1159389816.4300001</v>
      </c>
      <c r="L163" t="s">
        <v>562</v>
      </c>
      <c r="M163" t="s">
        <v>1342</v>
      </c>
      <c r="N163" t="s">
        <v>562</v>
      </c>
      <c r="O163">
        <v>1159389816.4300001</v>
      </c>
      <c r="Z163"/>
      <c r="AA163"/>
    </row>
    <row r="164" spans="1:27" x14ac:dyDescent="0.3">
      <c r="A164">
        <v>1</v>
      </c>
      <c r="B164" t="s">
        <v>502</v>
      </c>
      <c r="C164" t="s">
        <v>224</v>
      </c>
      <c r="D164" t="s">
        <v>8</v>
      </c>
      <c r="G164" t="s">
        <v>670</v>
      </c>
      <c r="H164" t="s">
        <v>670</v>
      </c>
      <c r="K164" s="3"/>
      <c r="L164" t="s">
        <v>502</v>
      </c>
      <c r="M164" t="s">
        <v>1342</v>
      </c>
      <c r="N164" t="s">
        <v>502</v>
      </c>
      <c r="Z164"/>
      <c r="AA164"/>
    </row>
    <row r="165" spans="1:27" x14ac:dyDescent="0.3">
      <c r="A165">
        <v>1</v>
      </c>
      <c r="B165" t="s">
        <v>478</v>
      </c>
      <c r="C165" t="s">
        <v>225</v>
      </c>
      <c r="D165" t="s">
        <v>8</v>
      </c>
      <c r="E165" t="s">
        <v>1034</v>
      </c>
      <c r="G165" t="s">
        <v>1035</v>
      </c>
      <c r="H165" t="s">
        <v>1036</v>
      </c>
      <c r="I165" t="s">
        <v>1037</v>
      </c>
      <c r="K165" s="3">
        <v>6638159057.8500004</v>
      </c>
      <c r="L165" t="s">
        <v>478</v>
      </c>
      <c r="M165" t="s">
        <v>1342</v>
      </c>
      <c r="Z165"/>
      <c r="AA165"/>
    </row>
    <row r="166" spans="1:27" x14ac:dyDescent="0.3">
      <c r="A166">
        <v>2</v>
      </c>
      <c r="B166" t="s">
        <v>478</v>
      </c>
      <c r="C166" t="s">
        <v>225</v>
      </c>
      <c r="D166" t="s">
        <v>8</v>
      </c>
      <c r="E166" t="s">
        <v>1038</v>
      </c>
      <c r="G166" t="s">
        <v>1039</v>
      </c>
      <c r="I166" t="s">
        <v>1040</v>
      </c>
      <c r="K166">
        <v>214182037.28</v>
      </c>
      <c r="L166" t="s">
        <v>478</v>
      </c>
      <c r="M166" t="s">
        <v>1342</v>
      </c>
      <c r="N166" t="s">
        <v>478</v>
      </c>
      <c r="O166">
        <v>214182037.28</v>
      </c>
      <c r="Z166"/>
      <c r="AA166"/>
    </row>
    <row r="167" spans="1:27" x14ac:dyDescent="0.3">
      <c r="A167">
        <v>2</v>
      </c>
      <c r="B167" t="s">
        <v>226</v>
      </c>
      <c r="C167" t="s">
        <v>227</v>
      </c>
      <c r="D167" t="s">
        <v>8</v>
      </c>
      <c r="E167" t="s">
        <v>1041</v>
      </c>
      <c r="G167" t="s">
        <v>1042</v>
      </c>
      <c r="H167" t="s">
        <v>1041</v>
      </c>
      <c r="I167" t="s">
        <v>1042</v>
      </c>
      <c r="K167">
        <v>6400000000</v>
      </c>
      <c r="L167" t="s">
        <v>478</v>
      </c>
      <c r="M167" t="s">
        <v>1342</v>
      </c>
      <c r="N167" t="s">
        <v>226</v>
      </c>
      <c r="O167">
        <v>6400000000</v>
      </c>
      <c r="Z167"/>
      <c r="AA167"/>
    </row>
    <row r="168" spans="1:27" x14ac:dyDescent="0.3">
      <c r="A168">
        <v>2</v>
      </c>
      <c r="B168" t="s">
        <v>228</v>
      </c>
      <c r="C168" t="s">
        <v>229</v>
      </c>
      <c r="D168" t="s">
        <v>8</v>
      </c>
      <c r="E168" t="s">
        <v>711</v>
      </c>
      <c r="H168" t="s">
        <v>711</v>
      </c>
      <c r="K168" s="3"/>
      <c r="L168" t="s">
        <v>478</v>
      </c>
      <c r="M168" t="s">
        <v>1342</v>
      </c>
      <c r="N168" t="s">
        <v>228</v>
      </c>
      <c r="Z168"/>
      <c r="AA168"/>
    </row>
    <row r="169" spans="1:27" x14ac:dyDescent="0.3">
      <c r="A169">
        <v>2</v>
      </c>
      <c r="B169" t="s">
        <v>230</v>
      </c>
      <c r="C169" t="s">
        <v>231</v>
      </c>
      <c r="D169" t="s">
        <v>8</v>
      </c>
      <c r="E169" t="s">
        <v>1043</v>
      </c>
      <c r="G169" t="s">
        <v>617</v>
      </c>
      <c r="H169" t="s">
        <v>617</v>
      </c>
      <c r="I169" t="s">
        <v>1043</v>
      </c>
      <c r="K169">
        <v>23977020.57</v>
      </c>
      <c r="L169" t="s">
        <v>478</v>
      </c>
      <c r="M169" t="s">
        <v>1342</v>
      </c>
      <c r="N169" t="s">
        <v>230</v>
      </c>
      <c r="O169">
        <v>23977020.57</v>
      </c>
      <c r="Z169"/>
      <c r="AA169"/>
    </row>
    <row r="170" spans="1:27" x14ac:dyDescent="0.3">
      <c r="A170">
        <v>2</v>
      </c>
      <c r="B170" t="s">
        <v>232</v>
      </c>
      <c r="C170" t="s">
        <v>233</v>
      </c>
      <c r="D170" t="s">
        <v>8</v>
      </c>
      <c r="G170" t="s">
        <v>613</v>
      </c>
      <c r="H170" t="s">
        <v>613</v>
      </c>
      <c r="L170" t="s">
        <v>478</v>
      </c>
      <c r="M170" t="s">
        <v>1342</v>
      </c>
      <c r="N170" t="s">
        <v>232</v>
      </c>
      <c r="Z170"/>
      <c r="AA170"/>
    </row>
    <row r="171" spans="1:27" x14ac:dyDescent="0.3">
      <c r="A171">
        <v>2</v>
      </c>
      <c r="B171" t="s">
        <v>234</v>
      </c>
      <c r="C171" t="s">
        <v>235</v>
      </c>
      <c r="D171" t="s">
        <v>8</v>
      </c>
      <c r="E171" t="s">
        <v>712</v>
      </c>
      <c r="G171" t="s">
        <v>713</v>
      </c>
      <c r="H171" t="s">
        <v>714</v>
      </c>
      <c r="L171" t="s">
        <v>478</v>
      </c>
      <c r="M171" t="s">
        <v>1342</v>
      </c>
      <c r="N171" t="s">
        <v>234</v>
      </c>
      <c r="Z171"/>
      <c r="AA171"/>
    </row>
    <row r="172" spans="1:27" x14ac:dyDescent="0.3">
      <c r="A172">
        <v>2</v>
      </c>
      <c r="B172" t="s">
        <v>236</v>
      </c>
      <c r="C172" t="s">
        <v>237</v>
      </c>
      <c r="D172" t="s">
        <v>8</v>
      </c>
      <c r="E172" t="s">
        <v>715</v>
      </c>
      <c r="G172" t="s">
        <v>716</v>
      </c>
      <c r="H172" t="s">
        <v>717</v>
      </c>
      <c r="K172" s="3"/>
      <c r="L172" t="s">
        <v>478</v>
      </c>
      <c r="M172" t="s">
        <v>1342</v>
      </c>
      <c r="N172" t="s">
        <v>236</v>
      </c>
      <c r="Z172"/>
      <c r="AA172"/>
    </row>
    <row r="173" spans="1:27" x14ac:dyDescent="0.3">
      <c r="A173">
        <v>1</v>
      </c>
      <c r="B173" t="s">
        <v>526</v>
      </c>
      <c r="C173" t="s">
        <v>238</v>
      </c>
      <c r="D173" t="s">
        <v>8</v>
      </c>
      <c r="E173" t="s">
        <v>1044</v>
      </c>
      <c r="G173" t="s">
        <v>1045</v>
      </c>
      <c r="H173" t="s">
        <v>1046</v>
      </c>
      <c r="I173" t="s">
        <v>1047</v>
      </c>
      <c r="K173" s="3">
        <v>19012539824.610001</v>
      </c>
      <c r="L173" t="s">
        <v>526</v>
      </c>
      <c r="M173" t="s">
        <v>1342</v>
      </c>
      <c r="Z173"/>
      <c r="AA173"/>
    </row>
    <row r="174" spans="1:27" x14ac:dyDescent="0.3">
      <c r="A174">
        <v>2</v>
      </c>
      <c r="B174" t="s">
        <v>239</v>
      </c>
      <c r="C174" t="s">
        <v>240</v>
      </c>
      <c r="D174" t="s">
        <v>8</v>
      </c>
      <c r="E174" t="s">
        <v>718</v>
      </c>
      <c r="G174" t="s">
        <v>719</v>
      </c>
      <c r="H174" t="s">
        <v>720</v>
      </c>
      <c r="K174" s="3"/>
      <c r="L174" t="s">
        <v>526</v>
      </c>
      <c r="M174" t="s">
        <v>1342</v>
      </c>
      <c r="N174" t="s">
        <v>239</v>
      </c>
      <c r="Z174"/>
      <c r="AA174"/>
    </row>
    <row r="175" spans="1:27" x14ac:dyDescent="0.3">
      <c r="A175">
        <v>2</v>
      </c>
      <c r="B175" t="s">
        <v>241</v>
      </c>
      <c r="C175" t="s">
        <v>242</v>
      </c>
      <c r="D175" t="s">
        <v>8</v>
      </c>
      <c r="E175" t="s">
        <v>1048</v>
      </c>
      <c r="G175" t="s">
        <v>1049</v>
      </c>
      <c r="H175" t="s">
        <v>1050</v>
      </c>
      <c r="I175" t="s">
        <v>1047</v>
      </c>
      <c r="K175" s="3">
        <v>19012539824.610001</v>
      </c>
      <c r="L175" t="s">
        <v>526</v>
      </c>
      <c r="M175" t="s">
        <v>1342</v>
      </c>
      <c r="N175" t="s">
        <v>241</v>
      </c>
      <c r="O175">
        <v>19012539824.610001</v>
      </c>
      <c r="Z175"/>
      <c r="AA175"/>
    </row>
    <row r="176" spans="1:27" x14ac:dyDescent="0.3">
      <c r="A176">
        <v>1</v>
      </c>
      <c r="B176" t="s">
        <v>249</v>
      </c>
      <c r="C176" t="s">
        <v>250</v>
      </c>
      <c r="D176" t="s">
        <v>8</v>
      </c>
      <c r="G176" t="s">
        <v>1062</v>
      </c>
      <c r="H176" t="s">
        <v>1063</v>
      </c>
      <c r="I176" t="s">
        <v>1064</v>
      </c>
      <c r="K176" s="3">
        <v>656611400</v>
      </c>
      <c r="L176" t="s">
        <v>249</v>
      </c>
      <c r="M176" t="s">
        <v>1342</v>
      </c>
      <c r="N176" t="s">
        <v>249</v>
      </c>
      <c r="O176">
        <v>656611400</v>
      </c>
      <c r="Z176"/>
      <c r="AA176"/>
    </row>
    <row r="177" spans="1:27" x14ac:dyDescent="0.3">
      <c r="A177">
        <v>1</v>
      </c>
      <c r="B177" t="s">
        <v>251</v>
      </c>
      <c r="C177" t="s">
        <v>252</v>
      </c>
      <c r="D177" t="s">
        <v>8</v>
      </c>
      <c r="G177" t="s">
        <v>1065</v>
      </c>
      <c r="H177" t="s">
        <v>1066</v>
      </c>
      <c r="I177" t="s">
        <v>1067</v>
      </c>
      <c r="K177">
        <v>700000000</v>
      </c>
      <c r="L177" t="s">
        <v>251</v>
      </c>
      <c r="M177" t="s">
        <v>1342</v>
      </c>
      <c r="N177" t="s">
        <v>251</v>
      </c>
      <c r="O177">
        <v>700000000</v>
      </c>
      <c r="Z177"/>
      <c r="AA177"/>
    </row>
    <row r="178" spans="1:27" x14ac:dyDescent="0.3">
      <c r="A178">
        <v>1</v>
      </c>
      <c r="B178" t="s">
        <v>243</v>
      </c>
      <c r="C178" t="s">
        <v>244</v>
      </c>
      <c r="D178" t="s">
        <v>8</v>
      </c>
      <c r="E178" t="s">
        <v>1051</v>
      </c>
      <c r="G178" t="s">
        <v>1052</v>
      </c>
      <c r="H178" t="s">
        <v>1053</v>
      </c>
      <c r="I178" t="s">
        <v>1054</v>
      </c>
      <c r="K178">
        <v>11695940865.57</v>
      </c>
      <c r="L178" t="s">
        <v>243</v>
      </c>
      <c r="M178" t="s">
        <v>1342</v>
      </c>
      <c r="N178" t="s">
        <v>243</v>
      </c>
      <c r="O178">
        <v>11695940865.57</v>
      </c>
      <c r="Z178"/>
      <c r="AA178"/>
    </row>
    <row r="179" spans="1:27" x14ac:dyDescent="0.3">
      <c r="A179">
        <v>1</v>
      </c>
      <c r="B179" t="s">
        <v>245</v>
      </c>
      <c r="C179" t="s">
        <v>246</v>
      </c>
      <c r="D179" t="s">
        <v>8</v>
      </c>
      <c r="E179" t="s">
        <v>1055</v>
      </c>
      <c r="G179" t="s">
        <v>1056</v>
      </c>
      <c r="H179" t="s">
        <v>1057</v>
      </c>
      <c r="I179" t="s">
        <v>1058</v>
      </c>
      <c r="K179">
        <v>55581212.240000002</v>
      </c>
      <c r="L179" t="s">
        <v>245</v>
      </c>
      <c r="M179" t="s">
        <v>1342</v>
      </c>
      <c r="N179" t="s">
        <v>245</v>
      </c>
      <c r="O179">
        <v>55581212.240000002</v>
      </c>
      <c r="Z179"/>
      <c r="AA179"/>
    </row>
    <row r="180" spans="1:27" x14ac:dyDescent="0.3">
      <c r="A180">
        <v>1</v>
      </c>
      <c r="B180" t="s">
        <v>247</v>
      </c>
      <c r="C180" t="s">
        <v>248</v>
      </c>
      <c r="D180" t="s">
        <v>8</v>
      </c>
      <c r="E180" t="s">
        <v>1059</v>
      </c>
      <c r="G180" t="s">
        <v>1060</v>
      </c>
      <c r="H180" t="s">
        <v>1060</v>
      </c>
      <c r="I180" t="s">
        <v>1061</v>
      </c>
      <c r="K180">
        <v>2434979.73</v>
      </c>
      <c r="L180" t="s">
        <v>247</v>
      </c>
      <c r="M180" t="s">
        <v>1342</v>
      </c>
      <c r="N180" t="s">
        <v>247</v>
      </c>
      <c r="O180">
        <v>2434979.73</v>
      </c>
      <c r="Z180"/>
      <c r="AA180"/>
    </row>
    <row r="181" spans="1:27" x14ac:dyDescent="0.3">
      <c r="A181">
        <v>1</v>
      </c>
      <c r="B181" t="s">
        <v>479</v>
      </c>
      <c r="C181" t="s">
        <v>253</v>
      </c>
      <c r="D181" t="s">
        <v>8</v>
      </c>
      <c r="E181" t="s">
        <v>1068</v>
      </c>
      <c r="G181" t="s">
        <v>1069</v>
      </c>
      <c r="H181" t="s">
        <v>1070</v>
      </c>
      <c r="I181" t="s">
        <v>1071</v>
      </c>
      <c r="K181" s="3">
        <v>1096516066.5799999</v>
      </c>
      <c r="L181" t="s">
        <v>479</v>
      </c>
      <c r="M181" t="s">
        <v>1342</v>
      </c>
      <c r="Z181"/>
      <c r="AA181"/>
    </row>
    <row r="182" spans="1:27" x14ac:dyDescent="0.3">
      <c r="A182">
        <v>2</v>
      </c>
      <c r="B182" t="s">
        <v>254</v>
      </c>
      <c r="C182" t="s">
        <v>255</v>
      </c>
      <c r="D182" t="s">
        <v>8</v>
      </c>
      <c r="E182" t="s">
        <v>1072</v>
      </c>
      <c r="G182" t="s">
        <v>1073</v>
      </c>
      <c r="H182" t="s">
        <v>1074</v>
      </c>
      <c r="I182" t="s">
        <v>1075</v>
      </c>
      <c r="K182" s="3">
        <v>505931.48</v>
      </c>
      <c r="L182" t="s">
        <v>479</v>
      </c>
      <c r="M182" t="s">
        <v>1342</v>
      </c>
      <c r="N182" t="s">
        <v>254</v>
      </c>
      <c r="O182">
        <v>505931.48</v>
      </c>
      <c r="Z182"/>
      <c r="AA182"/>
    </row>
    <row r="183" spans="1:27" x14ac:dyDescent="0.3">
      <c r="A183">
        <v>2</v>
      </c>
      <c r="B183" t="s">
        <v>256</v>
      </c>
      <c r="C183" t="s">
        <v>257</v>
      </c>
      <c r="D183" t="s">
        <v>8</v>
      </c>
      <c r="E183" t="s">
        <v>1076</v>
      </c>
      <c r="G183" t="s">
        <v>1077</v>
      </c>
      <c r="H183" t="s">
        <v>1078</v>
      </c>
      <c r="I183" t="s">
        <v>1079</v>
      </c>
      <c r="K183">
        <v>696379268.91999996</v>
      </c>
      <c r="L183" t="s">
        <v>479</v>
      </c>
      <c r="M183" t="s">
        <v>1342</v>
      </c>
      <c r="N183" t="s">
        <v>256</v>
      </c>
      <c r="O183">
        <v>696379268.91999996</v>
      </c>
      <c r="Z183"/>
      <c r="AA183"/>
    </row>
    <row r="184" spans="1:27" x14ac:dyDescent="0.3">
      <c r="A184">
        <v>2</v>
      </c>
      <c r="B184" t="s">
        <v>258</v>
      </c>
      <c r="C184" t="s">
        <v>259</v>
      </c>
      <c r="D184" t="s">
        <v>8</v>
      </c>
      <c r="G184" t="s">
        <v>614</v>
      </c>
      <c r="H184" t="s">
        <v>614</v>
      </c>
      <c r="K184" s="3"/>
      <c r="L184" t="s">
        <v>479</v>
      </c>
      <c r="M184" t="s">
        <v>1342</v>
      </c>
      <c r="N184" t="s">
        <v>258</v>
      </c>
      <c r="Z184"/>
      <c r="AA184"/>
    </row>
    <row r="185" spans="1:27" x14ac:dyDescent="0.3">
      <c r="A185">
        <v>2</v>
      </c>
      <c r="B185" t="s">
        <v>260</v>
      </c>
      <c r="C185" t="s">
        <v>261</v>
      </c>
      <c r="D185" t="s">
        <v>8</v>
      </c>
      <c r="G185" t="s">
        <v>615</v>
      </c>
      <c r="H185" t="s">
        <v>615</v>
      </c>
      <c r="L185" t="s">
        <v>479</v>
      </c>
      <c r="M185" t="s">
        <v>1342</v>
      </c>
      <c r="N185" t="s">
        <v>260</v>
      </c>
      <c r="Z185"/>
      <c r="AA185"/>
    </row>
    <row r="186" spans="1:27" x14ac:dyDescent="0.3">
      <c r="A186">
        <v>2</v>
      </c>
      <c r="B186" t="s">
        <v>262</v>
      </c>
      <c r="C186" t="s">
        <v>263</v>
      </c>
      <c r="D186" t="s">
        <v>8</v>
      </c>
      <c r="E186" t="s">
        <v>1080</v>
      </c>
      <c r="G186" t="s">
        <v>1081</v>
      </c>
      <c r="H186" t="s">
        <v>1082</v>
      </c>
      <c r="I186" t="s">
        <v>1083</v>
      </c>
      <c r="K186" s="3">
        <v>399630866.18000001</v>
      </c>
      <c r="L186" t="s">
        <v>479</v>
      </c>
      <c r="M186" t="s">
        <v>1342</v>
      </c>
      <c r="N186" t="s">
        <v>262</v>
      </c>
      <c r="O186">
        <v>399630866.18000001</v>
      </c>
      <c r="Z186"/>
      <c r="AA186"/>
    </row>
    <row r="187" spans="1:27" x14ac:dyDescent="0.3">
      <c r="A187">
        <v>1</v>
      </c>
      <c r="B187" t="s">
        <v>480</v>
      </c>
      <c r="C187" t="s">
        <v>264</v>
      </c>
      <c r="D187" t="s">
        <v>8</v>
      </c>
      <c r="E187" t="s">
        <v>721</v>
      </c>
      <c r="G187" t="s">
        <v>722</v>
      </c>
      <c r="H187" t="s">
        <v>722</v>
      </c>
      <c r="L187" t="s">
        <v>480</v>
      </c>
      <c r="M187" t="s">
        <v>1342</v>
      </c>
      <c r="Z187"/>
      <c r="AA187"/>
    </row>
    <row r="188" spans="1:27" x14ac:dyDescent="0.3">
      <c r="A188">
        <v>2</v>
      </c>
      <c r="B188" t="s">
        <v>265</v>
      </c>
      <c r="C188" t="s">
        <v>266</v>
      </c>
      <c r="D188" t="s">
        <v>8</v>
      </c>
      <c r="G188" t="s">
        <v>616</v>
      </c>
      <c r="H188" t="s">
        <v>616</v>
      </c>
      <c r="K188" s="3"/>
      <c r="L188" t="s">
        <v>480</v>
      </c>
      <c r="M188" t="s">
        <v>1342</v>
      </c>
      <c r="N188" t="s">
        <v>265</v>
      </c>
      <c r="Z188"/>
      <c r="AA188"/>
    </row>
    <row r="189" spans="1:27" x14ac:dyDescent="0.3">
      <c r="A189">
        <v>2</v>
      </c>
      <c r="B189" t="s">
        <v>267</v>
      </c>
      <c r="C189" t="s">
        <v>268</v>
      </c>
      <c r="D189" t="s">
        <v>8</v>
      </c>
      <c r="G189" t="s">
        <v>617</v>
      </c>
      <c r="H189" t="s">
        <v>617</v>
      </c>
      <c r="K189" s="3"/>
      <c r="L189" t="s">
        <v>480</v>
      </c>
      <c r="M189" t="s">
        <v>1342</v>
      </c>
      <c r="N189" t="s">
        <v>267</v>
      </c>
      <c r="Z189"/>
      <c r="AA189"/>
    </row>
    <row r="190" spans="1:27" x14ac:dyDescent="0.3">
      <c r="A190">
        <v>2</v>
      </c>
      <c r="B190" t="s">
        <v>269</v>
      </c>
      <c r="C190" t="s">
        <v>270</v>
      </c>
      <c r="D190" t="s">
        <v>8</v>
      </c>
      <c r="E190" t="s">
        <v>721</v>
      </c>
      <c r="G190" t="s">
        <v>723</v>
      </c>
      <c r="H190" t="s">
        <v>723</v>
      </c>
      <c r="K190" s="3"/>
      <c r="L190" t="s">
        <v>480</v>
      </c>
      <c r="M190" t="s">
        <v>1342</v>
      </c>
      <c r="N190" t="s">
        <v>269</v>
      </c>
      <c r="Z190"/>
      <c r="AA190"/>
    </row>
    <row r="191" spans="1:27" x14ac:dyDescent="0.3">
      <c r="A191">
        <v>2</v>
      </c>
      <c r="B191" t="s">
        <v>271</v>
      </c>
      <c r="C191" t="s">
        <v>272</v>
      </c>
      <c r="D191" t="s">
        <v>8</v>
      </c>
      <c r="G191" t="s">
        <v>618</v>
      </c>
      <c r="H191" t="s">
        <v>618</v>
      </c>
      <c r="L191" t="s">
        <v>480</v>
      </c>
      <c r="M191" t="s">
        <v>1342</v>
      </c>
      <c r="N191" t="s">
        <v>271</v>
      </c>
      <c r="Z191"/>
      <c r="AA191"/>
    </row>
    <row r="192" spans="1:27" x14ac:dyDescent="0.3">
      <c r="A192">
        <v>1</v>
      </c>
      <c r="B192" t="s">
        <v>527</v>
      </c>
      <c r="C192" t="s">
        <v>273</v>
      </c>
      <c r="D192" t="s">
        <v>8</v>
      </c>
      <c r="E192" t="s">
        <v>1084</v>
      </c>
      <c r="G192" t="s">
        <v>1085</v>
      </c>
      <c r="H192" t="s">
        <v>1086</v>
      </c>
      <c r="I192" t="s">
        <v>1087</v>
      </c>
      <c r="K192" s="3">
        <v>145218836.81999999</v>
      </c>
      <c r="L192" t="s">
        <v>527</v>
      </c>
      <c r="M192" t="s">
        <v>1342</v>
      </c>
      <c r="Z192"/>
      <c r="AA192"/>
    </row>
    <row r="193" spans="1:27" x14ac:dyDescent="0.3">
      <c r="A193">
        <v>2</v>
      </c>
      <c r="B193" t="s">
        <v>274</v>
      </c>
      <c r="C193" t="s">
        <v>275</v>
      </c>
      <c r="D193" t="s">
        <v>8</v>
      </c>
      <c r="E193" t="s">
        <v>724</v>
      </c>
      <c r="G193" t="s">
        <v>725</v>
      </c>
      <c r="H193" t="s">
        <v>726</v>
      </c>
      <c r="K193" s="3"/>
      <c r="L193" t="s">
        <v>527</v>
      </c>
      <c r="M193" t="s">
        <v>1342</v>
      </c>
      <c r="N193" t="s">
        <v>274</v>
      </c>
      <c r="Z193"/>
      <c r="AA193"/>
    </row>
    <row r="194" spans="1:27" x14ac:dyDescent="0.3">
      <c r="A194">
        <v>2</v>
      </c>
      <c r="B194" t="s">
        <v>276</v>
      </c>
      <c r="C194" t="s">
        <v>277</v>
      </c>
      <c r="D194" t="s">
        <v>8</v>
      </c>
      <c r="E194" t="s">
        <v>1088</v>
      </c>
      <c r="G194" t="s">
        <v>1089</v>
      </c>
      <c r="H194" t="s">
        <v>1090</v>
      </c>
      <c r="I194" t="s">
        <v>1091</v>
      </c>
      <c r="K194" s="3">
        <v>22163660.48</v>
      </c>
      <c r="L194" t="s">
        <v>527</v>
      </c>
      <c r="M194" t="s">
        <v>1342</v>
      </c>
      <c r="N194" t="s">
        <v>276</v>
      </c>
      <c r="O194">
        <v>22163660.48</v>
      </c>
      <c r="Z194"/>
      <c r="AA194"/>
    </row>
    <row r="195" spans="1:27" x14ac:dyDescent="0.3">
      <c r="A195">
        <v>2</v>
      </c>
      <c r="B195" t="s">
        <v>278</v>
      </c>
      <c r="C195" t="s">
        <v>279</v>
      </c>
      <c r="D195" t="s">
        <v>8</v>
      </c>
      <c r="E195" t="s">
        <v>1092</v>
      </c>
      <c r="G195" t="s">
        <v>1093</v>
      </c>
      <c r="H195" t="s">
        <v>1094</v>
      </c>
      <c r="I195" t="s">
        <v>1095</v>
      </c>
      <c r="K195" s="3">
        <v>50880744.509999998</v>
      </c>
      <c r="L195" t="s">
        <v>527</v>
      </c>
      <c r="M195" t="s">
        <v>1342</v>
      </c>
      <c r="N195" t="s">
        <v>278</v>
      </c>
      <c r="O195">
        <v>50880744.509999998</v>
      </c>
      <c r="Z195"/>
      <c r="AA195"/>
    </row>
    <row r="196" spans="1:27" x14ac:dyDescent="0.3">
      <c r="A196">
        <v>2</v>
      </c>
      <c r="B196" t="s">
        <v>280</v>
      </c>
      <c r="C196" t="s">
        <v>281</v>
      </c>
      <c r="D196" t="s">
        <v>8</v>
      </c>
      <c r="E196" t="s">
        <v>1096</v>
      </c>
      <c r="G196" t="s">
        <v>1097</v>
      </c>
      <c r="H196" t="s">
        <v>1098</v>
      </c>
      <c r="I196" t="s">
        <v>1099</v>
      </c>
      <c r="K196">
        <v>72174431.829999998</v>
      </c>
      <c r="L196" t="s">
        <v>527</v>
      </c>
      <c r="M196" t="s">
        <v>1342</v>
      </c>
      <c r="N196" t="s">
        <v>280</v>
      </c>
      <c r="O196">
        <v>72174431.829999998</v>
      </c>
      <c r="Z196"/>
      <c r="AA196"/>
    </row>
    <row r="197" spans="1:27" x14ac:dyDescent="0.3">
      <c r="A197">
        <v>1</v>
      </c>
      <c r="B197" t="s">
        <v>563</v>
      </c>
      <c r="C197" t="s">
        <v>282</v>
      </c>
      <c r="D197" t="s">
        <v>8</v>
      </c>
      <c r="E197" t="s">
        <v>1100</v>
      </c>
      <c r="G197" t="s">
        <v>1101</v>
      </c>
      <c r="H197" t="s">
        <v>1102</v>
      </c>
      <c r="I197" t="s">
        <v>1103</v>
      </c>
      <c r="K197">
        <v>1225782111.3599999</v>
      </c>
      <c r="L197" t="s">
        <v>563</v>
      </c>
      <c r="M197" t="s">
        <v>1342</v>
      </c>
      <c r="N197" t="s">
        <v>563</v>
      </c>
      <c r="O197">
        <v>1225782111.3599999</v>
      </c>
      <c r="Z197"/>
      <c r="AA197"/>
    </row>
    <row r="198" spans="1:27" x14ac:dyDescent="0.3">
      <c r="A198">
        <v>1</v>
      </c>
      <c r="B198" t="s">
        <v>564</v>
      </c>
      <c r="C198" t="s">
        <v>283</v>
      </c>
      <c r="D198" t="s">
        <v>8</v>
      </c>
      <c r="E198" t="s">
        <v>1104</v>
      </c>
      <c r="G198" t="s">
        <v>1105</v>
      </c>
      <c r="H198" t="s">
        <v>1106</v>
      </c>
      <c r="I198" t="s">
        <v>1107</v>
      </c>
      <c r="K198" s="3">
        <v>797388201.63</v>
      </c>
      <c r="L198" t="s">
        <v>564</v>
      </c>
      <c r="M198" t="s">
        <v>1342</v>
      </c>
      <c r="N198" t="s">
        <v>564</v>
      </c>
      <c r="O198">
        <v>797388201.63</v>
      </c>
      <c r="Z198"/>
      <c r="AA198"/>
    </row>
    <row r="199" spans="1:27" x14ac:dyDescent="0.3">
      <c r="A199">
        <v>1</v>
      </c>
      <c r="B199" t="s">
        <v>528</v>
      </c>
      <c r="C199" t="s">
        <v>284</v>
      </c>
      <c r="D199" t="s">
        <v>8</v>
      </c>
      <c r="E199" t="s">
        <v>727</v>
      </c>
      <c r="G199" t="s">
        <v>728</v>
      </c>
      <c r="H199" t="s">
        <v>729</v>
      </c>
      <c r="K199" s="3"/>
      <c r="L199" t="s">
        <v>528</v>
      </c>
      <c r="M199" t="s">
        <v>1342</v>
      </c>
      <c r="N199" t="s">
        <v>528</v>
      </c>
      <c r="Z199"/>
      <c r="AA199"/>
    </row>
    <row r="200" spans="1:27" x14ac:dyDescent="0.3">
      <c r="A200">
        <v>1</v>
      </c>
      <c r="B200" t="s">
        <v>503</v>
      </c>
      <c r="C200" t="s">
        <v>285</v>
      </c>
      <c r="D200" t="s">
        <v>8</v>
      </c>
      <c r="G200" t="s">
        <v>671</v>
      </c>
      <c r="H200" t="s">
        <v>671</v>
      </c>
      <c r="L200" t="s">
        <v>503</v>
      </c>
      <c r="M200" t="s">
        <v>1342</v>
      </c>
      <c r="N200" t="s">
        <v>503</v>
      </c>
      <c r="Z200"/>
      <c r="AA200"/>
    </row>
    <row r="201" spans="1:27" x14ac:dyDescent="0.3">
      <c r="A201">
        <v>1</v>
      </c>
      <c r="B201" t="s">
        <v>529</v>
      </c>
      <c r="C201" t="s">
        <v>286</v>
      </c>
      <c r="D201" t="s">
        <v>8</v>
      </c>
      <c r="E201" t="s">
        <v>730</v>
      </c>
      <c r="G201" t="s">
        <v>731</v>
      </c>
      <c r="H201" t="s">
        <v>731</v>
      </c>
      <c r="L201" t="s">
        <v>529</v>
      </c>
      <c r="M201" t="s">
        <v>1342</v>
      </c>
      <c r="N201" t="s">
        <v>529</v>
      </c>
      <c r="Z201"/>
      <c r="AA201"/>
    </row>
    <row r="202" spans="1:27" x14ac:dyDescent="0.3">
      <c r="A202">
        <v>1</v>
      </c>
      <c r="B202" t="s">
        <v>504</v>
      </c>
      <c r="C202" t="s">
        <v>287</v>
      </c>
      <c r="D202" t="s">
        <v>8</v>
      </c>
      <c r="G202" t="s">
        <v>672</v>
      </c>
      <c r="H202" t="s">
        <v>672</v>
      </c>
      <c r="L202" t="s">
        <v>504</v>
      </c>
      <c r="M202" t="s">
        <v>1342</v>
      </c>
      <c r="N202" t="s">
        <v>504</v>
      </c>
      <c r="Z202"/>
      <c r="AA202"/>
    </row>
    <row r="203" spans="1:27" x14ac:dyDescent="0.3">
      <c r="A203">
        <v>1</v>
      </c>
      <c r="B203" t="s">
        <v>565</v>
      </c>
      <c r="C203" t="s">
        <v>288</v>
      </c>
      <c r="D203" t="s">
        <v>8</v>
      </c>
      <c r="G203" t="s">
        <v>1108</v>
      </c>
      <c r="H203" t="s">
        <v>1109</v>
      </c>
      <c r="I203" t="s">
        <v>1110</v>
      </c>
      <c r="K203">
        <v>3860000000</v>
      </c>
      <c r="L203" t="s">
        <v>565</v>
      </c>
      <c r="M203" t="s">
        <v>1342</v>
      </c>
      <c r="N203" t="s">
        <v>565</v>
      </c>
      <c r="O203">
        <v>3860000000</v>
      </c>
      <c r="Z203"/>
      <c r="AA203"/>
    </row>
    <row r="204" spans="1:27" x14ac:dyDescent="0.3">
      <c r="A204">
        <v>1</v>
      </c>
      <c r="B204" t="s">
        <v>566</v>
      </c>
      <c r="C204" t="s">
        <v>289</v>
      </c>
      <c r="D204" t="s">
        <v>8</v>
      </c>
      <c r="E204" t="s">
        <v>1111</v>
      </c>
      <c r="G204" t="s">
        <v>1112</v>
      </c>
      <c r="H204" t="s">
        <v>1111</v>
      </c>
      <c r="I204" t="s">
        <v>1112</v>
      </c>
      <c r="K204">
        <v>68926849.670000002</v>
      </c>
      <c r="L204" t="s">
        <v>566</v>
      </c>
      <c r="M204" t="s">
        <v>1342</v>
      </c>
      <c r="N204" t="s">
        <v>566</v>
      </c>
      <c r="O204">
        <v>68926849.670000002</v>
      </c>
      <c r="Z204"/>
      <c r="AA204"/>
    </row>
    <row r="205" spans="1:27" x14ac:dyDescent="0.3">
      <c r="A205">
        <v>2</v>
      </c>
      <c r="B205" t="s">
        <v>481</v>
      </c>
      <c r="C205" t="s">
        <v>290</v>
      </c>
      <c r="D205" t="s">
        <v>8</v>
      </c>
      <c r="G205" t="s">
        <v>619</v>
      </c>
      <c r="H205" t="s">
        <v>619</v>
      </c>
      <c r="K205" s="3"/>
      <c r="L205" t="s">
        <v>481</v>
      </c>
      <c r="M205" t="s">
        <v>1342</v>
      </c>
      <c r="N205" t="s">
        <v>481</v>
      </c>
      <c r="Z205"/>
      <c r="AA205"/>
    </row>
    <row r="206" spans="1:27" x14ac:dyDescent="0.3">
      <c r="A206">
        <v>1</v>
      </c>
      <c r="B206" t="s">
        <v>481</v>
      </c>
      <c r="C206" t="s">
        <v>290</v>
      </c>
      <c r="D206" t="s">
        <v>8</v>
      </c>
      <c r="F206" t="s">
        <v>1189</v>
      </c>
      <c r="G206" t="s">
        <v>1190</v>
      </c>
      <c r="H206" t="s">
        <v>1191</v>
      </c>
      <c r="J206" t="s">
        <v>1192</v>
      </c>
      <c r="K206">
        <v>-1023395881081.15</v>
      </c>
      <c r="L206" t="s">
        <v>481</v>
      </c>
      <c r="M206" t="s">
        <v>1342</v>
      </c>
      <c r="Z206"/>
      <c r="AA206"/>
    </row>
    <row r="207" spans="1:27" x14ac:dyDescent="0.3">
      <c r="A207">
        <v>2</v>
      </c>
      <c r="B207" t="s">
        <v>291</v>
      </c>
      <c r="C207" t="s">
        <v>292</v>
      </c>
      <c r="D207" t="s">
        <v>8</v>
      </c>
      <c r="F207" t="s">
        <v>1189</v>
      </c>
      <c r="G207" t="s">
        <v>1193</v>
      </c>
      <c r="H207" t="s">
        <v>1191</v>
      </c>
      <c r="J207" t="s">
        <v>1192</v>
      </c>
      <c r="K207">
        <v>-1023395881081.15</v>
      </c>
      <c r="L207" t="s">
        <v>481</v>
      </c>
      <c r="M207" t="s">
        <v>1342</v>
      </c>
      <c r="N207" t="s">
        <v>291</v>
      </c>
      <c r="O207">
        <v>-1023395881081.15</v>
      </c>
      <c r="Z207"/>
      <c r="AA207"/>
    </row>
    <row r="208" spans="1:27" x14ac:dyDescent="0.3">
      <c r="A208">
        <v>2</v>
      </c>
      <c r="B208" t="s">
        <v>482</v>
      </c>
      <c r="C208" t="s">
        <v>293</v>
      </c>
      <c r="D208" t="s">
        <v>8</v>
      </c>
      <c r="G208" t="s">
        <v>620</v>
      </c>
      <c r="H208" t="s">
        <v>620</v>
      </c>
      <c r="L208" t="s">
        <v>482</v>
      </c>
      <c r="M208" t="s">
        <v>1342</v>
      </c>
      <c r="N208" t="s">
        <v>482</v>
      </c>
      <c r="Z208"/>
      <c r="AA208"/>
    </row>
    <row r="209" spans="1:27" x14ac:dyDescent="0.3">
      <c r="A209">
        <v>1</v>
      </c>
      <c r="B209" t="s">
        <v>482</v>
      </c>
      <c r="C209" t="s">
        <v>293</v>
      </c>
      <c r="D209" t="s">
        <v>8</v>
      </c>
      <c r="F209" t="s">
        <v>1194</v>
      </c>
      <c r="G209" t="s">
        <v>1195</v>
      </c>
      <c r="H209" t="s">
        <v>1196</v>
      </c>
      <c r="J209" t="s">
        <v>1197</v>
      </c>
      <c r="K209">
        <v>-2220526068911.98</v>
      </c>
      <c r="L209" t="s">
        <v>482</v>
      </c>
      <c r="M209" t="s">
        <v>1342</v>
      </c>
      <c r="Z209"/>
      <c r="AA209"/>
    </row>
    <row r="210" spans="1:27" x14ac:dyDescent="0.3">
      <c r="A210">
        <v>2</v>
      </c>
      <c r="B210" t="s">
        <v>294</v>
      </c>
      <c r="C210" t="s">
        <v>293</v>
      </c>
      <c r="D210" t="s">
        <v>8</v>
      </c>
      <c r="F210" t="s">
        <v>1194</v>
      </c>
      <c r="G210" t="s">
        <v>1198</v>
      </c>
      <c r="H210" t="s">
        <v>1199</v>
      </c>
      <c r="J210" t="s">
        <v>1197</v>
      </c>
      <c r="K210" s="3">
        <v>-2220526068911.98</v>
      </c>
      <c r="L210" t="s">
        <v>482</v>
      </c>
      <c r="M210" t="s">
        <v>1342</v>
      </c>
      <c r="N210" t="s">
        <v>294</v>
      </c>
      <c r="O210">
        <v>-2220526068911.98</v>
      </c>
      <c r="Z210"/>
      <c r="AA210"/>
    </row>
    <row r="211" spans="1:27" x14ac:dyDescent="0.3">
      <c r="A211">
        <v>1</v>
      </c>
      <c r="B211" t="s">
        <v>572</v>
      </c>
      <c r="C211" t="s">
        <v>295</v>
      </c>
      <c r="D211" t="s">
        <v>8</v>
      </c>
      <c r="F211" t="s">
        <v>1200</v>
      </c>
      <c r="G211" t="s">
        <v>1201</v>
      </c>
      <c r="J211" t="s">
        <v>1202</v>
      </c>
      <c r="K211">
        <v>-7579436984.0500002</v>
      </c>
      <c r="L211" t="s">
        <v>572</v>
      </c>
      <c r="M211" t="s">
        <v>1342</v>
      </c>
      <c r="N211" t="s">
        <v>572</v>
      </c>
      <c r="O211">
        <v>-7579436984.0500002</v>
      </c>
      <c r="Z211"/>
      <c r="AA211"/>
    </row>
    <row r="212" spans="1:27" x14ac:dyDescent="0.3">
      <c r="A212">
        <v>1</v>
      </c>
      <c r="B212" t="s">
        <v>573</v>
      </c>
      <c r="C212" t="s">
        <v>296</v>
      </c>
      <c r="D212" t="s">
        <v>8</v>
      </c>
      <c r="G212" t="s">
        <v>1203</v>
      </c>
      <c r="H212" t="s">
        <v>1204</v>
      </c>
      <c r="J212" t="s">
        <v>1205</v>
      </c>
      <c r="K212" s="3">
        <v>-1131933351596.77</v>
      </c>
      <c r="L212" t="s">
        <v>573</v>
      </c>
      <c r="M212" t="s">
        <v>1342</v>
      </c>
      <c r="N212" t="s">
        <v>573</v>
      </c>
      <c r="O212">
        <v>-1131933351596.77</v>
      </c>
      <c r="Z212"/>
      <c r="AA212"/>
    </row>
    <row r="213" spans="1:27" x14ac:dyDescent="0.3">
      <c r="A213">
        <v>1</v>
      </c>
      <c r="B213" t="s">
        <v>574</v>
      </c>
      <c r="C213" t="s">
        <v>297</v>
      </c>
      <c r="D213" t="s">
        <v>8</v>
      </c>
      <c r="F213" t="s">
        <v>1206</v>
      </c>
      <c r="G213" t="s">
        <v>1207</v>
      </c>
      <c r="J213" t="s">
        <v>1208</v>
      </c>
      <c r="K213">
        <v>-166644333369.48001</v>
      </c>
      <c r="L213" t="s">
        <v>574</v>
      </c>
      <c r="M213" t="s">
        <v>1342</v>
      </c>
      <c r="N213" t="s">
        <v>574</v>
      </c>
      <c r="O213">
        <v>-166644333369.48001</v>
      </c>
      <c r="Z213"/>
      <c r="AA213"/>
    </row>
    <row r="214" spans="1:27" x14ac:dyDescent="0.3">
      <c r="A214">
        <v>1</v>
      </c>
      <c r="B214" t="s">
        <v>575</v>
      </c>
      <c r="C214" t="s">
        <v>297</v>
      </c>
      <c r="D214" t="s">
        <v>8</v>
      </c>
      <c r="G214" t="s">
        <v>1209</v>
      </c>
      <c r="H214" t="s">
        <v>1210</v>
      </c>
      <c r="J214" t="s">
        <v>1211</v>
      </c>
      <c r="K214">
        <v>-36164087108.900002</v>
      </c>
      <c r="L214" t="s">
        <v>575</v>
      </c>
      <c r="M214" t="s">
        <v>1342</v>
      </c>
      <c r="N214" t="s">
        <v>575</v>
      </c>
      <c r="O214">
        <v>-36164087108.900002</v>
      </c>
      <c r="Z214"/>
      <c r="AA214"/>
    </row>
    <row r="215" spans="1:27" x14ac:dyDescent="0.3">
      <c r="A215">
        <v>1</v>
      </c>
      <c r="B215" t="s">
        <v>576</v>
      </c>
      <c r="C215" t="s">
        <v>298</v>
      </c>
      <c r="D215" t="s">
        <v>8</v>
      </c>
      <c r="F215" t="s">
        <v>1212</v>
      </c>
      <c r="G215" t="s">
        <v>1213</v>
      </c>
      <c r="H215" t="s">
        <v>1214</v>
      </c>
      <c r="J215" t="s">
        <v>1215</v>
      </c>
      <c r="K215">
        <v>-121862281889.31</v>
      </c>
      <c r="L215" t="s">
        <v>576</v>
      </c>
      <c r="M215" t="s">
        <v>1342</v>
      </c>
      <c r="Z215"/>
      <c r="AA215"/>
    </row>
    <row r="216" spans="1:27" x14ac:dyDescent="0.3">
      <c r="A216">
        <v>2</v>
      </c>
      <c r="B216" t="s">
        <v>299</v>
      </c>
      <c r="C216" t="s">
        <v>300</v>
      </c>
      <c r="D216" t="s">
        <v>8</v>
      </c>
      <c r="F216" t="s">
        <v>1216</v>
      </c>
      <c r="G216" t="s">
        <v>1217</v>
      </c>
      <c r="H216" t="s">
        <v>1218</v>
      </c>
      <c r="J216" t="s">
        <v>1219</v>
      </c>
      <c r="K216">
        <v>-2602515825.1500001</v>
      </c>
      <c r="L216" t="s">
        <v>576</v>
      </c>
      <c r="M216" t="s">
        <v>1342</v>
      </c>
      <c r="N216" t="s">
        <v>299</v>
      </c>
      <c r="O216">
        <v>-2602515825.1500001</v>
      </c>
      <c r="Z216"/>
      <c r="AA216"/>
    </row>
    <row r="217" spans="1:27" x14ac:dyDescent="0.3">
      <c r="A217">
        <v>2</v>
      </c>
      <c r="B217" t="s">
        <v>301</v>
      </c>
      <c r="C217" t="s">
        <v>302</v>
      </c>
      <c r="D217" t="s">
        <v>8</v>
      </c>
      <c r="F217" t="s">
        <v>1220</v>
      </c>
      <c r="G217" t="s">
        <v>1221</v>
      </c>
      <c r="H217" t="s">
        <v>1222</v>
      </c>
      <c r="J217" t="s">
        <v>1223</v>
      </c>
      <c r="K217">
        <v>-119259766064.16</v>
      </c>
      <c r="L217" t="s">
        <v>576</v>
      </c>
      <c r="M217" t="s">
        <v>1342</v>
      </c>
      <c r="N217" t="s">
        <v>301</v>
      </c>
      <c r="O217">
        <v>-119259766064.16</v>
      </c>
      <c r="Z217"/>
      <c r="AA217"/>
    </row>
    <row r="218" spans="1:27" x14ac:dyDescent="0.3">
      <c r="A218">
        <v>1</v>
      </c>
      <c r="B218" t="s">
        <v>303</v>
      </c>
      <c r="C218" t="s">
        <v>304</v>
      </c>
      <c r="D218" t="s">
        <v>8</v>
      </c>
      <c r="F218" t="s">
        <v>1224</v>
      </c>
      <c r="G218" t="s">
        <v>1225</v>
      </c>
      <c r="H218" t="s">
        <v>1226</v>
      </c>
      <c r="J218" t="s">
        <v>1227</v>
      </c>
      <c r="K218">
        <v>-46477636032.050003</v>
      </c>
      <c r="L218" t="s">
        <v>303</v>
      </c>
      <c r="M218" t="s">
        <v>1342</v>
      </c>
      <c r="N218" t="s">
        <v>303</v>
      </c>
      <c r="O218">
        <v>-46477636032.050003</v>
      </c>
      <c r="Z218"/>
      <c r="AA218"/>
    </row>
    <row r="219" spans="1:27" x14ac:dyDescent="0.3">
      <c r="A219">
        <v>1</v>
      </c>
      <c r="B219" t="s">
        <v>567</v>
      </c>
      <c r="C219" t="s">
        <v>305</v>
      </c>
      <c r="D219" t="s">
        <v>8</v>
      </c>
      <c r="F219" t="s">
        <v>1113</v>
      </c>
      <c r="G219" t="s">
        <v>1114</v>
      </c>
      <c r="H219" t="s">
        <v>1115</v>
      </c>
      <c r="K219" s="3"/>
      <c r="L219" t="s">
        <v>567</v>
      </c>
      <c r="M219" t="s">
        <v>1342</v>
      </c>
      <c r="N219" t="s">
        <v>567</v>
      </c>
      <c r="Z219"/>
      <c r="AA219"/>
    </row>
    <row r="220" spans="1:27" x14ac:dyDescent="0.3">
      <c r="A220">
        <v>1</v>
      </c>
      <c r="B220" t="s">
        <v>577</v>
      </c>
      <c r="C220" t="s">
        <v>306</v>
      </c>
      <c r="D220" t="s">
        <v>8</v>
      </c>
      <c r="G220" t="s">
        <v>1228</v>
      </c>
      <c r="H220" t="s">
        <v>1229</v>
      </c>
      <c r="J220" t="s">
        <v>1230</v>
      </c>
      <c r="K220">
        <v>-2988475522.9699998</v>
      </c>
      <c r="L220" t="s">
        <v>577</v>
      </c>
      <c r="M220" t="s">
        <v>1342</v>
      </c>
      <c r="Z220"/>
      <c r="AA220"/>
    </row>
    <row r="221" spans="1:27" x14ac:dyDescent="0.3">
      <c r="A221">
        <v>2</v>
      </c>
      <c r="B221" t="s">
        <v>307</v>
      </c>
      <c r="C221" t="s">
        <v>308</v>
      </c>
      <c r="D221" t="s">
        <v>8</v>
      </c>
      <c r="G221" t="s">
        <v>1231</v>
      </c>
      <c r="H221" t="s">
        <v>1232</v>
      </c>
      <c r="J221" t="s">
        <v>1233</v>
      </c>
      <c r="K221" s="3">
        <v>-2985411016.0700002</v>
      </c>
      <c r="L221" t="s">
        <v>577</v>
      </c>
      <c r="M221" t="s">
        <v>1342</v>
      </c>
      <c r="N221" t="s">
        <v>307</v>
      </c>
      <c r="O221">
        <v>-2985411016.0700002</v>
      </c>
      <c r="Z221"/>
      <c r="AA221"/>
    </row>
    <row r="222" spans="1:27" x14ac:dyDescent="0.3">
      <c r="A222">
        <v>2</v>
      </c>
      <c r="B222" t="s">
        <v>309</v>
      </c>
      <c r="C222" t="s">
        <v>310</v>
      </c>
      <c r="D222" t="s">
        <v>8</v>
      </c>
      <c r="G222" t="s">
        <v>1234</v>
      </c>
      <c r="H222" t="s">
        <v>1235</v>
      </c>
      <c r="J222" t="s">
        <v>1236</v>
      </c>
      <c r="K222">
        <v>-3064506.9</v>
      </c>
      <c r="L222" t="s">
        <v>577</v>
      </c>
      <c r="M222" t="s">
        <v>1342</v>
      </c>
      <c r="N222" t="s">
        <v>309</v>
      </c>
      <c r="O222">
        <v>-3064506.9</v>
      </c>
      <c r="Z222"/>
      <c r="AA222"/>
    </row>
    <row r="223" spans="1:27" x14ac:dyDescent="0.3">
      <c r="A223">
        <v>1</v>
      </c>
      <c r="B223" t="s">
        <v>568</v>
      </c>
      <c r="C223" t="s">
        <v>311</v>
      </c>
      <c r="D223" t="s">
        <v>8</v>
      </c>
      <c r="F223" t="s">
        <v>1116</v>
      </c>
      <c r="G223" t="s">
        <v>1117</v>
      </c>
      <c r="H223" t="s">
        <v>1118</v>
      </c>
      <c r="L223" t="s">
        <v>568</v>
      </c>
      <c r="M223" t="s">
        <v>1342</v>
      </c>
      <c r="N223" t="s">
        <v>568</v>
      </c>
      <c r="Z223"/>
      <c r="AA223"/>
    </row>
    <row r="224" spans="1:27" x14ac:dyDescent="0.3">
      <c r="A224">
        <v>1</v>
      </c>
      <c r="B224" t="s">
        <v>569</v>
      </c>
      <c r="C224" t="s">
        <v>312</v>
      </c>
      <c r="D224" t="s">
        <v>8</v>
      </c>
      <c r="F224" t="s">
        <v>1119</v>
      </c>
      <c r="G224" t="s">
        <v>1120</v>
      </c>
      <c r="H224" t="s">
        <v>1121</v>
      </c>
      <c r="L224" t="s">
        <v>569</v>
      </c>
      <c r="M224" t="s">
        <v>1342</v>
      </c>
      <c r="N224" t="s">
        <v>569</v>
      </c>
      <c r="Z224"/>
      <c r="AA224"/>
    </row>
    <row r="225" spans="1:27" x14ac:dyDescent="0.3">
      <c r="A225">
        <v>1</v>
      </c>
      <c r="B225" t="s">
        <v>505</v>
      </c>
      <c r="C225" t="s">
        <v>313</v>
      </c>
      <c r="D225" t="s">
        <v>8</v>
      </c>
      <c r="G225" t="s">
        <v>673</v>
      </c>
      <c r="H225" t="s">
        <v>673</v>
      </c>
      <c r="L225" t="s">
        <v>505</v>
      </c>
      <c r="M225" t="s">
        <v>1342</v>
      </c>
      <c r="N225" t="s">
        <v>505</v>
      </c>
      <c r="Z225"/>
      <c r="AA225"/>
    </row>
    <row r="226" spans="1:27" x14ac:dyDescent="0.3">
      <c r="A226">
        <v>1</v>
      </c>
      <c r="B226" t="s">
        <v>506</v>
      </c>
      <c r="C226" t="s">
        <v>314</v>
      </c>
      <c r="D226" t="s">
        <v>8</v>
      </c>
      <c r="G226" t="s">
        <v>674</v>
      </c>
      <c r="H226" t="s">
        <v>674</v>
      </c>
      <c r="K226" s="3"/>
      <c r="L226" t="s">
        <v>506</v>
      </c>
      <c r="M226" t="s">
        <v>1342</v>
      </c>
      <c r="N226" t="s">
        <v>506</v>
      </c>
      <c r="Z226"/>
      <c r="AA226"/>
    </row>
    <row r="227" spans="1:27" x14ac:dyDescent="0.3">
      <c r="A227">
        <v>1</v>
      </c>
      <c r="B227" t="s">
        <v>578</v>
      </c>
      <c r="C227" t="s">
        <v>315</v>
      </c>
      <c r="D227" t="s">
        <v>8</v>
      </c>
      <c r="F227" t="s">
        <v>1237</v>
      </c>
      <c r="G227" t="s">
        <v>1238</v>
      </c>
      <c r="H227" t="s">
        <v>1239</v>
      </c>
      <c r="J227" t="s">
        <v>1240</v>
      </c>
      <c r="K227">
        <v>-32452207.969999999</v>
      </c>
      <c r="L227" t="s">
        <v>578</v>
      </c>
      <c r="M227" t="s">
        <v>1342</v>
      </c>
      <c r="N227" t="s">
        <v>578</v>
      </c>
      <c r="O227">
        <v>-32452207.969999999</v>
      </c>
      <c r="Z227"/>
      <c r="AA227"/>
    </row>
    <row r="228" spans="1:27" x14ac:dyDescent="0.3">
      <c r="A228">
        <v>1</v>
      </c>
      <c r="B228" t="s">
        <v>570</v>
      </c>
      <c r="C228" t="s">
        <v>316</v>
      </c>
      <c r="D228" t="s">
        <v>8</v>
      </c>
      <c r="F228" t="s">
        <v>1122</v>
      </c>
      <c r="G228" t="s">
        <v>1123</v>
      </c>
      <c r="H228" t="s">
        <v>1124</v>
      </c>
      <c r="L228" t="s">
        <v>570</v>
      </c>
      <c r="M228" t="s">
        <v>1342</v>
      </c>
      <c r="N228" t="s">
        <v>570</v>
      </c>
      <c r="Z228"/>
      <c r="AA228"/>
    </row>
    <row r="229" spans="1:27" x14ac:dyDescent="0.3">
      <c r="A229">
        <v>1</v>
      </c>
      <c r="B229" t="s">
        <v>571</v>
      </c>
      <c r="C229" t="s">
        <v>317</v>
      </c>
      <c r="D229" t="s">
        <v>8</v>
      </c>
      <c r="F229" t="s">
        <v>1125</v>
      </c>
      <c r="G229" t="s">
        <v>1125</v>
      </c>
      <c r="L229" t="s">
        <v>571</v>
      </c>
      <c r="M229" t="s">
        <v>1342</v>
      </c>
      <c r="N229" t="s">
        <v>571</v>
      </c>
      <c r="Z229"/>
      <c r="AA229"/>
    </row>
    <row r="230" spans="1:27" x14ac:dyDescent="0.3">
      <c r="A230">
        <v>1</v>
      </c>
      <c r="B230" t="s">
        <v>579</v>
      </c>
      <c r="C230" t="s">
        <v>318</v>
      </c>
      <c r="D230" t="s">
        <v>8</v>
      </c>
      <c r="G230" t="s">
        <v>710</v>
      </c>
      <c r="H230" t="s">
        <v>1241</v>
      </c>
      <c r="J230" t="s">
        <v>1242</v>
      </c>
      <c r="K230">
        <v>-358351</v>
      </c>
      <c r="L230" t="s">
        <v>579</v>
      </c>
      <c r="M230" t="s">
        <v>1342</v>
      </c>
      <c r="N230" t="s">
        <v>579</v>
      </c>
      <c r="O230">
        <v>-358351</v>
      </c>
      <c r="Z230"/>
      <c r="AA230"/>
    </row>
    <row r="231" spans="1:27" x14ac:dyDescent="0.3">
      <c r="A231">
        <v>1</v>
      </c>
      <c r="B231" t="s">
        <v>483</v>
      </c>
      <c r="C231" t="s">
        <v>319</v>
      </c>
      <c r="D231" t="s">
        <v>8</v>
      </c>
      <c r="F231" t="s">
        <v>1243</v>
      </c>
      <c r="G231" t="s">
        <v>1244</v>
      </c>
      <c r="H231" t="s">
        <v>1245</v>
      </c>
      <c r="J231" t="s">
        <v>1246</v>
      </c>
      <c r="K231">
        <v>-4336035524.0600004</v>
      </c>
      <c r="L231" t="s">
        <v>483</v>
      </c>
      <c r="M231" t="s">
        <v>1342</v>
      </c>
      <c r="Z231"/>
      <c r="AA231"/>
    </row>
    <row r="232" spans="1:27" x14ac:dyDescent="0.3">
      <c r="A232">
        <v>2</v>
      </c>
      <c r="B232" t="s">
        <v>320</v>
      </c>
      <c r="C232" t="s">
        <v>321</v>
      </c>
      <c r="D232" t="s">
        <v>8</v>
      </c>
      <c r="F232" t="s">
        <v>1243</v>
      </c>
      <c r="G232" t="s">
        <v>1247</v>
      </c>
      <c r="H232" t="s">
        <v>1248</v>
      </c>
      <c r="J232" t="s">
        <v>1246</v>
      </c>
      <c r="K232" s="3">
        <v>-4336035524.0600004</v>
      </c>
      <c r="L232" t="s">
        <v>483</v>
      </c>
      <c r="M232" t="s">
        <v>1342</v>
      </c>
      <c r="N232" t="s">
        <v>320</v>
      </c>
      <c r="O232">
        <v>-4336035524.0600004</v>
      </c>
      <c r="Z232"/>
      <c r="AA232"/>
    </row>
    <row r="233" spans="1:27" x14ac:dyDescent="0.3">
      <c r="A233">
        <v>2</v>
      </c>
      <c r="B233" t="s">
        <v>322</v>
      </c>
      <c r="C233" t="s">
        <v>323</v>
      </c>
      <c r="D233" t="s">
        <v>8</v>
      </c>
      <c r="G233" t="s">
        <v>621</v>
      </c>
      <c r="H233" t="s">
        <v>621</v>
      </c>
      <c r="K233" s="3"/>
      <c r="L233" t="s">
        <v>483</v>
      </c>
      <c r="M233" t="s">
        <v>1342</v>
      </c>
      <c r="N233" t="s">
        <v>322</v>
      </c>
      <c r="Z233"/>
      <c r="AA233"/>
    </row>
    <row r="234" spans="1:27" x14ac:dyDescent="0.3">
      <c r="A234">
        <v>1</v>
      </c>
      <c r="B234" t="s">
        <v>580</v>
      </c>
      <c r="C234" t="s">
        <v>324</v>
      </c>
      <c r="D234" t="s">
        <v>8</v>
      </c>
      <c r="F234" t="s">
        <v>1249</v>
      </c>
      <c r="G234" t="s">
        <v>1250</v>
      </c>
      <c r="H234" t="s">
        <v>1251</v>
      </c>
      <c r="J234" t="s">
        <v>1252</v>
      </c>
      <c r="K234">
        <v>-20137818.32</v>
      </c>
      <c r="L234" t="s">
        <v>580</v>
      </c>
      <c r="M234" t="s">
        <v>1342</v>
      </c>
      <c r="Z234"/>
      <c r="AA234"/>
    </row>
    <row r="235" spans="1:27" x14ac:dyDescent="0.3">
      <c r="A235">
        <v>2</v>
      </c>
      <c r="B235" t="s">
        <v>325</v>
      </c>
      <c r="C235" t="s">
        <v>326</v>
      </c>
      <c r="D235" t="s">
        <v>8</v>
      </c>
      <c r="F235" t="s">
        <v>1249</v>
      </c>
      <c r="G235" t="s">
        <v>1250</v>
      </c>
      <c r="H235" t="s">
        <v>1251</v>
      </c>
      <c r="J235" t="s">
        <v>1252</v>
      </c>
      <c r="K235" s="3">
        <v>-20137818.32</v>
      </c>
      <c r="L235" t="s">
        <v>580</v>
      </c>
      <c r="M235" t="s">
        <v>1342</v>
      </c>
      <c r="N235" t="s">
        <v>325</v>
      </c>
      <c r="O235">
        <v>-20137818.32</v>
      </c>
      <c r="Z235"/>
      <c r="AA235"/>
    </row>
    <row r="236" spans="1:27" x14ac:dyDescent="0.3">
      <c r="A236">
        <v>1</v>
      </c>
      <c r="B236" t="s">
        <v>581</v>
      </c>
      <c r="C236" t="s">
        <v>327</v>
      </c>
      <c r="D236" t="s">
        <v>8</v>
      </c>
      <c r="F236" t="s">
        <v>1253</v>
      </c>
      <c r="G236" t="s">
        <v>1254</v>
      </c>
      <c r="H236" t="s">
        <v>1255</v>
      </c>
      <c r="J236" t="s">
        <v>1256</v>
      </c>
      <c r="K236">
        <v>-177311220.74000001</v>
      </c>
      <c r="L236" t="s">
        <v>581</v>
      </c>
      <c r="M236" t="s">
        <v>1342</v>
      </c>
      <c r="Z236"/>
      <c r="AA236"/>
    </row>
    <row r="237" spans="1:27" x14ac:dyDescent="0.3">
      <c r="A237">
        <v>2</v>
      </c>
      <c r="B237" t="s">
        <v>328</v>
      </c>
      <c r="C237" t="s">
        <v>329</v>
      </c>
      <c r="D237" t="s">
        <v>8</v>
      </c>
      <c r="F237" t="s">
        <v>1253</v>
      </c>
      <c r="G237" t="s">
        <v>1254</v>
      </c>
      <c r="H237" t="s">
        <v>1255</v>
      </c>
      <c r="J237" t="s">
        <v>1256</v>
      </c>
      <c r="K237">
        <v>-177311220.74000001</v>
      </c>
      <c r="L237" t="s">
        <v>581</v>
      </c>
      <c r="M237" t="s">
        <v>1342</v>
      </c>
      <c r="N237" t="s">
        <v>328</v>
      </c>
      <c r="O237">
        <v>-177311220.74000001</v>
      </c>
      <c r="Z237"/>
      <c r="AA237"/>
    </row>
    <row r="238" spans="1:27" x14ac:dyDescent="0.3">
      <c r="A238">
        <v>1</v>
      </c>
      <c r="B238" t="s">
        <v>582</v>
      </c>
      <c r="C238" t="s">
        <v>330</v>
      </c>
      <c r="D238" t="s">
        <v>8</v>
      </c>
      <c r="H238" t="s">
        <v>1257</v>
      </c>
      <c r="J238" t="s">
        <v>1257</v>
      </c>
      <c r="K238" s="3">
        <v>-305169000000</v>
      </c>
      <c r="L238" t="s">
        <v>582</v>
      </c>
      <c r="M238" t="s">
        <v>1342</v>
      </c>
      <c r="N238" t="s">
        <v>582</v>
      </c>
      <c r="O238">
        <v>-305169000000</v>
      </c>
      <c r="Z238"/>
      <c r="AA238"/>
    </row>
    <row r="239" spans="1:27" x14ac:dyDescent="0.3">
      <c r="A239">
        <v>2</v>
      </c>
      <c r="B239" t="s">
        <v>484</v>
      </c>
      <c r="C239" t="s">
        <v>331</v>
      </c>
      <c r="D239" t="s">
        <v>8</v>
      </c>
      <c r="G239" t="s">
        <v>622</v>
      </c>
      <c r="H239" t="s">
        <v>622</v>
      </c>
      <c r="K239" s="3"/>
      <c r="L239" t="s">
        <v>484</v>
      </c>
      <c r="M239" t="s">
        <v>1342</v>
      </c>
      <c r="N239" t="s">
        <v>484</v>
      </c>
      <c r="Z239"/>
      <c r="AA239"/>
    </row>
    <row r="240" spans="1:27" x14ac:dyDescent="0.3">
      <c r="A240">
        <v>1</v>
      </c>
      <c r="B240" t="s">
        <v>484</v>
      </c>
      <c r="C240" t="s">
        <v>331</v>
      </c>
      <c r="D240" t="s">
        <v>8</v>
      </c>
      <c r="F240" t="s">
        <v>1258</v>
      </c>
      <c r="G240" t="s">
        <v>1259</v>
      </c>
      <c r="H240" t="s">
        <v>1260</v>
      </c>
      <c r="J240" t="s">
        <v>1261</v>
      </c>
      <c r="K240" s="3">
        <v>-26911243559.560001</v>
      </c>
      <c r="L240" t="s">
        <v>484</v>
      </c>
      <c r="M240" t="s">
        <v>1342</v>
      </c>
      <c r="Z240"/>
      <c r="AA240"/>
    </row>
    <row r="241" spans="1:27" x14ac:dyDescent="0.3">
      <c r="A241">
        <v>2</v>
      </c>
      <c r="B241" t="s">
        <v>337</v>
      </c>
      <c r="C241" t="s">
        <v>338</v>
      </c>
      <c r="D241" t="s">
        <v>8</v>
      </c>
      <c r="F241" t="s">
        <v>1272</v>
      </c>
      <c r="G241" t="s">
        <v>1273</v>
      </c>
      <c r="H241" t="s">
        <v>1274</v>
      </c>
      <c r="J241" t="s">
        <v>1275</v>
      </c>
      <c r="K241" s="3">
        <v>-26867455767.029999</v>
      </c>
      <c r="L241" t="s">
        <v>484</v>
      </c>
      <c r="M241" t="s">
        <v>1342</v>
      </c>
      <c r="N241" t="s">
        <v>337</v>
      </c>
      <c r="O241">
        <v>-26867455767.029999</v>
      </c>
      <c r="Z241"/>
      <c r="AA241"/>
    </row>
    <row r="242" spans="1:27" x14ac:dyDescent="0.3">
      <c r="A242">
        <v>2</v>
      </c>
      <c r="B242" t="s">
        <v>332</v>
      </c>
      <c r="C242" t="s">
        <v>331</v>
      </c>
      <c r="D242" t="s">
        <v>8</v>
      </c>
      <c r="F242" t="s">
        <v>1262</v>
      </c>
      <c r="G242" t="s">
        <v>1263</v>
      </c>
      <c r="H242" t="s">
        <v>1264</v>
      </c>
      <c r="J242" t="s">
        <v>1265</v>
      </c>
      <c r="K242">
        <v>-16965000</v>
      </c>
      <c r="L242" t="s">
        <v>484</v>
      </c>
      <c r="M242" t="s">
        <v>1342</v>
      </c>
      <c r="N242" t="s">
        <v>332</v>
      </c>
      <c r="O242">
        <v>-16965000</v>
      </c>
      <c r="Z242"/>
      <c r="AA242"/>
    </row>
    <row r="243" spans="1:27" x14ac:dyDescent="0.3">
      <c r="A243">
        <v>2</v>
      </c>
      <c r="B243" t="s">
        <v>333</v>
      </c>
      <c r="C243" t="s">
        <v>334</v>
      </c>
      <c r="D243" t="s">
        <v>8</v>
      </c>
      <c r="F243" t="s">
        <v>1266</v>
      </c>
      <c r="G243" t="s">
        <v>1267</v>
      </c>
      <c r="J243" t="s">
        <v>1268</v>
      </c>
      <c r="K243">
        <v>-5477466</v>
      </c>
      <c r="L243" t="s">
        <v>484</v>
      </c>
      <c r="M243" t="s">
        <v>1342</v>
      </c>
      <c r="N243" t="s">
        <v>333</v>
      </c>
      <c r="O243">
        <v>-5477466</v>
      </c>
      <c r="Z243"/>
      <c r="AA243"/>
    </row>
    <row r="244" spans="1:27" x14ac:dyDescent="0.3">
      <c r="A244">
        <v>2</v>
      </c>
      <c r="B244" t="s">
        <v>335</v>
      </c>
      <c r="C244" t="s">
        <v>336</v>
      </c>
      <c r="D244" t="s">
        <v>8</v>
      </c>
      <c r="F244" t="s">
        <v>1269</v>
      </c>
      <c r="G244" t="s">
        <v>1270</v>
      </c>
      <c r="H244" t="s">
        <v>617</v>
      </c>
      <c r="J244" t="s">
        <v>1271</v>
      </c>
      <c r="K244">
        <v>-21345326.530000001</v>
      </c>
      <c r="L244" t="s">
        <v>484</v>
      </c>
      <c r="M244" t="s">
        <v>1342</v>
      </c>
      <c r="N244" t="s">
        <v>335</v>
      </c>
      <c r="O244">
        <v>-21345326.530000001</v>
      </c>
      <c r="Z244"/>
      <c r="AA244"/>
    </row>
    <row r="245" spans="1:27" x14ac:dyDescent="0.3">
      <c r="A245">
        <v>1</v>
      </c>
      <c r="B245" t="s">
        <v>583</v>
      </c>
      <c r="C245" t="s">
        <v>339</v>
      </c>
      <c r="D245" t="s">
        <v>8</v>
      </c>
      <c r="F245" t="s">
        <v>1276</v>
      </c>
      <c r="G245" t="s">
        <v>1277</v>
      </c>
      <c r="H245" t="s">
        <v>1278</v>
      </c>
      <c r="J245" t="s">
        <v>1279</v>
      </c>
      <c r="K245">
        <v>-1344192887996.5901</v>
      </c>
      <c r="L245" t="s">
        <v>583</v>
      </c>
      <c r="M245" t="s">
        <v>1342</v>
      </c>
      <c r="N245" t="s">
        <v>583</v>
      </c>
      <c r="O245">
        <v>-1344192887996.5901</v>
      </c>
      <c r="Z245"/>
      <c r="AA245"/>
    </row>
    <row r="246" spans="1:27" x14ac:dyDescent="0.3">
      <c r="A246">
        <v>1</v>
      </c>
      <c r="B246" t="s">
        <v>584</v>
      </c>
      <c r="C246" t="s">
        <v>340</v>
      </c>
      <c r="D246" t="s">
        <v>8</v>
      </c>
      <c r="F246" t="s">
        <v>1280</v>
      </c>
      <c r="G246" t="s">
        <v>1281</v>
      </c>
      <c r="H246" t="s">
        <v>1282</v>
      </c>
      <c r="J246" t="s">
        <v>1283</v>
      </c>
      <c r="K246">
        <v>-41864140000</v>
      </c>
      <c r="L246" t="s">
        <v>584</v>
      </c>
      <c r="M246" t="s">
        <v>1342</v>
      </c>
      <c r="N246" t="s">
        <v>584</v>
      </c>
      <c r="O246">
        <v>-41864140000</v>
      </c>
      <c r="Z246"/>
      <c r="AA246"/>
    </row>
    <row r="247" spans="1:27" x14ac:dyDescent="0.3">
      <c r="A247">
        <v>1</v>
      </c>
      <c r="B247" t="s">
        <v>585</v>
      </c>
      <c r="C247" t="s">
        <v>341</v>
      </c>
      <c r="D247" t="s">
        <v>8</v>
      </c>
      <c r="F247" t="s">
        <v>1284</v>
      </c>
      <c r="G247" t="s">
        <v>1285</v>
      </c>
      <c r="H247" t="s">
        <v>1286</v>
      </c>
      <c r="J247" t="s">
        <v>1287</v>
      </c>
      <c r="K247">
        <v>-11729697897.049999</v>
      </c>
      <c r="L247" t="s">
        <v>585</v>
      </c>
      <c r="M247" t="s">
        <v>1342</v>
      </c>
      <c r="Z247"/>
      <c r="AA247"/>
    </row>
    <row r="248" spans="1:27" x14ac:dyDescent="0.3">
      <c r="A248">
        <v>2</v>
      </c>
      <c r="B248" t="s">
        <v>342</v>
      </c>
      <c r="C248" t="s">
        <v>341</v>
      </c>
      <c r="D248" t="s">
        <v>8</v>
      </c>
      <c r="F248" t="s">
        <v>1284</v>
      </c>
      <c r="G248" t="s">
        <v>1285</v>
      </c>
      <c r="H248" t="s">
        <v>1286</v>
      </c>
      <c r="J248" t="s">
        <v>1287</v>
      </c>
      <c r="K248">
        <v>-11729697897.049999</v>
      </c>
      <c r="L248" t="s">
        <v>585</v>
      </c>
      <c r="M248" t="s">
        <v>1342</v>
      </c>
      <c r="N248" t="s">
        <v>342</v>
      </c>
      <c r="O248">
        <v>-11729697897.049999</v>
      </c>
      <c r="Z248"/>
      <c r="AA248"/>
    </row>
    <row r="249" spans="1:27" x14ac:dyDescent="0.3">
      <c r="A249">
        <v>1</v>
      </c>
      <c r="B249" t="s">
        <v>586</v>
      </c>
      <c r="C249" t="s">
        <v>343</v>
      </c>
      <c r="D249" t="s">
        <v>8</v>
      </c>
      <c r="F249" t="s">
        <v>1288</v>
      </c>
      <c r="G249" t="s">
        <v>1289</v>
      </c>
      <c r="J249" t="s">
        <v>1290</v>
      </c>
      <c r="K249">
        <v>-384642224300.03998</v>
      </c>
      <c r="L249" t="s">
        <v>586</v>
      </c>
      <c r="M249" t="s">
        <v>1342</v>
      </c>
      <c r="N249" t="s">
        <v>586</v>
      </c>
      <c r="O249">
        <v>-384642224300.03998</v>
      </c>
      <c r="Z249"/>
      <c r="AA249"/>
    </row>
    <row r="250" spans="1:27" x14ac:dyDescent="0.3">
      <c r="A250">
        <v>1</v>
      </c>
      <c r="B250" t="s">
        <v>587</v>
      </c>
      <c r="C250" t="s">
        <v>344</v>
      </c>
      <c r="D250" t="s">
        <v>8</v>
      </c>
      <c r="F250" t="s">
        <v>1291</v>
      </c>
      <c r="G250" t="s">
        <v>1292</v>
      </c>
      <c r="H250" t="s">
        <v>1293</v>
      </c>
      <c r="J250" t="s">
        <v>1294</v>
      </c>
      <c r="K250" s="3">
        <v>-11115570291.450001</v>
      </c>
      <c r="L250" t="s">
        <v>587</v>
      </c>
      <c r="M250" t="s">
        <v>1342</v>
      </c>
      <c r="Z250"/>
      <c r="AA250"/>
    </row>
    <row r="251" spans="1:27" x14ac:dyDescent="0.3">
      <c r="A251">
        <v>2</v>
      </c>
      <c r="B251" t="s">
        <v>345</v>
      </c>
      <c r="C251" t="s">
        <v>344</v>
      </c>
      <c r="D251" t="s">
        <v>8</v>
      </c>
      <c r="F251" t="s">
        <v>1291</v>
      </c>
      <c r="G251" t="s">
        <v>1292</v>
      </c>
      <c r="H251" t="s">
        <v>1293</v>
      </c>
      <c r="J251" t="s">
        <v>1294</v>
      </c>
      <c r="K251">
        <v>-11115570291.450001</v>
      </c>
      <c r="L251" t="s">
        <v>587</v>
      </c>
      <c r="M251" t="s">
        <v>1342</v>
      </c>
      <c r="N251" t="s">
        <v>345</v>
      </c>
      <c r="O251">
        <v>-11115570291.450001</v>
      </c>
      <c r="Z251"/>
      <c r="AA251"/>
    </row>
    <row r="252" spans="1:27" x14ac:dyDescent="0.3">
      <c r="A252">
        <v>1</v>
      </c>
      <c r="B252" t="s">
        <v>507</v>
      </c>
      <c r="C252" t="s">
        <v>346</v>
      </c>
      <c r="D252" t="s">
        <v>8</v>
      </c>
      <c r="G252" t="s">
        <v>675</v>
      </c>
      <c r="H252" t="s">
        <v>675</v>
      </c>
      <c r="L252" t="s">
        <v>507</v>
      </c>
      <c r="M252" t="s">
        <v>1342</v>
      </c>
      <c r="N252" t="s">
        <v>507</v>
      </c>
      <c r="Z252"/>
      <c r="AA252"/>
    </row>
    <row r="253" spans="1:27" x14ac:dyDescent="0.3">
      <c r="A253">
        <v>1</v>
      </c>
      <c r="B253" t="s">
        <v>588</v>
      </c>
      <c r="C253" t="s">
        <v>347</v>
      </c>
      <c r="D253" t="s">
        <v>8</v>
      </c>
      <c r="F253" t="s">
        <v>1295</v>
      </c>
      <c r="G253" t="s">
        <v>1296</v>
      </c>
      <c r="H253" t="s">
        <v>1297</v>
      </c>
      <c r="J253" t="s">
        <v>1298</v>
      </c>
      <c r="K253">
        <v>-46995687.880000003</v>
      </c>
      <c r="L253" t="s">
        <v>588</v>
      </c>
      <c r="M253" t="s">
        <v>1342</v>
      </c>
      <c r="N253" t="s">
        <v>588</v>
      </c>
      <c r="O253">
        <v>-46995687.880000003</v>
      </c>
      <c r="Z253"/>
      <c r="AA253"/>
    </row>
    <row r="254" spans="1:27" x14ac:dyDescent="0.3">
      <c r="A254">
        <v>1</v>
      </c>
      <c r="B254" t="s">
        <v>508</v>
      </c>
      <c r="C254" t="s">
        <v>348</v>
      </c>
      <c r="D254" t="s">
        <v>8</v>
      </c>
      <c r="G254" t="s">
        <v>676</v>
      </c>
      <c r="H254" t="s">
        <v>676</v>
      </c>
      <c r="L254" t="s">
        <v>508</v>
      </c>
      <c r="M254" t="s">
        <v>1342</v>
      </c>
      <c r="N254" t="s">
        <v>508</v>
      </c>
      <c r="Z254"/>
      <c r="AA254"/>
    </row>
    <row r="255" spans="1:27" x14ac:dyDescent="0.3">
      <c r="A255">
        <v>1</v>
      </c>
      <c r="B255" t="s">
        <v>589</v>
      </c>
      <c r="C255" t="s">
        <v>349</v>
      </c>
      <c r="D255" t="s">
        <v>8</v>
      </c>
      <c r="F255" t="s">
        <v>1299</v>
      </c>
      <c r="G255" t="s">
        <v>1300</v>
      </c>
      <c r="H255" t="s">
        <v>1301</v>
      </c>
      <c r="J255" t="s">
        <v>1302</v>
      </c>
      <c r="K255">
        <v>-299608125.94999999</v>
      </c>
      <c r="L255" t="s">
        <v>589</v>
      </c>
      <c r="M255" t="s">
        <v>1342</v>
      </c>
      <c r="Z255"/>
      <c r="AA255"/>
    </row>
    <row r="256" spans="1:27" x14ac:dyDescent="0.3">
      <c r="A256">
        <v>2</v>
      </c>
      <c r="B256" t="s">
        <v>589</v>
      </c>
      <c r="C256" t="s">
        <v>349</v>
      </c>
      <c r="D256" t="s">
        <v>8</v>
      </c>
      <c r="F256" t="s">
        <v>1303</v>
      </c>
      <c r="J256" t="s">
        <v>1303</v>
      </c>
      <c r="K256" s="3">
        <v>-3363361.87</v>
      </c>
      <c r="L256" t="s">
        <v>589</v>
      </c>
      <c r="M256" t="s">
        <v>1342</v>
      </c>
      <c r="N256" t="s">
        <v>589</v>
      </c>
      <c r="O256">
        <v>-3363361.87</v>
      </c>
      <c r="Z256"/>
      <c r="AA256"/>
    </row>
    <row r="257" spans="1:27" x14ac:dyDescent="0.3">
      <c r="A257">
        <v>2</v>
      </c>
      <c r="B257" t="s">
        <v>350</v>
      </c>
      <c r="C257" t="s">
        <v>349</v>
      </c>
      <c r="D257" t="s">
        <v>8</v>
      </c>
      <c r="F257" t="s">
        <v>1304</v>
      </c>
      <c r="G257" t="s">
        <v>1305</v>
      </c>
      <c r="H257" t="s">
        <v>1306</v>
      </c>
      <c r="J257" t="s">
        <v>1307</v>
      </c>
      <c r="K257" s="3">
        <v>-280221611.82999998</v>
      </c>
      <c r="L257" t="s">
        <v>589</v>
      </c>
      <c r="M257" t="s">
        <v>1342</v>
      </c>
      <c r="N257" t="s">
        <v>350</v>
      </c>
      <c r="O257">
        <v>-280221611.82999998</v>
      </c>
      <c r="Z257"/>
      <c r="AA257"/>
    </row>
    <row r="258" spans="1:27" x14ac:dyDescent="0.3">
      <c r="A258">
        <v>2</v>
      </c>
      <c r="B258" t="s">
        <v>351</v>
      </c>
      <c r="C258" t="s">
        <v>352</v>
      </c>
      <c r="D258" t="s">
        <v>8</v>
      </c>
      <c r="F258" t="s">
        <v>1308</v>
      </c>
      <c r="G258" t="s">
        <v>1309</v>
      </c>
      <c r="H258" t="s">
        <v>1310</v>
      </c>
      <c r="J258" t="s">
        <v>1311</v>
      </c>
      <c r="K258">
        <v>-16023152.25</v>
      </c>
      <c r="L258" t="s">
        <v>589</v>
      </c>
      <c r="M258" t="s">
        <v>1342</v>
      </c>
      <c r="N258" t="s">
        <v>351</v>
      </c>
      <c r="O258">
        <v>-16023152.25</v>
      </c>
      <c r="Z258"/>
      <c r="AA258"/>
    </row>
    <row r="259" spans="1:27" x14ac:dyDescent="0.3">
      <c r="A259">
        <v>1</v>
      </c>
      <c r="B259" t="s">
        <v>485</v>
      </c>
      <c r="C259" t="s">
        <v>353</v>
      </c>
      <c r="D259" t="s">
        <v>8</v>
      </c>
      <c r="F259" t="s">
        <v>1312</v>
      </c>
      <c r="G259" t="s">
        <v>1313</v>
      </c>
      <c r="H259" t="s">
        <v>1314</v>
      </c>
      <c r="J259" t="s">
        <v>1315</v>
      </c>
      <c r="K259">
        <v>-31754046488</v>
      </c>
      <c r="L259" t="s">
        <v>485</v>
      </c>
      <c r="M259" t="s">
        <v>1342</v>
      </c>
      <c r="Z259"/>
      <c r="AA259"/>
    </row>
    <row r="260" spans="1:27" x14ac:dyDescent="0.3">
      <c r="A260">
        <v>2</v>
      </c>
      <c r="B260" t="s">
        <v>485</v>
      </c>
      <c r="C260" t="s">
        <v>353</v>
      </c>
      <c r="D260" t="s">
        <v>8</v>
      </c>
      <c r="F260" t="s">
        <v>1038</v>
      </c>
      <c r="G260" t="s">
        <v>1038</v>
      </c>
      <c r="H260" t="s">
        <v>1316</v>
      </c>
      <c r="J260" t="s">
        <v>1316</v>
      </c>
      <c r="K260">
        <v>-5341500</v>
      </c>
      <c r="L260" t="s">
        <v>485</v>
      </c>
      <c r="M260" t="s">
        <v>1342</v>
      </c>
      <c r="N260" t="s">
        <v>485</v>
      </c>
      <c r="O260">
        <v>-5341500</v>
      </c>
      <c r="Z260"/>
      <c r="AA260"/>
    </row>
    <row r="261" spans="1:27" x14ac:dyDescent="0.3">
      <c r="A261">
        <v>2</v>
      </c>
      <c r="B261" t="s">
        <v>354</v>
      </c>
      <c r="C261" t="s">
        <v>355</v>
      </c>
      <c r="D261" t="s">
        <v>8</v>
      </c>
      <c r="G261" t="s">
        <v>1317</v>
      </c>
      <c r="H261" t="s">
        <v>1318</v>
      </c>
      <c r="J261" t="s">
        <v>1319</v>
      </c>
      <c r="K261" s="3">
        <v>-146130000</v>
      </c>
      <c r="L261" t="s">
        <v>485</v>
      </c>
      <c r="M261" t="s">
        <v>1342</v>
      </c>
      <c r="N261" t="s">
        <v>354</v>
      </c>
      <c r="O261">
        <v>-146130000</v>
      </c>
      <c r="Z261"/>
      <c r="AA261"/>
    </row>
    <row r="262" spans="1:27" x14ac:dyDescent="0.3">
      <c r="A262">
        <v>2</v>
      </c>
      <c r="B262" t="s">
        <v>356</v>
      </c>
      <c r="C262" t="s">
        <v>357</v>
      </c>
      <c r="D262" t="s">
        <v>8</v>
      </c>
      <c r="G262" t="s">
        <v>623</v>
      </c>
      <c r="H262" t="s">
        <v>623</v>
      </c>
      <c r="K262" s="3"/>
      <c r="L262" t="s">
        <v>485</v>
      </c>
      <c r="M262" t="s">
        <v>1342</v>
      </c>
      <c r="N262" t="s">
        <v>356</v>
      </c>
      <c r="Z262"/>
      <c r="AA262"/>
    </row>
    <row r="263" spans="1:27" x14ac:dyDescent="0.3">
      <c r="A263">
        <v>2</v>
      </c>
      <c r="B263" t="s">
        <v>358</v>
      </c>
      <c r="C263" t="s">
        <v>359</v>
      </c>
      <c r="D263" t="s">
        <v>8</v>
      </c>
      <c r="F263" t="s">
        <v>1320</v>
      </c>
      <c r="G263" t="s">
        <v>1320</v>
      </c>
      <c r="H263" t="s">
        <v>1321</v>
      </c>
      <c r="J263" t="s">
        <v>1321</v>
      </c>
      <c r="K263">
        <v>-31602574988</v>
      </c>
      <c r="L263" t="s">
        <v>485</v>
      </c>
      <c r="M263" t="s">
        <v>1342</v>
      </c>
      <c r="N263" t="s">
        <v>358</v>
      </c>
      <c r="O263">
        <v>-31602574988</v>
      </c>
      <c r="Z263"/>
      <c r="AA263"/>
    </row>
    <row r="264" spans="1:27" x14ac:dyDescent="0.3">
      <c r="A264">
        <v>2</v>
      </c>
      <c r="B264" t="s">
        <v>360</v>
      </c>
      <c r="C264" t="s">
        <v>361</v>
      </c>
      <c r="D264" t="s">
        <v>8</v>
      </c>
      <c r="G264" t="s">
        <v>624</v>
      </c>
      <c r="H264" t="s">
        <v>624</v>
      </c>
      <c r="K264" s="3"/>
      <c r="L264" t="s">
        <v>485</v>
      </c>
      <c r="M264" t="s">
        <v>1342</v>
      </c>
      <c r="N264" t="s">
        <v>360</v>
      </c>
      <c r="Z264"/>
      <c r="AA264"/>
    </row>
    <row r="265" spans="1:27" x14ac:dyDescent="0.3">
      <c r="A265">
        <v>2</v>
      </c>
      <c r="B265" t="s">
        <v>362</v>
      </c>
      <c r="C265" t="s">
        <v>363</v>
      </c>
      <c r="D265" t="s">
        <v>8</v>
      </c>
      <c r="F265" t="s">
        <v>1126</v>
      </c>
      <c r="G265" t="s">
        <v>1127</v>
      </c>
      <c r="H265" t="s">
        <v>1128</v>
      </c>
      <c r="K265" s="3"/>
      <c r="L265" t="s">
        <v>485</v>
      </c>
      <c r="M265" t="s">
        <v>1342</v>
      </c>
      <c r="N265" t="s">
        <v>362</v>
      </c>
      <c r="Z265"/>
      <c r="AA265"/>
    </row>
    <row r="266" spans="1:27" x14ac:dyDescent="0.3">
      <c r="A266">
        <v>2</v>
      </c>
      <c r="B266" t="s">
        <v>364</v>
      </c>
      <c r="C266" t="s">
        <v>365</v>
      </c>
      <c r="D266" t="s">
        <v>8</v>
      </c>
      <c r="G266" t="s">
        <v>625</v>
      </c>
      <c r="H266" t="s">
        <v>625</v>
      </c>
      <c r="L266" t="s">
        <v>485</v>
      </c>
      <c r="M266" t="s">
        <v>1342</v>
      </c>
      <c r="N266" t="s">
        <v>364</v>
      </c>
      <c r="Z266"/>
      <c r="AA266"/>
    </row>
    <row r="267" spans="1:27" x14ac:dyDescent="0.3">
      <c r="A267">
        <v>1</v>
      </c>
      <c r="B267" t="s">
        <v>590</v>
      </c>
      <c r="C267" t="s">
        <v>366</v>
      </c>
      <c r="D267" t="s">
        <v>8</v>
      </c>
      <c r="F267" t="s">
        <v>1322</v>
      </c>
      <c r="G267" t="s">
        <v>1323</v>
      </c>
      <c r="H267" t="s">
        <v>1324</v>
      </c>
      <c r="J267" t="s">
        <v>1325</v>
      </c>
      <c r="K267">
        <v>-27181665.609999999</v>
      </c>
      <c r="L267" t="s">
        <v>590</v>
      </c>
      <c r="M267" t="s">
        <v>1342</v>
      </c>
      <c r="Z267"/>
      <c r="AA267"/>
    </row>
    <row r="268" spans="1:27" x14ac:dyDescent="0.3">
      <c r="A268">
        <v>2</v>
      </c>
      <c r="B268" t="s">
        <v>367</v>
      </c>
      <c r="C268" t="s">
        <v>355</v>
      </c>
      <c r="D268" t="s">
        <v>8</v>
      </c>
      <c r="G268" t="s">
        <v>1323</v>
      </c>
      <c r="H268" t="s">
        <v>1324</v>
      </c>
      <c r="J268" t="s">
        <v>1326</v>
      </c>
      <c r="K268">
        <v>-26867352.73</v>
      </c>
      <c r="L268" t="s">
        <v>590</v>
      </c>
      <c r="M268" t="s">
        <v>1342</v>
      </c>
      <c r="N268" t="s">
        <v>367</v>
      </c>
      <c r="O268">
        <v>-26867352.73</v>
      </c>
      <c r="Z268"/>
      <c r="AA268"/>
    </row>
    <row r="269" spans="1:27" x14ac:dyDescent="0.3">
      <c r="A269">
        <v>2</v>
      </c>
      <c r="B269" t="s">
        <v>368</v>
      </c>
      <c r="C269" t="s">
        <v>359</v>
      </c>
      <c r="D269" t="s">
        <v>8</v>
      </c>
      <c r="F269" t="s">
        <v>1322</v>
      </c>
      <c r="G269" t="s">
        <v>1327</v>
      </c>
      <c r="H269" t="s">
        <v>1328</v>
      </c>
      <c r="J269" t="s">
        <v>1329</v>
      </c>
      <c r="K269">
        <v>-314312.88</v>
      </c>
      <c r="L269" t="s">
        <v>590</v>
      </c>
      <c r="M269" t="s">
        <v>1342</v>
      </c>
      <c r="N269" t="s">
        <v>368</v>
      </c>
      <c r="O269">
        <v>-314312.88</v>
      </c>
      <c r="Z269"/>
      <c r="AA269"/>
    </row>
    <row r="270" spans="1:27" x14ac:dyDescent="0.3">
      <c r="A270">
        <v>1</v>
      </c>
      <c r="B270" t="s">
        <v>591</v>
      </c>
      <c r="C270" t="s">
        <v>369</v>
      </c>
      <c r="D270" t="s">
        <v>8</v>
      </c>
      <c r="F270" t="s">
        <v>1330</v>
      </c>
      <c r="G270" t="s">
        <v>1331</v>
      </c>
      <c r="H270" t="s">
        <v>1332</v>
      </c>
      <c r="J270" t="s">
        <v>1333</v>
      </c>
      <c r="K270">
        <v>-48120962357.839996</v>
      </c>
      <c r="L270" t="s">
        <v>591</v>
      </c>
      <c r="M270" t="s">
        <v>1342</v>
      </c>
      <c r="N270" t="s">
        <v>591</v>
      </c>
      <c r="O270">
        <v>-48120962357.839996</v>
      </c>
      <c r="Z270"/>
      <c r="AA270"/>
    </row>
    <row r="271" spans="1:27" x14ac:dyDescent="0.3">
      <c r="A271">
        <v>1</v>
      </c>
      <c r="B271" t="s">
        <v>592</v>
      </c>
      <c r="C271" t="s">
        <v>370</v>
      </c>
      <c r="D271" t="s">
        <v>8</v>
      </c>
      <c r="F271" t="s">
        <v>1334</v>
      </c>
      <c r="J271" t="s">
        <v>1334</v>
      </c>
      <c r="K271">
        <v>-27763189500</v>
      </c>
      <c r="L271" t="s">
        <v>592</v>
      </c>
      <c r="M271" t="s">
        <v>1342</v>
      </c>
      <c r="N271" t="s">
        <v>592</v>
      </c>
      <c r="O271">
        <v>-27763189500</v>
      </c>
      <c r="Z271"/>
      <c r="AA271"/>
    </row>
    <row r="272" spans="1:27" x14ac:dyDescent="0.3">
      <c r="A272">
        <v>1</v>
      </c>
      <c r="B272" t="s">
        <v>593</v>
      </c>
      <c r="C272" t="s">
        <v>371</v>
      </c>
      <c r="D272" t="s">
        <v>8</v>
      </c>
      <c r="F272" t="s">
        <v>1335</v>
      </c>
      <c r="J272" t="s">
        <v>1335</v>
      </c>
      <c r="K272" s="3">
        <v>-673968427.58000004</v>
      </c>
      <c r="L272" t="s">
        <v>593</v>
      </c>
      <c r="M272" t="s">
        <v>1342</v>
      </c>
      <c r="Z272"/>
      <c r="AA272"/>
    </row>
    <row r="273" spans="1:27" x14ac:dyDescent="0.3">
      <c r="A273">
        <v>2</v>
      </c>
      <c r="B273" t="s">
        <v>372</v>
      </c>
      <c r="C273" t="s">
        <v>373</v>
      </c>
      <c r="D273" t="s">
        <v>8</v>
      </c>
      <c r="F273" t="s">
        <v>1336</v>
      </c>
      <c r="J273" t="s">
        <v>1336</v>
      </c>
      <c r="K273" s="3">
        <v>-173867.1</v>
      </c>
      <c r="L273" t="s">
        <v>593</v>
      </c>
      <c r="M273" t="s">
        <v>1342</v>
      </c>
      <c r="N273" t="s">
        <v>372</v>
      </c>
      <c r="O273">
        <v>-173867.1</v>
      </c>
      <c r="Z273"/>
      <c r="AA273"/>
    </row>
    <row r="274" spans="1:27" x14ac:dyDescent="0.3">
      <c r="A274">
        <v>2</v>
      </c>
      <c r="B274" t="s">
        <v>374</v>
      </c>
      <c r="C274" t="s">
        <v>375</v>
      </c>
      <c r="D274" t="s">
        <v>8</v>
      </c>
      <c r="F274" t="s">
        <v>1337</v>
      </c>
      <c r="J274" t="s">
        <v>1337</v>
      </c>
      <c r="K274" s="3">
        <v>-673794560.48000002</v>
      </c>
      <c r="L274" t="s">
        <v>593</v>
      </c>
      <c r="M274" t="s">
        <v>1342</v>
      </c>
      <c r="N274" t="s">
        <v>374</v>
      </c>
      <c r="O274">
        <v>-673794560.48000002</v>
      </c>
      <c r="Z274"/>
      <c r="AA274"/>
    </row>
    <row r="275" spans="1:27" x14ac:dyDescent="0.3">
      <c r="A275">
        <v>1</v>
      </c>
      <c r="B275" t="s">
        <v>594</v>
      </c>
      <c r="C275" t="s">
        <v>376</v>
      </c>
      <c r="D275" t="s">
        <v>8</v>
      </c>
      <c r="F275" t="s">
        <v>1338</v>
      </c>
      <c r="H275" t="s">
        <v>1339</v>
      </c>
      <c r="J275" t="s">
        <v>1340</v>
      </c>
      <c r="K275">
        <v>-4269829911654.54</v>
      </c>
      <c r="L275" t="s">
        <v>594</v>
      </c>
      <c r="M275" t="s">
        <v>1342</v>
      </c>
      <c r="N275" t="s">
        <v>594</v>
      </c>
      <c r="O275">
        <v>-4269829911654.54</v>
      </c>
      <c r="Z275"/>
      <c r="AA275"/>
    </row>
    <row r="276" spans="1:27" x14ac:dyDescent="0.3">
      <c r="A276">
        <v>1</v>
      </c>
      <c r="B276" t="s">
        <v>486</v>
      </c>
      <c r="C276" t="s">
        <v>377</v>
      </c>
      <c r="D276" t="s">
        <v>8</v>
      </c>
      <c r="G276" t="s">
        <v>677</v>
      </c>
      <c r="H276" t="s">
        <v>677</v>
      </c>
      <c r="K276" s="3"/>
      <c r="L276" t="s">
        <v>486</v>
      </c>
      <c r="M276" t="s">
        <v>1342</v>
      </c>
      <c r="Z276"/>
      <c r="AA276"/>
    </row>
    <row r="277" spans="1:27" x14ac:dyDescent="0.3">
      <c r="A277">
        <v>2</v>
      </c>
      <c r="B277" t="s">
        <v>378</v>
      </c>
      <c r="C277" t="s">
        <v>379</v>
      </c>
      <c r="D277" t="s">
        <v>8</v>
      </c>
      <c r="G277" t="s">
        <v>626</v>
      </c>
      <c r="H277" t="s">
        <v>626</v>
      </c>
      <c r="L277" t="s">
        <v>486</v>
      </c>
      <c r="M277" t="s">
        <v>1342</v>
      </c>
      <c r="N277" t="s">
        <v>378</v>
      </c>
      <c r="Z277"/>
      <c r="AA277"/>
    </row>
    <row r="278" spans="1:27" x14ac:dyDescent="0.3">
      <c r="A278">
        <v>2</v>
      </c>
      <c r="B278" t="s">
        <v>380</v>
      </c>
      <c r="C278" t="s">
        <v>381</v>
      </c>
      <c r="D278" t="s">
        <v>8</v>
      </c>
      <c r="G278" t="s">
        <v>627</v>
      </c>
      <c r="H278" t="s">
        <v>627</v>
      </c>
      <c r="L278" t="s">
        <v>486</v>
      </c>
      <c r="M278" t="s">
        <v>1342</v>
      </c>
      <c r="N278" t="s">
        <v>380</v>
      </c>
      <c r="Z278"/>
      <c r="AA278"/>
    </row>
    <row r="279" spans="1:27" x14ac:dyDescent="0.3">
      <c r="A279">
        <v>2</v>
      </c>
      <c r="B279" t="s">
        <v>382</v>
      </c>
      <c r="C279" t="s">
        <v>383</v>
      </c>
      <c r="D279" t="s">
        <v>8</v>
      </c>
      <c r="G279" t="s">
        <v>628</v>
      </c>
      <c r="H279" t="s">
        <v>628</v>
      </c>
      <c r="K279" s="3"/>
      <c r="L279" t="s">
        <v>486</v>
      </c>
      <c r="M279" t="s">
        <v>1342</v>
      </c>
      <c r="N279" t="s">
        <v>382</v>
      </c>
      <c r="Z279"/>
      <c r="AA279"/>
    </row>
    <row r="280" spans="1:27" x14ac:dyDescent="0.3">
      <c r="A280">
        <v>2</v>
      </c>
      <c r="B280" t="s">
        <v>384</v>
      </c>
      <c r="C280" t="s">
        <v>385</v>
      </c>
      <c r="D280" t="s">
        <v>8</v>
      </c>
      <c r="G280" t="s">
        <v>629</v>
      </c>
      <c r="H280" t="s">
        <v>629</v>
      </c>
      <c r="L280" t="s">
        <v>486</v>
      </c>
      <c r="M280" t="s">
        <v>1342</v>
      </c>
      <c r="N280" t="s">
        <v>384</v>
      </c>
      <c r="Z280"/>
      <c r="AA280"/>
    </row>
    <row r="281" spans="1:27" x14ac:dyDescent="0.3">
      <c r="A281">
        <v>1</v>
      </c>
      <c r="B281" t="s">
        <v>487</v>
      </c>
      <c r="C281" t="s">
        <v>386</v>
      </c>
      <c r="D281" t="s">
        <v>8</v>
      </c>
      <c r="G281" t="s">
        <v>678</v>
      </c>
      <c r="H281" t="s">
        <v>678</v>
      </c>
      <c r="K281" s="3"/>
      <c r="L281" t="s">
        <v>487</v>
      </c>
      <c r="M281" t="s">
        <v>1342</v>
      </c>
      <c r="Z281"/>
      <c r="AA281"/>
    </row>
    <row r="282" spans="1:27" x14ac:dyDescent="0.3">
      <c r="A282">
        <v>2</v>
      </c>
      <c r="B282" t="s">
        <v>387</v>
      </c>
      <c r="C282" t="s">
        <v>386</v>
      </c>
      <c r="D282" t="s">
        <v>8</v>
      </c>
      <c r="G282" t="s">
        <v>630</v>
      </c>
      <c r="H282" t="s">
        <v>630</v>
      </c>
      <c r="L282" t="s">
        <v>487</v>
      </c>
      <c r="M282" t="s">
        <v>1342</v>
      </c>
      <c r="N282" t="s">
        <v>387</v>
      </c>
      <c r="Z282"/>
      <c r="AA282"/>
    </row>
    <row r="283" spans="1:27" x14ac:dyDescent="0.3">
      <c r="A283">
        <v>2</v>
      </c>
      <c r="B283" t="s">
        <v>388</v>
      </c>
      <c r="C283" t="s">
        <v>389</v>
      </c>
      <c r="D283" t="s">
        <v>8</v>
      </c>
      <c r="G283" t="s">
        <v>631</v>
      </c>
      <c r="H283" t="s">
        <v>631</v>
      </c>
      <c r="L283" t="s">
        <v>487</v>
      </c>
      <c r="M283" t="s">
        <v>1342</v>
      </c>
      <c r="N283" t="s">
        <v>388</v>
      </c>
      <c r="Z283"/>
      <c r="AA283"/>
    </row>
    <row r="284" spans="1:27" x14ac:dyDescent="0.3">
      <c r="A284">
        <v>2</v>
      </c>
      <c r="B284" t="s">
        <v>390</v>
      </c>
      <c r="C284" t="s">
        <v>391</v>
      </c>
      <c r="D284" t="s">
        <v>8</v>
      </c>
      <c r="G284" t="s">
        <v>632</v>
      </c>
      <c r="H284" t="s">
        <v>632</v>
      </c>
      <c r="L284" t="s">
        <v>487</v>
      </c>
      <c r="M284" t="s">
        <v>1342</v>
      </c>
      <c r="N284" t="s">
        <v>390</v>
      </c>
      <c r="Z284"/>
      <c r="AA284"/>
    </row>
    <row r="285" spans="1:27" x14ac:dyDescent="0.3">
      <c r="A285">
        <v>1</v>
      </c>
      <c r="B285" t="s">
        <v>488</v>
      </c>
      <c r="C285" t="s">
        <v>392</v>
      </c>
      <c r="D285" t="s">
        <v>8</v>
      </c>
      <c r="G285" t="s">
        <v>679</v>
      </c>
      <c r="H285" t="s">
        <v>679</v>
      </c>
      <c r="L285" t="s">
        <v>488</v>
      </c>
      <c r="M285" t="s">
        <v>1342</v>
      </c>
      <c r="Z285"/>
      <c r="AA285"/>
    </row>
    <row r="286" spans="1:27" x14ac:dyDescent="0.3">
      <c r="A286">
        <v>2</v>
      </c>
      <c r="B286" t="s">
        <v>393</v>
      </c>
      <c r="C286" t="s">
        <v>394</v>
      </c>
      <c r="D286" t="s">
        <v>8</v>
      </c>
      <c r="G286" t="s">
        <v>633</v>
      </c>
      <c r="H286" t="s">
        <v>633</v>
      </c>
      <c r="K286" s="3"/>
      <c r="L286" t="s">
        <v>488</v>
      </c>
      <c r="M286" t="s">
        <v>1342</v>
      </c>
      <c r="N286" t="s">
        <v>393</v>
      </c>
      <c r="Z286"/>
      <c r="AA286"/>
    </row>
    <row r="287" spans="1:27" x14ac:dyDescent="0.3">
      <c r="A287">
        <v>2</v>
      </c>
      <c r="B287" t="s">
        <v>399</v>
      </c>
      <c r="C287" t="s">
        <v>400</v>
      </c>
      <c r="D287" t="s">
        <v>8</v>
      </c>
      <c r="G287" t="s">
        <v>636</v>
      </c>
      <c r="H287" t="s">
        <v>636</v>
      </c>
      <c r="L287" t="s">
        <v>488</v>
      </c>
      <c r="M287" t="s">
        <v>1342</v>
      </c>
      <c r="N287" t="s">
        <v>399</v>
      </c>
      <c r="Z287"/>
      <c r="AA287"/>
    </row>
    <row r="288" spans="1:27" x14ac:dyDescent="0.3">
      <c r="A288">
        <v>2</v>
      </c>
      <c r="B288" t="s">
        <v>395</v>
      </c>
      <c r="C288" t="s">
        <v>396</v>
      </c>
      <c r="D288" t="s">
        <v>8</v>
      </c>
      <c r="G288" t="s">
        <v>634</v>
      </c>
      <c r="H288" t="s">
        <v>634</v>
      </c>
      <c r="K288" s="3"/>
      <c r="L288" t="s">
        <v>488</v>
      </c>
      <c r="M288" t="s">
        <v>1342</v>
      </c>
      <c r="N288" t="s">
        <v>395</v>
      </c>
      <c r="Z288"/>
      <c r="AA288"/>
    </row>
    <row r="289" spans="1:27" x14ac:dyDescent="0.3">
      <c r="A289">
        <v>2</v>
      </c>
      <c r="B289" t="s">
        <v>397</v>
      </c>
      <c r="C289" t="s">
        <v>398</v>
      </c>
      <c r="D289" t="s">
        <v>8</v>
      </c>
      <c r="G289" t="s">
        <v>635</v>
      </c>
      <c r="H289" t="s">
        <v>635</v>
      </c>
      <c r="L289" t="s">
        <v>488</v>
      </c>
      <c r="M289" t="s">
        <v>1342</v>
      </c>
      <c r="N289" t="s">
        <v>397</v>
      </c>
      <c r="Z289"/>
      <c r="AA289"/>
    </row>
    <row r="290" spans="1:27" x14ac:dyDescent="0.3">
      <c r="A290">
        <v>1</v>
      </c>
      <c r="B290" t="s">
        <v>489</v>
      </c>
      <c r="C290" t="s">
        <v>401</v>
      </c>
      <c r="D290" t="s">
        <v>8</v>
      </c>
      <c r="G290" t="s">
        <v>680</v>
      </c>
      <c r="H290" t="s">
        <v>680</v>
      </c>
      <c r="L290" t="s">
        <v>489</v>
      </c>
      <c r="M290" t="s">
        <v>1342</v>
      </c>
      <c r="Z290"/>
      <c r="AA290"/>
    </row>
    <row r="291" spans="1:27" x14ac:dyDescent="0.3">
      <c r="A291">
        <v>2</v>
      </c>
      <c r="B291" t="s">
        <v>402</v>
      </c>
      <c r="C291" t="s">
        <v>403</v>
      </c>
      <c r="D291" t="s">
        <v>8</v>
      </c>
      <c r="G291" t="s">
        <v>637</v>
      </c>
      <c r="H291" t="s">
        <v>637</v>
      </c>
      <c r="L291" t="s">
        <v>489</v>
      </c>
      <c r="M291" t="s">
        <v>1342</v>
      </c>
      <c r="N291" t="s">
        <v>402</v>
      </c>
      <c r="Z291"/>
      <c r="AA291"/>
    </row>
    <row r="292" spans="1:27" x14ac:dyDescent="0.3">
      <c r="A292">
        <v>2</v>
      </c>
      <c r="B292" t="s">
        <v>404</v>
      </c>
      <c r="C292" t="s">
        <v>405</v>
      </c>
      <c r="D292" t="s">
        <v>8</v>
      </c>
      <c r="G292" t="s">
        <v>638</v>
      </c>
      <c r="H292" t="s">
        <v>638</v>
      </c>
      <c r="K292" s="3"/>
      <c r="L292" t="s">
        <v>489</v>
      </c>
      <c r="M292" t="s">
        <v>1342</v>
      </c>
      <c r="N292" t="s">
        <v>404</v>
      </c>
      <c r="Z292"/>
      <c r="AA292"/>
    </row>
    <row r="293" spans="1:27" x14ac:dyDescent="0.3">
      <c r="A293">
        <v>1</v>
      </c>
      <c r="B293" t="s">
        <v>490</v>
      </c>
      <c r="C293" t="s">
        <v>406</v>
      </c>
      <c r="D293" t="s">
        <v>8</v>
      </c>
      <c r="G293" t="s">
        <v>681</v>
      </c>
      <c r="H293" t="s">
        <v>681</v>
      </c>
      <c r="L293" t="s">
        <v>490</v>
      </c>
      <c r="M293" t="s">
        <v>1342</v>
      </c>
      <c r="Z293"/>
      <c r="AA293"/>
    </row>
    <row r="294" spans="1:27" x14ac:dyDescent="0.3">
      <c r="A294">
        <v>2</v>
      </c>
      <c r="B294" t="s">
        <v>407</v>
      </c>
      <c r="C294" t="s">
        <v>408</v>
      </c>
      <c r="D294" t="s">
        <v>8</v>
      </c>
      <c r="G294" t="s">
        <v>639</v>
      </c>
      <c r="H294" t="s">
        <v>639</v>
      </c>
      <c r="K294" s="3"/>
      <c r="L294" t="s">
        <v>490</v>
      </c>
      <c r="M294" t="s">
        <v>1342</v>
      </c>
      <c r="N294" t="s">
        <v>407</v>
      </c>
      <c r="Z294"/>
      <c r="AA294"/>
    </row>
    <row r="295" spans="1:27" x14ac:dyDescent="0.3">
      <c r="A295">
        <v>2</v>
      </c>
      <c r="B295" t="s">
        <v>409</v>
      </c>
      <c r="C295" t="s">
        <v>410</v>
      </c>
      <c r="D295" t="s">
        <v>8</v>
      </c>
      <c r="G295" t="s">
        <v>640</v>
      </c>
      <c r="H295" t="s">
        <v>640</v>
      </c>
      <c r="K295" s="3"/>
      <c r="L295" t="s">
        <v>490</v>
      </c>
      <c r="M295" t="s">
        <v>1342</v>
      </c>
      <c r="N295" t="s">
        <v>409</v>
      </c>
      <c r="Z295"/>
      <c r="AA295"/>
    </row>
    <row r="296" spans="1:27" x14ac:dyDescent="0.3">
      <c r="A296">
        <v>2</v>
      </c>
      <c r="B296" t="s">
        <v>411</v>
      </c>
      <c r="C296" t="s">
        <v>412</v>
      </c>
      <c r="D296" t="s">
        <v>8</v>
      </c>
      <c r="G296" t="s">
        <v>641</v>
      </c>
      <c r="H296" t="s">
        <v>641</v>
      </c>
      <c r="L296" t="s">
        <v>490</v>
      </c>
      <c r="M296" t="s">
        <v>1342</v>
      </c>
      <c r="N296" t="s">
        <v>411</v>
      </c>
      <c r="Z296"/>
      <c r="AA296"/>
    </row>
    <row r="297" spans="1:27" x14ac:dyDescent="0.3">
      <c r="A297">
        <v>2</v>
      </c>
      <c r="B297" t="s">
        <v>413</v>
      </c>
      <c r="C297" t="s">
        <v>414</v>
      </c>
      <c r="D297" t="s">
        <v>8</v>
      </c>
      <c r="G297" t="s">
        <v>642</v>
      </c>
      <c r="H297" t="s">
        <v>642</v>
      </c>
      <c r="L297" t="s">
        <v>490</v>
      </c>
      <c r="M297" t="s">
        <v>1342</v>
      </c>
      <c r="N297" t="s">
        <v>413</v>
      </c>
      <c r="Z297"/>
      <c r="AA297"/>
    </row>
    <row r="298" spans="1:27" x14ac:dyDescent="0.3">
      <c r="A298">
        <v>1</v>
      </c>
      <c r="B298" t="s">
        <v>491</v>
      </c>
      <c r="C298" t="s">
        <v>415</v>
      </c>
      <c r="D298" t="s">
        <v>8</v>
      </c>
      <c r="G298" t="s">
        <v>682</v>
      </c>
      <c r="H298" t="s">
        <v>682</v>
      </c>
      <c r="K298" s="3"/>
      <c r="L298" t="s">
        <v>491</v>
      </c>
      <c r="M298" t="s">
        <v>1342</v>
      </c>
      <c r="Z298"/>
      <c r="AA298"/>
    </row>
    <row r="299" spans="1:27" x14ac:dyDescent="0.3">
      <c r="A299">
        <v>2</v>
      </c>
      <c r="B299" t="s">
        <v>416</v>
      </c>
      <c r="C299" t="s">
        <v>415</v>
      </c>
      <c r="D299" t="s">
        <v>8</v>
      </c>
      <c r="G299" t="s">
        <v>643</v>
      </c>
      <c r="H299" t="s">
        <v>643</v>
      </c>
      <c r="L299" t="s">
        <v>491</v>
      </c>
      <c r="M299" t="s">
        <v>1342</v>
      </c>
      <c r="N299" t="s">
        <v>416</v>
      </c>
      <c r="Z299"/>
      <c r="AA299"/>
    </row>
    <row r="300" spans="1:27" x14ac:dyDescent="0.3">
      <c r="A300">
        <v>2</v>
      </c>
      <c r="B300" t="s">
        <v>417</v>
      </c>
      <c r="C300" t="s">
        <v>418</v>
      </c>
      <c r="D300" t="s">
        <v>8</v>
      </c>
      <c r="G300" t="s">
        <v>631</v>
      </c>
      <c r="H300" t="s">
        <v>631</v>
      </c>
      <c r="K300" s="3"/>
      <c r="L300" t="s">
        <v>491</v>
      </c>
      <c r="M300" t="s">
        <v>1342</v>
      </c>
      <c r="N300" t="s">
        <v>417</v>
      </c>
      <c r="Z300"/>
      <c r="AA300"/>
    </row>
    <row r="301" spans="1:27" x14ac:dyDescent="0.3">
      <c r="A301">
        <v>2</v>
      </c>
      <c r="B301" t="s">
        <v>419</v>
      </c>
      <c r="C301" t="s">
        <v>420</v>
      </c>
      <c r="D301" t="s">
        <v>8</v>
      </c>
      <c r="G301" t="s">
        <v>644</v>
      </c>
      <c r="H301" t="s">
        <v>644</v>
      </c>
      <c r="L301" t="s">
        <v>491</v>
      </c>
      <c r="M301" t="s">
        <v>1342</v>
      </c>
      <c r="N301" t="s">
        <v>419</v>
      </c>
      <c r="Z301"/>
      <c r="AA301"/>
    </row>
    <row r="302" spans="1:27" x14ac:dyDescent="0.3">
      <c r="A302">
        <v>1</v>
      </c>
      <c r="B302" t="s">
        <v>509</v>
      </c>
      <c r="C302" t="s">
        <v>421</v>
      </c>
      <c r="D302" t="s">
        <v>8</v>
      </c>
      <c r="G302" t="s">
        <v>683</v>
      </c>
      <c r="H302" t="s">
        <v>683</v>
      </c>
      <c r="L302" t="s">
        <v>509</v>
      </c>
      <c r="M302" t="s">
        <v>1342</v>
      </c>
      <c r="N302" t="s">
        <v>509</v>
      </c>
      <c r="Z302"/>
      <c r="AA302"/>
    </row>
    <row r="303" spans="1:27" x14ac:dyDescent="0.3">
      <c r="A303">
        <v>1</v>
      </c>
      <c r="B303" t="s">
        <v>510</v>
      </c>
      <c r="C303" t="s">
        <v>422</v>
      </c>
      <c r="D303" t="s">
        <v>8</v>
      </c>
      <c r="G303" t="s">
        <v>684</v>
      </c>
      <c r="H303" t="s">
        <v>684</v>
      </c>
      <c r="L303" t="s">
        <v>510</v>
      </c>
      <c r="M303" t="s">
        <v>1342</v>
      </c>
      <c r="N303" t="s">
        <v>510</v>
      </c>
      <c r="Z303"/>
      <c r="AA303"/>
    </row>
    <row r="304" spans="1:27" x14ac:dyDescent="0.3">
      <c r="A304">
        <v>1</v>
      </c>
      <c r="B304" t="s">
        <v>511</v>
      </c>
      <c r="C304" t="s">
        <v>423</v>
      </c>
      <c r="D304" t="s">
        <v>8</v>
      </c>
      <c r="G304" t="s">
        <v>685</v>
      </c>
      <c r="H304" t="s">
        <v>685</v>
      </c>
      <c r="K304" s="3"/>
      <c r="L304" t="s">
        <v>511</v>
      </c>
      <c r="M304" t="s">
        <v>1342</v>
      </c>
      <c r="N304" t="s">
        <v>511</v>
      </c>
      <c r="Z304"/>
      <c r="AA304"/>
    </row>
    <row r="305" spans="1:27" x14ac:dyDescent="0.3">
      <c r="A305">
        <v>1</v>
      </c>
      <c r="B305" t="s">
        <v>512</v>
      </c>
      <c r="C305" t="s">
        <v>423</v>
      </c>
      <c r="D305" t="s">
        <v>8</v>
      </c>
      <c r="G305" t="s">
        <v>686</v>
      </c>
      <c r="H305" t="s">
        <v>686</v>
      </c>
      <c r="K305" s="3"/>
      <c r="L305" t="s">
        <v>512</v>
      </c>
      <c r="M305" t="s">
        <v>1342</v>
      </c>
      <c r="N305" t="s">
        <v>512</v>
      </c>
      <c r="Z305"/>
      <c r="AA305"/>
    </row>
    <row r="306" spans="1:27" x14ac:dyDescent="0.3">
      <c r="A306">
        <v>2</v>
      </c>
      <c r="B306" t="s">
        <v>492</v>
      </c>
      <c r="C306" t="s">
        <v>424</v>
      </c>
      <c r="D306" t="s">
        <v>8</v>
      </c>
      <c r="G306" t="s">
        <v>645</v>
      </c>
      <c r="H306" t="s">
        <v>645</v>
      </c>
      <c r="L306" t="s">
        <v>492</v>
      </c>
      <c r="M306" t="s">
        <v>1342</v>
      </c>
      <c r="N306" t="s">
        <v>492</v>
      </c>
      <c r="Z306"/>
      <c r="AA306"/>
    </row>
    <row r="307" spans="1:27" x14ac:dyDescent="0.3">
      <c r="A307">
        <v>1</v>
      </c>
      <c r="B307" t="s">
        <v>492</v>
      </c>
      <c r="C307" t="s">
        <v>424</v>
      </c>
      <c r="D307" t="s">
        <v>8</v>
      </c>
      <c r="G307" t="s">
        <v>687</v>
      </c>
      <c r="H307" t="s">
        <v>687</v>
      </c>
      <c r="L307" t="s">
        <v>492</v>
      </c>
      <c r="M307" t="s">
        <v>1342</v>
      </c>
      <c r="Z307"/>
      <c r="AA307"/>
    </row>
    <row r="308" spans="1:27" x14ac:dyDescent="0.3">
      <c r="A308">
        <v>2</v>
      </c>
      <c r="B308" t="s">
        <v>425</v>
      </c>
      <c r="C308" t="s">
        <v>426</v>
      </c>
      <c r="D308" t="s">
        <v>8</v>
      </c>
      <c r="G308" t="s">
        <v>646</v>
      </c>
      <c r="H308" t="s">
        <v>646</v>
      </c>
      <c r="L308" t="s">
        <v>492</v>
      </c>
      <c r="M308" t="s">
        <v>1342</v>
      </c>
      <c r="N308" t="s">
        <v>425</v>
      </c>
      <c r="Z308"/>
      <c r="AA308"/>
    </row>
    <row r="309" spans="1:27" x14ac:dyDescent="0.3">
      <c r="A309">
        <v>2</v>
      </c>
      <c r="B309" t="s">
        <v>427</v>
      </c>
      <c r="C309" t="s">
        <v>424</v>
      </c>
      <c r="D309" t="s">
        <v>8</v>
      </c>
      <c r="G309" t="s">
        <v>647</v>
      </c>
      <c r="H309" t="s">
        <v>647</v>
      </c>
      <c r="L309" t="s">
        <v>492</v>
      </c>
      <c r="M309" t="s">
        <v>1342</v>
      </c>
      <c r="N309" t="s">
        <v>427</v>
      </c>
      <c r="Z309"/>
      <c r="AA309"/>
    </row>
    <row r="310" spans="1:27" x14ac:dyDescent="0.3">
      <c r="A310">
        <v>2</v>
      </c>
      <c r="B310" t="s">
        <v>428</v>
      </c>
      <c r="C310" t="s">
        <v>429</v>
      </c>
      <c r="D310" t="s">
        <v>8</v>
      </c>
      <c r="G310" t="s">
        <v>648</v>
      </c>
      <c r="H310" t="s">
        <v>648</v>
      </c>
      <c r="L310" t="s">
        <v>492</v>
      </c>
      <c r="M310" t="s">
        <v>1342</v>
      </c>
      <c r="N310" t="s">
        <v>428</v>
      </c>
      <c r="Z310"/>
      <c r="AA310"/>
    </row>
    <row r="311" spans="1:27" x14ac:dyDescent="0.3">
      <c r="A311">
        <v>2</v>
      </c>
      <c r="B311" t="s">
        <v>430</v>
      </c>
      <c r="C311" t="s">
        <v>431</v>
      </c>
      <c r="D311" t="s">
        <v>8</v>
      </c>
      <c r="G311" t="s">
        <v>649</v>
      </c>
      <c r="H311" t="s">
        <v>649</v>
      </c>
      <c r="L311" t="s">
        <v>492</v>
      </c>
      <c r="M311" t="s">
        <v>1342</v>
      </c>
      <c r="N311" t="s">
        <v>430</v>
      </c>
      <c r="Z311"/>
      <c r="AA311"/>
    </row>
    <row r="312" spans="1:27" x14ac:dyDescent="0.3">
      <c r="A312">
        <v>2</v>
      </c>
      <c r="B312" t="s">
        <v>432</v>
      </c>
      <c r="C312" t="s">
        <v>433</v>
      </c>
      <c r="D312" t="s">
        <v>8</v>
      </c>
      <c r="G312" t="s">
        <v>650</v>
      </c>
      <c r="H312" t="s">
        <v>650</v>
      </c>
      <c r="K312" s="3"/>
      <c r="L312" t="s">
        <v>492</v>
      </c>
      <c r="M312" t="s">
        <v>1342</v>
      </c>
      <c r="N312" t="s">
        <v>432</v>
      </c>
      <c r="Z312"/>
      <c r="AA312"/>
    </row>
    <row r="313" spans="1:27" x14ac:dyDescent="0.3">
      <c r="A313">
        <v>2</v>
      </c>
      <c r="B313" t="s">
        <v>493</v>
      </c>
      <c r="C313" t="s">
        <v>434</v>
      </c>
      <c r="D313" t="s">
        <v>8</v>
      </c>
      <c r="G313" t="s">
        <v>651</v>
      </c>
      <c r="H313" t="s">
        <v>651</v>
      </c>
      <c r="K313" s="3"/>
      <c r="L313" t="s">
        <v>493</v>
      </c>
      <c r="M313" t="s">
        <v>1342</v>
      </c>
      <c r="N313" t="s">
        <v>493</v>
      </c>
      <c r="Z313"/>
      <c r="AA313"/>
    </row>
    <row r="314" spans="1:27" x14ac:dyDescent="0.3">
      <c r="A314">
        <v>1</v>
      </c>
      <c r="B314" t="s">
        <v>493</v>
      </c>
      <c r="C314" t="s">
        <v>434</v>
      </c>
      <c r="D314" t="s">
        <v>8</v>
      </c>
      <c r="G314" t="s">
        <v>688</v>
      </c>
      <c r="H314" t="s">
        <v>688</v>
      </c>
      <c r="K314" s="3"/>
      <c r="L314" t="s">
        <v>493</v>
      </c>
      <c r="M314" t="s">
        <v>1342</v>
      </c>
      <c r="Z314"/>
      <c r="AA314"/>
    </row>
    <row r="315" spans="1:27" x14ac:dyDescent="0.3">
      <c r="A315">
        <v>2</v>
      </c>
      <c r="B315" t="s">
        <v>435</v>
      </c>
      <c r="C315" t="s">
        <v>436</v>
      </c>
      <c r="D315" t="s">
        <v>8</v>
      </c>
      <c r="G315" t="s">
        <v>652</v>
      </c>
      <c r="H315" t="s">
        <v>652</v>
      </c>
      <c r="K315" s="3"/>
      <c r="L315" t="s">
        <v>493</v>
      </c>
      <c r="M315" t="s">
        <v>1342</v>
      </c>
      <c r="N315" t="s">
        <v>435</v>
      </c>
      <c r="Z315"/>
      <c r="AA315"/>
    </row>
    <row r="316" spans="1:27" x14ac:dyDescent="0.3">
      <c r="A316">
        <v>2</v>
      </c>
      <c r="B316" t="s">
        <v>437</v>
      </c>
      <c r="C316" t="s">
        <v>438</v>
      </c>
      <c r="D316" t="s">
        <v>8</v>
      </c>
      <c r="G316" t="s">
        <v>653</v>
      </c>
      <c r="H316" t="s">
        <v>653</v>
      </c>
      <c r="K316" s="3"/>
      <c r="L316" t="s">
        <v>493</v>
      </c>
      <c r="M316" t="s">
        <v>1342</v>
      </c>
      <c r="N316" t="s">
        <v>437</v>
      </c>
      <c r="Z316"/>
      <c r="AA316"/>
    </row>
    <row r="317" spans="1:27" x14ac:dyDescent="0.3">
      <c r="A317">
        <v>2</v>
      </c>
      <c r="B317" t="s">
        <v>439</v>
      </c>
      <c r="C317" t="s">
        <v>440</v>
      </c>
      <c r="D317" t="s">
        <v>8</v>
      </c>
      <c r="G317" t="s">
        <v>654</v>
      </c>
      <c r="H317" t="s">
        <v>654</v>
      </c>
      <c r="K317" s="3"/>
      <c r="L317" t="s">
        <v>493</v>
      </c>
      <c r="M317" t="s">
        <v>1342</v>
      </c>
      <c r="N317" t="s">
        <v>439</v>
      </c>
      <c r="Z317"/>
      <c r="AA317"/>
    </row>
    <row r="318" spans="1:27" x14ac:dyDescent="0.3">
      <c r="A318">
        <v>2</v>
      </c>
      <c r="B318" t="s">
        <v>441</v>
      </c>
      <c r="C318" t="s">
        <v>442</v>
      </c>
      <c r="D318" t="s">
        <v>8</v>
      </c>
      <c r="G318" t="s">
        <v>655</v>
      </c>
      <c r="H318" t="s">
        <v>655</v>
      </c>
      <c r="K318" s="3"/>
      <c r="L318" t="s">
        <v>493</v>
      </c>
      <c r="M318" t="s">
        <v>1342</v>
      </c>
      <c r="N318" t="s">
        <v>441</v>
      </c>
      <c r="Z318"/>
      <c r="AA318"/>
    </row>
    <row r="319" spans="1:27" x14ac:dyDescent="0.3">
      <c r="A319">
        <v>1</v>
      </c>
      <c r="B319" t="s">
        <v>513</v>
      </c>
      <c r="C319" t="s">
        <v>443</v>
      </c>
      <c r="D319" t="s">
        <v>8</v>
      </c>
      <c r="G319" t="s">
        <v>689</v>
      </c>
      <c r="H319" t="s">
        <v>689</v>
      </c>
      <c r="K319" s="3"/>
      <c r="L319" t="s">
        <v>513</v>
      </c>
      <c r="M319" t="s">
        <v>1342</v>
      </c>
      <c r="N319" t="s">
        <v>513</v>
      </c>
      <c r="Z319"/>
      <c r="AA319"/>
    </row>
    <row r="320" spans="1:27" x14ac:dyDescent="0.3">
      <c r="A320">
        <v>1</v>
      </c>
      <c r="B320" t="s">
        <v>514</v>
      </c>
      <c r="C320" t="s">
        <v>444</v>
      </c>
      <c r="D320" t="s">
        <v>8</v>
      </c>
      <c r="G320" t="s">
        <v>690</v>
      </c>
      <c r="H320" t="s">
        <v>690</v>
      </c>
      <c r="L320" t="s">
        <v>514</v>
      </c>
      <c r="M320" t="s">
        <v>1342</v>
      </c>
      <c r="N320" t="s">
        <v>514</v>
      </c>
      <c r="Z320"/>
      <c r="AA320"/>
    </row>
    <row r="321" spans="1:27" x14ac:dyDescent="0.3">
      <c r="A321">
        <v>2</v>
      </c>
      <c r="B321" t="s">
        <v>494</v>
      </c>
      <c r="C321" t="s">
        <v>445</v>
      </c>
      <c r="D321" t="s">
        <v>8</v>
      </c>
      <c r="G321" t="s">
        <v>656</v>
      </c>
      <c r="H321" t="s">
        <v>656</v>
      </c>
      <c r="K321" s="3"/>
      <c r="L321" t="s">
        <v>494</v>
      </c>
      <c r="M321" t="s">
        <v>1342</v>
      </c>
      <c r="N321" t="s">
        <v>494</v>
      </c>
      <c r="R321" s="3"/>
      <c r="S321" s="3"/>
      <c r="Z321"/>
      <c r="AA321"/>
    </row>
    <row r="322" spans="1:27" x14ac:dyDescent="0.3">
      <c r="A322">
        <v>1</v>
      </c>
      <c r="B322" t="s">
        <v>494</v>
      </c>
      <c r="C322" t="s">
        <v>445</v>
      </c>
      <c r="D322" t="s">
        <v>8</v>
      </c>
      <c r="G322" t="s">
        <v>691</v>
      </c>
      <c r="H322" t="s">
        <v>691</v>
      </c>
      <c r="K322" s="3"/>
      <c r="L322" t="s">
        <v>494</v>
      </c>
      <c r="M322" t="s">
        <v>1342</v>
      </c>
      <c r="R322" s="3"/>
      <c r="S322" s="3"/>
      <c r="Z322"/>
      <c r="AA322"/>
    </row>
    <row r="323" spans="1:27" x14ac:dyDescent="0.3">
      <c r="A323">
        <v>2</v>
      </c>
      <c r="B323" t="s">
        <v>446</v>
      </c>
      <c r="C323" t="s">
        <v>447</v>
      </c>
      <c r="D323" t="s">
        <v>8</v>
      </c>
      <c r="G323" t="s">
        <v>657</v>
      </c>
      <c r="H323" t="s">
        <v>657</v>
      </c>
      <c r="K323" s="3"/>
      <c r="L323" t="s">
        <v>494</v>
      </c>
      <c r="M323" t="s">
        <v>1342</v>
      </c>
      <c r="N323" t="s">
        <v>446</v>
      </c>
      <c r="R323" s="3"/>
      <c r="S323" s="3"/>
      <c r="Z323"/>
      <c r="AA323"/>
    </row>
    <row r="324" spans="1:27" x14ac:dyDescent="0.3">
      <c r="A324">
        <v>2</v>
      </c>
      <c r="B324" t="s">
        <v>448</v>
      </c>
      <c r="C324" t="s">
        <v>449</v>
      </c>
      <c r="D324" t="s">
        <v>8</v>
      </c>
      <c r="G324" t="s">
        <v>658</v>
      </c>
      <c r="H324" t="s">
        <v>658</v>
      </c>
      <c r="L324" t="s">
        <v>494</v>
      </c>
      <c r="M324" t="s">
        <v>1342</v>
      </c>
      <c r="N324" t="s">
        <v>448</v>
      </c>
      <c r="R324" s="3"/>
      <c r="S324" s="3"/>
      <c r="Z324"/>
      <c r="AA324"/>
    </row>
    <row r="325" spans="1:27" x14ac:dyDescent="0.3">
      <c r="A325">
        <v>2</v>
      </c>
      <c r="B325" t="s">
        <v>450</v>
      </c>
      <c r="C325" t="s">
        <v>451</v>
      </c>
      <c r="D325" t="s">
        <v>8</v>
      </c>
      <c r="G325" t="s">
        <v>659</v>
      </c>
      <c r="H325" t="s">
        <v>659</v>
      </c>
      <c r="L325" t="s">
        <v>494</v>
      </c>
      <c r="M325" t="s">
        <v>1342</v>
      </c>
      <c r="N325" t="s">
        <v>450</v>
      </c>
      <c r="R325" s="3"/>
      <c r="S325" s="3"/>
      <c r="Z325"/>
      <c r="AA325"/>
    </row>
    <row r="326" spans="1:27" x14ac:dyDescent="0.3">
      <c r="A326">
        <v>1</v>
      </c>
      <c r="B326" t="s">
        <v>515</v>
      </c>
      <c r="C326" t="s">
        <v>452</v>
      </c>
      <c r="D326" t="s">
        <v>8</v>
      </c>
      <c r="G326" t="s">
        <v>669</v>
      </c>
      <c r="H326" t="s">
        <v>669</v>
      </c>
      <c r="K326" s="3"/>
      <c r="L326" t="s">
        <v>515</v>
      </c>
      <c r="M326" t="s">
        <v>1342</v>
      </c>
      <c r="N326" t="s">
        <v>515</v>
      </c>
      <c r="R326" s="3"/>
      <c r="S326" s="3"/>
      <c r="Z326"/>
      <c r="AA326"/>
    </row>
    <row r="327" spans="1:27" x14ac:dyDescent="0.3">
      <c r="A327">
        <v>1</v>
      </c>
      <c r="B327" t="s">
        <v>516</v>
      </c>
      <c r="C327" t="s">
        <v>453</v>
      </c>
      <c r="D327" t="s">
        <v>8</v>
      </c>
      <c r="G327" t="s">
        <v>692</v>
      </c>
      <c r="H327" t="s">
        <v>692</v>
      </c>
      <c r="K327" s="3"/>
      <c r="L327" t="s">
        <v>516</v>
      </c>
      <c r="M327" t="s">
        <v>1342</v>
      </c>
      <c r="N327" t="s">
        <v>516</v>
      </c>
      <c r="R327" s="3"/>
      <c r="S327" s="3"/>
      <c r="Z327"/>
      <c r="AA327"/>
    </row>
    <row r="328" spans="1:27" x14ac:dyDescent="0.3">
      <c r="A328">
        <v>1</v>
      </c>
      <c r="B328" t="s">
        <v>517</v>
      </c>
      <c r="C328" t="s">
        <v>454</v>
      </c>
      <c r="D328" t="s">
        <v>8</v>
      </c>
      <c r="G328" t="s">
        <v>693</v>
      </c>
      <c r="H328" t="s">
        <v>693</v>
      </c>
      <c r="K328" s="3"/>
      <c r="L328" t="s">
        <v>517</v>
      </c>
      <c r="M328" t="s">
        <v>1342</v>
      </c>
      <c r="N328" t="s">
        <v>517</v>
      </c>
      <c r="R328" s="3"/>
      <c r="S328" s="3"/>
      <c r="Z328"/>
      <c r="AA328"/>
    </row>
    <row r="329" spans="1:27" x14ac:dyDescent="0.3">
      <c r="A329">
        <v>1</v>
      </c>
      <c r="B329" t="s">
        <v>495</v>
      </c>
      <c r="C329" t="s">
        <v>455</v>
      </c>
      <c r="D329" t="s">
        <v>8</v>
      </c>
      <c r="G329" t="s">
        <v>660</v>
      </c>
      <c r="H329" t="s">
        <v>660</v>
      </c>
      <c r="K329" s="3"/>
      <c r="L329" t="s">
        <v>495</v>
      </c>
      <c r="M329" t="s">
        <v>1342</v>
      </c>
      <c r="R329" s="3"/>
      <c r="S329" s="3"/>
      <c r="Z329"/>
      <c r="AA329"/>
    </row>
    <row r="330" spans="1:27" x14ac:dyDescent="0.3">
      <c r="A330">
        <v>2</v>
      </c>
      <c r="B330" t="s">
        <v>456</v>
      </c>
      <c r="C330" t="s">
        <v>457</v>
      </c>
      <c r="D330" t="s">
        <v>8</v>
      </c>
      <c r="G330" t="s">
        <v>660</v>
      </c>
      <c r="H330" t="s">
        <v>660</v>
      </c>
      <c r="L330" t="s">
        <v>495</v>
      </c>
      <c r="M330" t="s">
        <v>1342</v>
      </c>
      <c r="N330" t="s">
        <v>456</v>
      </c>
      <c r="R330" s="3"/>
      <c r="S330" s="3"/>
      <c r="Z330"/>
      <c r="AA330"/>
    </row>
    <row r="331" spans="1:27" x14ac:dyDescent="0.3">
      <c r="A331">
        <v>1</v>
      </c>
      <c r="B331" t="s">
        <v>518</v>
      </c>
      <c r="C331" t="s">
        <v>458</v>
      </c>
      <c r="D331" t="s">
        <v>8</v>
      </c>
      <c r="G331" t="s">
        <v>694</v>
      </c>
      <c r="H331" t="s">
        <v>694</v>
      </c>
      <c r="L331" t="s">
        <v>518</v>
      </c>
      <c r="M331" t="s">
        <v>1342</v>
      </c>
      <c r="N331" t="s">
        <v>518</v>
      </c>
      <c r="R331" s="3"/>
      <c r="S331" s="3"/>
      <c r="Z331"/>
      <c r="AA331"/>
    </row>
    <row r="332" spans="1:27" x14ac:dyDescent="0.3">
      <c r="A332">
        <v>1</v>
      </c>
      <c r="B332" t="s">
        <v>519</v>
      </c>
      <c r="C332" t="s">
        <v>459</v>
      </c>
      <c r="D332" t="s">
        <v>8</v>
      </c>
      <c r="G332" t="s">
        <v>695</v>
      </c>
      <c r="H332" t="s">
        <v>695</v>
      </c>
      <c r="L332" t="s">
        <v>519</v>
      </c>
      <c r="M332" t="s">
        <v>1342</v>
      </c>
      <c r="N332" t="s">
        <v>519</v>
      </c>
      <c r="R332" s="3"/>
      <c r="S332" s="3"/>
      <c r="Z332"/>
      <c r="AA332"/>
    </row>
    <row r="333" spans="1:27" x14ac:dyDescent="0.3">
      <c r="A333">
        <v>1</v>
      </c>
      <c r="B333" t="s">
        <v>461</v>
      </c>
      <c r="C333" t="s">
        <v>462</v>
      </c>
      <c r="D333" t="s">
        <v>8</v>
      </c>
      <c r="G333" t="s">
        <v>460</v>
      </c>
      <c r="H333" t="s">
        <v>460</v>
      </c>
      <c r="L333" t="s">
        <v>461</v>
      </c>
      <c r="M333" t="s">
        <v>1342</v>
      </c>
      <c r="N333" t="s">
        <v>461</v>
      </c>
      <c r="R333" s="3"/>
      <c r="S333" s="3"/>
      <c r="Z333"/>
      <c r="AA333"/>
    </row>
  </sheetData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04E5B-3BB1-450E-A8D1-E196BB4F9060}">
  <sheetPr published="0" codeName="Sheet22">
    <tabColor theme="4"/>
  </sheetPr>
  <dimension ref="C1:Y69"/>
  <sheetViews>
    <sheetView zoomScale="85" zoomScaleNormal="85" workbookViewId="0">
      <selection activeCell="P5" sqref="P5"/>
    </sheetView>
  </sheetViews>
  <sheetFormatPr defaultRowHeight="14.4" x14ac:dyDescent="0.3"/>
  <cols>
    <col min="3" max="4" width="39" customWidth="1"/>
    <col min="5" max="5" width="24.6640625" customWidth="1"/>
    <col min="6" max="6" width="13.77734375" customWidth="1"/>
    <col min="7" max="7" width="24.33203125" customWidth="1"/>
    <col min="8" max="9" width="15.44140625" style="8" customWidth="1"/>
    <col min="10" max="10" width="9.33203125" style="8" bestFit="1" customWidth="1"/>
    <col min="11" max="11" width="15.88671875" style="8" customWidth="1"/>
    <col min="12" max="12" width="38.109375" style="8" customWidth="1"/>
    <col min="13" max="13" width="15.88671875" style="8" customWidth="1"/>
    <col min="14" max="14" width="35.21875" style="8" bestFit="1" customWidth="1"/>
    <col min="15" max="15" width="27.77734375" style="8" bestFit="1" customWidth="1"/>
    <col min="16" max="16" width="20.77734375" style="8" customWidth="1"/>
    <col min="17" max="17" width="15.88671875" style="8" customWidth="1"/>
    <col min="18" max="23" width="15.88671875" customWidth="1"/>
    <col min="24" max="24" width="78.88671875" style="109" customWidth="1"/>
    <col min="25" max="25" width="15.88671875" customWidth="1"/>
    <col min="26" max="26" width="80.88671875" customWidth="1"/>
    <col min="27" max="27" width="33.77734375" customWidth="1"/>
    <col min="28" max="28" width="80.88671875" customWidth="1"/>
    <col min="29" max="29" width="80.88671875" bestFit="1" customWidth="1"/>
    <col min="30" max="74" width="14.33203125" customWidth="1"/>
  </cols>
  <sheetData>
    <row r="1" spans="3:24" x14ac:dyDescent="0.3">
      <c r="D1" s="20" t="s">
        <v>3163</v>
      </c>
      <c r="E1" s="20" t="s">
        <v>3165</v>
      </c>
      <c r="F1" s="20" t="s">
        <v>3166</v>
      </c>
      <c r="G1" s="20" t="s">
        <v>3167</v>
      </c>
      <c r="H1" s="20" t="s">
        <v>3162</v>
      </c>
      <c r="I1" s="20" t="s">
        <v>3165</v>
      </c>
      <c r="J1" s="20" t="s">
        <v>3166</v>
      </c>
      <c r="K1" s="8" t="s">
        <v>3168</v>
      </c>
      <c r="L1" s="89" t="s">
        <v>1453</v>
      </c>
      <c r="O1" s="20"/>
      <c r="S1" s="53"/>
      <c r="T1" s="53"/>
      <c r="U1" s="53"/>
    </row>
    <row r="2" spans="3:24" x14ac:dyDescent="0.3">
      <c r="C2" s="87" t="s">
        <v>3044</v>
      </c>
      <c r="D2" s="88">
        <f>SUMIF(BS_full_IFRS_int[name],Reports!C2,BS_full_IFRS_int[dr_cr])/1000</f>
        <v>415100.74986000004</v>
      </c>
      <c r="E2" s="88"/>
      <c r="F2" s="88">
        <f>D38</f>
        <v>-374856.75280999998</v>
      </c>
      <c r="G2" s="88">
        <f>SUM(D2:F2)</f>
        <v>40243.997050000064</v>
      </c>
      <c r="H2" s="88">
        <f>SUMIF(BS_full_IFRS[name],Reports!C2,BS_full_IFRS[dr_cr])/1000</f>
        <v>424732.59583999997</v>
      </c>
      <c r="I2" s="88"/>
      <c r="J2" s="88">
        <f>-H2</f>
        <v>-424732.59583999997</v>
      </c>
      <c r="K2" s="8">
        <f>SUM(H2:J2)</f>
        <v>0</v>
      </c>
      <c r="L2" s="8" t="str">
        <f t="shared" ref="L2:L7" si="0">C2</f>
        <v>Deferred tax asset</v>
      </c>
      <c r="N2"/>
      <c r="O2" t="s">
        <v>3169</v>
      </c>
      <c r="P2" s="20" t="s">
        <v>3167</v>
      </c>
      <c r="Q2" s="20" t="s">
        <v>3162</v>
      </c>
      <c r="S2" t="s">
        <v>3170</v>
      </c>
    </row>
    <row r="3" spans="3:24" x14ac:dyDescent="0.3">
      <c r="C3" s="87" t="s">
        <v>3043</v>
      </c>
      <c r="D3" s="88">
        <f>SUMIF(BS_full_IFRS_int[name],Reports!C3,BS_full_IFRS_int[dr_cr])/1000</f>
        <v>25798.89705</v>
      </c>
      <c r="E3" s="88"/>
      <c r="F3" s="88"/>
      <c r="G3" s="88">
        <f t="shared" ref="G3:G10" si="1">SUM(D3:F3)</f>
        <v>25798.89705</v>
      </c>
      <c r="H3" s="88">
        <f>SUMIF(BS_full_IFRS[name],Reports!C3,BS_full_IFRS[dr_cr])/1000</f>
        <v>47171.236499999992</v>
      </c>
      <c r="I3" s="88"/>
      <c r="J3" s="88"/>
      <c r="K3" s="8">
        <f t="shared" ref="K3:K10" si="2">SUM(H3:J3)</f>
        <v>47171.236499999992</v>
      </c>
      <c r="L3" s="8" t="str">
        <f t="shared" si="0"/>
        <v>Intangible assets</v>
      </c>
      <c r="N3" t="s">
        <v>3142</v>
      </c>
      <c r="O3" s="3">
        <v>5773463</v>
      </c>
      <c r="P3" s="8">
        <f>SUMIF(L:L,N3,G:G)</f>
        <v>6192799.0795</v>
      </c>
      <c r="Q3" s="8">
        <f t="shared" ref="Q3:Q8" si="3">SUMIF(L:L,N3,K:K)</f>
        <v>4699212.4761300003</v>
      </c>
      <c r="S3" s="8">
        <f>Q3-P3</f>
        <v>-1493586.6033699997</v>
      </c>
      <c r="T3" s="8"/>
      <c r="U3" s="8"/>
      <c r="X3" s="110" t="s">
        <v>3171</v>
      </c>
    </row>
    <row r="4" spans="3:24" x14ac:dyDescent="0.3">
      <c r="C4" s="87" t="s">
        <v>3065</v>
      </c>
      <c r="D4" s="88">
        <f>SUMIF(BS_full_IFRS_int[name],Reports!C4,BS_full_IFRS_int[dr_cr])/1000</f>
        <v>-481857.52382</v>
      </c>
      <c r="E4" s="88"/>
      <c r="F4" s="88"/>
      <c r="G4" s="88">
        <f t="shared" si="1"/>
        <v>-481857.52382</v>
      </c>
      <c r="H4" s="88">
        <f>SUMIF(BS_full_IFRS[name],Reports!C4,BS_full_IFRS[dr_cr])/1000</f>
        <v>-476452.81412000005</v>
      </c>
      <c r="I4" s="88"/>
      <c r="J4" s="88"/>
      <c r="K4" s="8">
        <f t="shared" si="2"/>
        <v>-476452.81412000005</v>
      </c>
      <c r="L4" s="8" t="str">
        <f t="shared" si="0"/>
        <v>Property, plant and equipment</v>
      </c>
      <c r="N4" t="s">
        <v>3090</v>
      </c>
      <c r="O4" s="3">
        <v>75871.60282641949</v>
      </c>
      <c r="P4" s="8">
        <f t="shared" ref="P4:P8" si="4">SUMIF(L:L,N4,G:G)</f>
        <v>160973.63876</v>
      </c>
      <c r="Q4" s="8">
        <f t="shared" si="3"/>
        <v>86992.164839999998</v>
      </c>
      <c r="S4" s="8">
        <f t="shared" ref="S4:S8" si="5">Q4-P4</f>
        <v>-73981.473920000004</v>
      </c>
      <c r="T4" s="8"/>
      <c r="U4" s="8"/>
      <c r="X4" s="111" t="s">
        <v>3172</v>
      </c>
    </row>
    <row r="5" spans="3:24" x14ac:dyDescent="0.3">
      <c r="C5" s="87" t="s">
        <v>3142</v>
      </c>
      <c r="D5" s="88">
        <f>SUMIF(BS_full_IFRS_int[name],Reports!C5,BS_full_IFRS_int[dr_cr])/1000</f>
        <v>6192799.0795</v>
      </c>
      <c r="E5" s="88"/>
      <c r="F5" s="88"/>
      <c r="G5" s="88">
        <f t="shared" si="1"/>
        <v>6192799.0795</v>
      </c>
      <c r="H5" s="88">
        <f>SUMIF(BS_full_IFRS[name],Reports!C5,BS_full_IFRS[dr_cr])/1000</f>
        <v>4699212.4761300003</v>
      </c>
      <c r="I5" s="88"/>
      <c r="J5" s="88"/>
      <c r="K5" s="8">
        <f t="shared" si="2"/>
        <v>4699212.4761300003</v>
      </c>
      <c r="L5" s="8" t="str">
        <f t="shared" si="0"/>
        <v>Fixed assets for operating lease</v>
      </c>
      <c r="N5" t="s">
        <v>3044</v>
      </c>
      <c r="O5" s="3">
        <v>40243.527912120691</v>
      </c>
      <c r="P5" s="8">
        <f>SUMIF(L:L,N5,G:G)</f>
        <v>40243.997050000064</v>
      </c>
      <c r="Q5" s="8">
        <f t="shared" si="3"/>
        <v>0</v>
      </c>
      <c r="S5" s="8">
        <f t="shared" si="5"/>
        <v>-40243.997050000064</v>
      </c>
      <c r="T5" s="8"/>
      <c r="U5" s="8"/>
      <c r="X5" s="110" t="s">
        <v>3173</v>
      </c>
    </row>
    <row r="6" spans="3:24" x14ac:dyDescent="0.3">
      <c r="C6" s="87" t="s">
        <v>3090</v>
      </c>
      <c r="D6" s="88">
        <f>SUMIF(BS_full_IFRS_int[name],Reports!C6,BS_full_IFRS_int[dr_cr])/1000</f>
        <v>160973.63876</v>
      </c>
      <c r="E6" s="88"/>
      <c r="F6" s="88"/>
      <c r="G6" s="88">
        <f t="shared" si="1"/>
        <v>160973.63876</v>
      </c>
      <c r="H6" s="88">
        <f>SUMIF(BS_full_IFRS[name],Reports!C6,BS_full_IFRS[dr_cr])/1000</f>
        <v>86992.164839999998</v>
      </c>
      <c r="I6" s="88"/>
      <c r="J6" s="88"/>
      <c r="K6" s="8">
        <f t="shared" si="2"/>
        <v>86992.164839999998</v>
      </c>
      <c r="L6" s="8" t="str">
        <f t="shared" si="0"/>
        <v>Right-of-use assets</v>
      </c>
      <c r="N6" t="s">
        <v>3043</v>
      </c>
      <c r="O6" s="3">
        <v>25798.104810000001</v>
      </c>
      <c r="P6" s="8">
        <f t="shared" si="4"/>
        <v>25798.89705</v>
      </c>
      <c r="Q6" s="8">
        <f t="shared" si="3"/>
        <v>47171.236499999992</v>
      </c>
      <c r="S6" s="8">
        <f t="shared" si="5"/>
        <v>21372.339449999992</v>
      </c>
      <c r="T6" s="8"/>
      <c r="U6" s="8"/>
      <c r="X6" s="110" t="s">
        <v>3174</v>
      </c>
    </row>
    <row r="7" spans="3:24" x14ac:dyDescent="0.3">
      <c r="C7" s="87" t="s">
        <v>3061</v>
      </c>
      <c r="D7" s="88">
        <f>SUMIF(BS_full_IFRS_int[name],Reports!C7,BS_full_IFRS_int[dr_cr])/1000</f>
        <v>1445722.8783799999</v>
      </c>
      <c r="E7" s="88"/>
      <c r="F7" s="88"/>
      <c r="G7" s="88">
        <f t="shared" si="1"/>
        <v>1445722.8783799999</v>
      </c>
      <c r="H7" s="88">
        <f>SUMIF(BS_full_IFRS[name],Reports!C7,BS_full_IFRS[dr_cr])/1000</f>
        <v>762445.95142000006</v>
      </c>
      <c r="I7" s="88"/>
      <c r="J7" s="88"/>
      <c r="K7" s="8">
        <f t="shared" si="2"/>
        <v>762445.95142000006</v>
      </c>
      <c r="L7" s="8" t="str">
        <f t="shared" si="0"/>
        <v>Finance Lease receivables non-current</v>
      </c>
      <c r="N7" t="s">
        <v>3065</v>
      </c>
      <c r="O7" s="3">
        <v>22581</v>
      </c>
      <c r="P7" s="8">
        <f t="shared" si="4"/>
        <v>-481857.52382</v>
      </c>
      <c r="Q7" s="8">
        <f t="shared" si="3"/>
        <v>-476452.81412000005</v>
      </c>
      <c r="S7" s="8">
        <f t="shared" si="5"/>
        <v>5404.7096999999485</v>
      </c>
      <c r="T7" s="8"/>
      <c r="U7" s="8"/>
      <c r="X7" s="110" t="s">
        <v>3175</v>
      </c>
    </row>
    <row r="8" spans="3:24" x14ac:dyDescent="0.3">
      <c r="C8" t="s">
        <v>3091</v>
      </c>
      <c r="D8" s="88">
        <f>SUMIF(BS_full_IFRS_int[name],Reports!C8,BS_full_IFRS_int[dr_cr])/1000</f>
        <v>-52241.618000000002</v>
      </c>
      <c r="E8" s="88"/>
      <c r="F8" s="88"/>
      <c r="G8" s="88">
        <f t="shared" si="1"/>
        <v>-52241.618000000002</v>
      </c>
      <c r="H8" s="88">
        <f>SUMIF(BS_full_IFRS[name],Reports!C8,BS_full_IFRS[dr_cr])/1000</f>
        <v>-51715.335439999995</v>
      </c>
      <c r="I8" s="88"/>
      <c r="J8" s="88"/>
      <c r="K8" s="8">
        <f t="shared" si="2"/>
        <v>-51715.335439999995</v>
      </c>
      <c r="L8" s="8" t="str">
        <f>L7</f>
        <v>Finance Lease receivables non-current</v>
      </c>
      <c r="N8" t="s">
        <v>3061</v>
      </c>
      <c r="O8" s="3">
        <v>1434307.9187351377</v>
      </c>
      <c r="P8" s="8">
        <f t="shared" si="4"/>
        <v>1393481.2603799999</v>
      </c>
      <c r="Q8" s="8">
        <f t="shared" si="3"/>
        <v>710730.61598</v>
      </c>
      <c r="S8" s="8">
        <f t="shared" si="5"/>
        <v>-682750.64439999987</v>
      </c>
      <c r="T8" s="8"/>
      <c r="U8" s="8"/>
      <c r="X8" s="110" t="s">
        <v>3176</v>
      </c>
    </row>
    <row r="9" spans="3:24" x14ac:dyDescent="0.3">
      <c r="C9" t="s">
        <v>3067</v>
      </c>
      <c r="D9" s="88">
        <f>SUMIF(BS_full_IFRS_int[name],Reports!C9,BS_full_IFRS_int[dr_cr])/1000</f>
        <v>578000</v>
      </c>
      <c r="E9" s="88">
        <f>-D9</f>
        <v>-578000</v>
      </c>
      <c r="F9" s="88"/>
      <c r="G9" s="88">
        <f t="shared" si="1"/>
        <v>0</v>
      </c>
      <c r="H9" s="88">
        <f>SUMIF(BS_full_IFRS[name],Reports!C9,BS_full_IFRS[dr_cr])/1000</f>
        <v>578000</v>
      </c>
      <c r="I9" s="88">
        <f>-H9</f>
        <v>-578000</v>
      </c>
      <c r="J9" s="88"/>
      <c r="K9" s="8">
        <f t="shared" si="2"/>
        <v>0</v>
      </c>
      <c r="N9" t="s">
        <v>3076</v>
      </c>
      <c r="O9" s="3">
        <v>7372265.1542836782</v>
      </c>
      <c r="X9" s="110" t="s">
        <v>3177</v>
      </c>
    </row>
    <row r="10" spans="3:24" x14ac:dyDescent="0.3">
      <c r="C10" s="87" t="s">
        <v>3066</v>
      </c>
      <c r="D10" s="88">
        <f>SUMIF(BS_full_IFRS_int[name],Reports!C10,BS_full_IFRS_int[dr_cr])/1000</f>
        <v>142569.97705000002</v>
      </c>
      <c r="E10" s="88">
        <f>-D10</f>
        <v>-142569.97705000002</v>
      </c>
      <c r="F10" s="88"/>
      <c r="G10" s="88">
        <f t="shared" si="1"/>
        <v>0</v>
      </c>
      <c r="H10" s="88">
        <f>SUMIF(BS_full_IFRS[name],Reports!C10,BS_full_IFRS[dr_cr])/1000</f>
        <v>142569.97705000002</v>
      </c>
      <c r="I10" s="88">
        <f>-H10</f>
        <v>-142569.97705000002</v>
      </c>
      <c r="J10" s="88"/>
      <c r="K10" s="8">
        <f t="shared" si="2"/>
        <v>0</v>
      </c>
      <c r="N10" t="s">
        <v>1543</v>
      </c>
      <c r="O10"/>
      <c r="X10" s="110" t="s">
        <v>3178</v>
      </c>
    </row>
    <row r="11" spans="3:24" x14ac:dyDescent="0.3">
      <c r="C11" s="15" t="s">
        <v>3076</v>
      </c>
      <c r="D11" s="15"/>
      <c r="E11" s="15"/>
      <c r="F11" s="15"/>
      <c r="G11" s="15"/>
      <c r="H11" s="88"/>
      <c r="I11" s="88"/>
      <c r="J11" s="88"/>
      <c r="N11" t="s">
        <v>3045</v>
      </c>
      <c r="O11" s="117">
        <v>54630.918871602284</v>
      </c>
      <c r="P11" s="8">
        <f t="shared" ref="P11:P17" si="6">SUMIF(L:L,N11,G:G)</f>
        <v>54630.665720000005</v>
      </c>
      <c r="Q11" s="8">
        <f t="shared" ref="Q11:Q17" si="7">SUMIF(L:L,N11,K:K)</f>
        <v>33342.73446</v>
      </c>
      <c r="S11" s="8">
        <f t="shared" ref="S11:S17" si="8">Q11-P11</f>
        <v>-21287.931260000005</v>
      </c>
      <c r="T11" s="8"/>
      <c r="U11" s="8"/>
      <c r="V11" s="8"/>
      <c r="X11" s="110" t="s">
        <v>3179</v>
      </c>
    </row>
    <row r="12" spans="3:24" x14ac:dyDescent="0.3">
      <c r="C12" s="87"/>
      <c r="D12" s="87"/>
      <c r="E12" s="87"/>
      <c r="F12" s="87"/>
      <c r="G12" s="87"/>
      <c r="H12" s="88"/>
      <c r="I12" s="88"/>
      <c r="J12" s="88"/>
      <c r="N12" t="s">
        <v>3048</v>
      </c>
      <c r="O12" s="3">
        <v>314507.28461999982</v>
      </c>
      <c r="P12" s="8">
        <f t="shared" si="6"/>
        <v>323749.49703999999</v>
      </c>
      <c r="Q12" s="8">
        <f t="shared" si="7"/>
        <v>136103.37422</v>
      </c>
      <c r="S12" s="8">
        <f t="shared" si="8"/>
        <v>-187646.12281999999</v>
      </c>
      <c r="T12" s="8"/>
      <c r="U12" s="8"/>
      <c r="V12" s="8"/>
      <c r="X12" s="110" t="s">
        <v>3180</v>
      </c>
    </row>
    <row r="13" spans="3:24" x14ac:dyDescent="0.3">
      <c r="C13" s="87" t="s">
        <v>3045</v>
      </c>
      <c r="D13" s="88">
        <f>SUMIF(BS_full_IFRS_int[name],Reports!C13,BS_full_IFRS_int[dr_cr])/1000</f>
        <v>54630.665720000005</v>
      </c>
      <c r="E13" s="88"/>
      <c r="F13" s="88"/>
      <c r="G13" s="88">
        <f t="shared" ref="G13:G24" si="9">SUM(D13:F13)</f>
        <v>54630.665720000005</v>
      </c>
      <c r="H13" s="88">
        <f>SUMIF(BS_full_IFRS[name],Reports!C13,BS_full_IFRS[dr_cr])/1000</f>
        <v>33342.73446</v>
      </c>
      <c r="I13" s="88"/>
      <c r="J13" s="88"/>
      <c r="K13" s="8">
        <f t="shared" ref="K13:K24" si="10">SUM(H13:J13)</f>
        <v>33342.73446</v>
      </c>
      <c r="L13" s="8" t="str">
        <f>C13</f>
        <v>Inventories</v>
      </c>
      <c r="N13" t="s">
        <v>3146</v>
      </c>
      <c r="O13" s="3">
        <v>488900.70535999991</v>
      </c>
      <c r="P13" s="8">
        <f t="shared" si="6"/>
        <v>489007.83583000005</v>
      </c>
      <c r="Q13" s="8">
        <f t="shared" si="7"/>
        <v>46373.128060000003</v>
      </c>
      <c r="S13" s="8">
        <f t="shared" si="8"/>
        <v>-442634.70777000004</v>
      </c>
      <c r="T13" s="8"/>
      <c r="U13" s="8"/>
      <c r="V13" s="8"/>
      <c r="X13" s="110" t="s">
        <v>3181</v>
      </c>
    </row>
    <row r="14" spans="3:24" x14ac:dyDescent="0.3">
      <c r="C14" s="87" t="s">
        <v>3048</v>
      </c>
      <c r="D14" s="88">
        <f>SUMIF(BS_full_IFRS_int[name],Reports!C14,BS_full_IFRS_int[dr_cr])/1000</f>
        <v>283151.75407999998</v>
      </c>
      <c r="E14" s="88"/>
      <c r="F14" s="88"/>
      <c r="G14" s="88">
        <f t="shared" si="9"/>
        <v>283151.75407999998</v>
      </c>
      <c r="H14" s="88">
        <f>SUMIF(BS_full_IFRS[name],Reports!C14,BS_full_IFRS[dr_cr])/1000</f>
        <v>102500.51767</v>
      </c>
      <c r="I14" s="88"/>
      <c r="J14" s="88"/>
      <c r="K14" s="8">
        <f t="shared" si="10"/>
        <v>102500.51767</v>
      </c>
      <c r="L14" s="8" t="str">
        <f t="shared" ref="L14:L15" si="11">C14</f>
        <v>Advances paid to suppliers</v>
      </c>
      <c r="N14" t="s">
        <v>3049</v>
      </c>
      <c r="O14" s="3">
        <v>194448.80776180257</v>
      </c>
      <c r="P14" s="8">
        <f t="shared" si="6"/>
        <v>255572.74076000002</v>
      </c>
      <c r="Q14" s="8">
        <f t="shared" si="7"/>
        <v>157669.34143000003</v>
      </c>
      <c r="S14" s="8">
        <f t="shared" si="8"/>
        <v>-97903.399329999986</v>
      </c>
      <c r="T14" s="8"/>
      <c r="U14" s="8"/>
      <c r="V14" s="8"/>
      <c r="X14" s="110" t="s">
        <v>3182</v>
      </c>
    </row>
    <row r="15" spans="3:24" ht="15" thickBot="1" x14ac:dyDescent="0.35">
      <c r="C15" s="87" t="s">
        <v>3049</v>
      </c>
      <c r="D15" s="88">
        <f>SUMIF(BS_full_IFRS_int[name],Reports!C15,BS_full_IFRS_int[dr_cr])/1000</f>
        <v>274720.20075000002</v>
      </c>
      <c r="E15" s="88"/>
      <c r="F15" s="88"/>
      <c r="G15" s="88">
        <f t="shared" si="9"/>
        <v>274720.20075000002</v>
      </c>
      <c r="H15" s="88">
        <f>SUMIF(BS_full_IFRS[name],Reports!C15,BS_full_IFRS[dr_cr])/1000</f>
        <v>166849.02256000001</v>
      </c>
      <c r="I15" s="88"/>
      <c r="J15" s="88"/>
      <c r="K15" s="8">
        <f t="shared" si="10"/>
        <v>166849.02256000001</v>
      </c>
      <c r="L15" s="8" t="str">
        <f t="shared" si="11"/>
        <v>Trade receivables</v>
      </c>
      <c r="N15" t="s">
        <v>3046</v>
      </c>
      <c r="O15" s="3">
        <v>578915.6826399999</v>
      </c>
      <c r="P15" s="8">
        <f t="shared" si="6"/>
        <v>578915.66938999994</v>
      </c>
      <c r="Q15" s="8">
        <f t="shared" si="7"/>
        <v>1152744.85424</v>
      </c>
      <c r="S15" s="37">
        <f>Q15-P15</f>
        <v>573829.18485000008</v>
      </c>
      <c r="T15" s="37"/>
      <c r="U15" s="37"/>
      <c r="X15" s="112"/>
    </row>
    <row r="16" spans="3:24" x14ac:dyDescent="0.3">
      <c r="C16" s="87" t="s">
        <v>3071</v>
      </c>
      <c r="D16" s="88">
        <f>SUMIF(BS_full_IFRS_int[name],Reports!C16,BS_full_IFRS_int[dr_cr])/1000</f>
        <v>-57.13655</v>
      </c>
      <c r="E16" s="88"/>
      <c r="F16" s="88"/>
      <c r="G16" s="88">
        <f t="shared" si="9"/>
        <v>-57.13655</v>
      </c>
      <c r="H16" s="88">
        <f>SUMIF(BS_full_IFRS[name],Reports!C16,BS_full_IFRS[dr_cr])/1000</f>
        <v>-57.13655</v>
      </c>
      <c r="I16" s="88"/>
      <c r="J16" s="88"/>
      <c r="K16" s="8">
        <f t="shared" si="10"/>
        <v>-57.13655</v>
      </c>
      <c r="L16" s="8" t="s">
        <v>3049</v>
      </c>
      <c r="N16" t="s">
        <v>3077</v>
      </c>
      <c r="O16" s="3">
        <v>919891.81795719999</v>
      </c>
      <c r="P16" s="8">
        <f t="shared" si="6"/>
        <v>918249.06146</v>
      </c>
      <c r="Q16" s="8">
        <f t="shared" si="7"/>
        <v>1005350.4495</v>
      </c>
      <c r="S16" s="8">
        <f t="shared" si="8"/>
        <v>87101.388039999991</v>
      </c>
      <c r="T16" s="8"/>
      <c r="U16" s="8"/>
      <c r="X16" s="74"/>
    </row>
    <row r="17" spans="3:24" x14ac:dyDescent="0.3">
      <c r="C17" t="s">
        <v>3070</v>
      </c>
      <c r="D17" s="88">
        <f>SUMIF(BS_full_IFRS_int[name],Reports!C17,BS_full_IFRS_int[dr_cr])/1000</f>
        <v>-19090.32344</v>
      </c>
      <c r="E17" s="88"/>
      <c r="F17" s="88"/>
      <c r="G17" s="88">
        <f t="shared" si="9"/>
        <v>-19090.32344</v>
      </c>
      <c r="H17" s="88">
        <f>SUMIF(BS_full_IFRS[name],Reports!C17,BS_full_IFRS[dr_cr])/1000</f>
        <v>-9122.5445799999998</v>
      </c>
      <c r="I17" s="88"/>
      <c r="J17" s="88"/>
      <c r="K17" s="8">
        <f t="shared" si="10"/>
        <v>-9122.5445799999998</v>
      </c>
      <c r="L17" s="8" t="s">
        <v>3049</v>
      </c>
      <c r="N17" t="s">
        <v>3054</v>
      </c>
      <c r="O17" s="3">
        <v>12155.69111</v>
      </c>
      <c r="P17" s="8">
        <f t="shared" si="6"/>
        <v>12155.69111</v>
      </c>
      <c r="Q17" s="8">
        <f t="shared" si="7"/>
        <v>8835.3781099999997</v>
      </c>
      <c r="S17" s="8">
        <f t="shared" si="8"/>
        <v>-3320.3130000000001</v>
      </c>
      <c r="T17" s="8"/>
      <c r="U17" s="8"/>
      <c r="X17" s="74" t="s">
        <v>3183</v>
      </c>
    </row>
    <row r="18" spans="3:24" ht="15" thickBot="1" x14ac:dyDescent="0.35">
      <c r="C18" t="s">
        <v>3069</v>
      </c>
      <c r="D18" s="88">
        <f>SUMIF(BS_full_IFRS_int[name],Reports!C18,BS_full_IFRS_int[dr_cr])/1000</f>
        <v>142002.60971000002</v>
      </c>
      <c r="E18" s="88">
        <f>-D18</f>
        <v>-142002.60971000002</v>
      </c>
      <c r="F18" s="88"/>
      <c r="G18" s="88">
        <f t="shared" si="9"/>
        <v>0</v>
      </c>
      <c r="H18" s="88">
        <f>SUMIF(BS_full_IFRS[name],Reports!C18,BS_full_IFRS[dr_cr])/1000</f>
        <v>151462.61614</v>
      </c>
      <c r="I18" s="88">
        <f>-H18</f>
        <v>-151462.61614</v>
      </c>
      <c r="J18" s="88"/>
      <c r="K18" s="8">
        <f t="shared" si="10"/>
        <v>0</v>
      </c>
      <c r="N18" t="s">
        <v>3078</v>
      </c>
      <c r="O18" s="3">
        <v>2563450.9083206044</v>
      </c>
      <c r="X18" s="113"/>
    </row>
    <row r="19" spans="3:24" x14ac:dyDescent="0.3">
      <c r="C19" s="87" t="s">
        <v>3053</v>
      </c>
      <c r="D19" s="88">
        <f>SUMIF(BS_full_IFRS_int[name],Reports!C19,BS_full_IFRS_int[dr_cr])/1000</f>
        <v>40597.742960000003</v>
      </c>
      <c r="E19" s="88"/>
      <c r="F19" s="88"/>
      <c r="G19" s="88">
        <f t="shared" si="9"/>
        <v>40597.742960000003</v>
      </c>
      <c r="H19" s="88">
        <f>SUMIF(BS_full_IFRS[name],Reports!C19,BS_full_IFRS[dr_cr])/1000</f>
        <v>33602.856549999997</v>
      </c>
      <c r="I19" s="88"/>
      <c r="J19" s="88"/>
      <c r="K19" s="8">
        <f t="shared" si="10"/>
        <v>33602.856549999997</v>
      </c>
      <c r="L19" s="8" t="s">
        <v>3048</v>
      </c>
      <c r="N19" t="s">
        <v>1543</v>
      </c>
      <c r="O19"/>
      <c r="X19" s="110"/>
    </row>
    <row r="20" spans="3:24" x14ac:dyDescent="0.3">
      <c r="C20" s="87" t="s">
        <v>3046</v>
      </c>
      <c r="D20" s="88">
        <f>SUMIF(BS_full_IFRS_int[name],Reports!C20,BS_full_IFRS_int[dr_cr])/1000</f>
        <v>578915.66938999994</v>
      </c>
      <c r="E20" s="88"/>
      <c r="F20" s="88"/>
      <c r="G20" s="88">
        <f t="shared" si="9"/>
        <v>578915.66938999994</v>
      </c>
      <c r="H20" s="88">
        <f>SUMIF(BS_full_IFRS[name],Reports!C20,BS_full_IFRS[dr_cr])/1000</f>
        <v>1152744.85424</v>
      </c>
      <c r="I20" s="88"/>
      <c r="J20" s="88"/>
      <c r="K20" s="8">
        <f t="shared" si="10"/>
        <v>1152744.85424</v>
      </c>
      <c r="L20" s="8" t="str">
        <f>C20</f>
        <v>Cash and cash equivalents</v>
      </c>
      <c r="N20" t="s">
        <v>3079</v>
      </c>
      <c r="O20" s="3">
        <v>9935716.0626042821</v>
      </c>
      <c r="X20" s="110" t="s">
        <v>3184</v>
      </c>
    </row>
    <row r="21" spans="3:24" x14ac:dyDescent="0.3">
      <c r="C21" s="87" t="s">
        <v>3088</v>
      </c>
      <c r="D21" s="88">
        <f>SUMIF(BS_full_IFRS_int[name],Reports!C21,BS_full_IFRS_int[dr_cr])/1000</f>
        <v>489007.83583000005</v>
      </c>
      <c r="E21" s="88"/>
      <c r="F21" s="88"/>
      <c r="G21" s="88">
        <f t="shared" si="9"/>
        <v>489007.83583000005</v>
      </c>
      <c r="H21" s="88">
        <f>SUMIF(BS_full_IFRS[name],Reports!C21,BS_full_IFRS[dr_cr])/1000</f>
        <v>46373.128060000003</v>
      </c>
      <c r="I21" s="88"/>
      <c r="J21" s="88"/>
      <c r="K21" s="8">
        <f t="shared" si="10"/>
        <v>46373.128060000003</v>
      </c>
      <c r="L21" t="s">
        <v>3146</v>
      </c>
      <c r="N21" t="s">
        <v>1543</v>
      </c>
      <c r="X21" s="110" t="s">
        <v>3185</v>
      </c>
    </row>
    <row r="22" spans="3:24" x14ac:dyDescent="0.3">
      <c r="C22" s="87" t="s">
        <v>3077</v>
      </c>
      <c r="D22" s="88">
        <f>SUMIF(BS_full_IFRS_int[name],Reports!C22,BS_full_IFRS_int[dr_cr])/1000</f>
        <v>951007.44345999998</v>
      </c>
      <c r="E22" s="88"/>
      <c r="F22" s="88"/>
      <c r="G22" s="88">
        <f t="shared" si="9"/>
        <v>951007.44345999998</v>
      </c>
      <c r="H22" s="88">
        <f>SUMIF(BS_full_IFRS[name],Reports!C22,BS_full_IFRS[dr_cr])/1000</f>
        <v>1037582.54892</v>
      </c>
      <c r="I22" s="88"/>
      <c r="J22" s="88"/>
      <c r="K22" s="8">
        <f t="shared" si="10"/>
        <v>1037582.54892</v>
      </c>
      <c r="L22" s="8" t="s">
        <v>3077</v>
      </c>
      <c r="N22" t="s">
        <v>3080</v>
      </c>
      <c r="O22" s="8">
        <v>-62716.097999999998</v>
      </c>
      <c r="P22" s="8">
        <f t="shared" ref="P22:P25" si="12">SUMIF(L:L,N22,G:G)</f>
        <v>-62716</v>
      </c>
      <c r="Q22" s="8">
        <f>SUMIF(L:L,N22,K:K)</f>
        <v>-62716</v>
      </c>
      <c r="S22" s="8">
        <f t="shared" ref="S22:S24" si="13">Q22-P22</f>
        <v>0</v>
      </c>
      <c r="T22" s="8"/>
      <c r="U22" s="8"/>
      <c r="X22" s="110" t="s">
        <v>3186</v>
      </c>
    </row>
    <row r="23" spans="3:24" ht="15" thickBot="1" x14ac:dyDescent="0.35">
      <c r="C23" t="s">
        <v>3092</v>
      </c>
      <c r="D23" s="88">
        <f>SUMIF(BS_full_IFRS_int[name],Reports!C23,BS_full_IFRS_int[dr_cr])/1000</f>
        <v>-32758.382000000001</v>
      </c>
      <c r="E23" s="88"/>
      <c r="F23" s="88"/>
      <c r="G23" s="88">
        <f t="shared" si="9"/>
        <v>-32758.382000000001</v>
      </c>
      <c r="H23" s="88">
        <f>SUMIF(BS_full_IFRS[name],Reports!C23,BS_full_IFRS[dr_cr])/1000</f>
        <v>-32232.099420000002</v>
      </c>
      <c r="I23" s="88"/>
      <c r="J23" s="88"/>
      <c r="K23" s="8">
        <f t="shared" si="10"/>
        <v>-32232.099420000002</v>
      </c>
      <c r="L23" s="8" t="s">
        <v>3077</v>
      </c>
      <c r="N23" t="s">
        <v>3081</v>
      </c>
      <c r="O23" s="8">
        <v>-205639</v>
      </c>
      <c r="P23" s="8">
        <f t="shared" si="12"/>
        <v>-505639</v>
      </c>
      <c r="Q23" s="8">
        <f t="shared" ref="Q23:Q25" si="14">SUMIF(L:L,N23,K:K)</f>
        <v>-505639</v>
      </c>
      <c r="S23" s="8">
        <f t="shared" si="13"/>
        <v>0</v>
      </c>
      <c r="T23" s="8"/>
      <c r="U23" s="8"/>
      <c r="X23" s="112"/>
    </row>
    <row r="24" spans="3:24" x14ac:dyDescent="0.3">
      <c r="C24" s="87" t="s">
        <v>3054</v>
      </c>
      <c r="D24" s="88">
        <f>SUMIF(BS_full_IFRS_int[name],Reports!C24,BS_full_IFRS_int[dr_cr])/1000</f>
        <v>12155.69111</v>
      </c>
      <c r="E24" s="88"/>
      <c r="F24" s="88"/>
      <c r="G24" s="88">
        <f t="shared" si="9"/>
        <v>12155.69111</v>
      </c>
      <c r="H24" s="88">
        <f>SUMIF(BS_full_IFRS[name],Reports!C24,BS_full_IFRS[dr_cr])/1000</f>
        <v>8835.3781099999997</v>
      </c>
      <c r="I24" s="88"/>
      <c r="J24" s="88"/>
      <c r="K24" s="8">
        <f t="shared" si="10"/>
        <v>8835.3781099999997</v>
      </c>
      <c r="L24" s="8" t="s">
        <v>3054</v>
      </c>
      <c r="N24" t="s">
        <v>3057</v>
      </c>
      <c r="O24" s="8">
        <f>-503613</f>
        <v>-503613</v>
      </c>
      <c r="P24" s="8">
        <f t="shared" si="12"/>
        <v>-203613.098</v>
      </c>
      <c r="Q24" s="8">
        <f t="shared" si="14"/>
        <v>-203613.098</v>
      </c>
      <c r="S24" s="8">
        <f t="shared" si="13"/>
        <v>0</v>
      </c>
      <c r="T24" s="8"/>
      <c r="U24" s="8"/>
      <c r="X24" s="74"/>
    </row>
    <row r="25" spans="3:24" x14ac:dyDescent="0.3">
      <c r="C25" s="15" t="s">
        <v>3078</v>
      </c>
      <c r="D25" s="15"/>
      <c r="E25" s="15"/>
      <c r="F25" s="15"/>
      <c r="G25" s="15"/>
      <c r="H25" s="20"/>
      <c r="I25" s="20"/>
      <c r="J25" s="20"/>
      <c r="N25" t="s">
        <v>3147</v>
      </c>
      <c r="O25" s="108">
        <v>344869.60286848253</v>
      </c>
      <c r="P25" s="8">
        <f t="shared" si="12"/>
        <v>344869.24145999999</v>
      </c>
      <c r="Q25" s="8">
        <f t="shared" si="14"/>
        <v>-151789.49335000003</v>
      </c>
      <c r="S25" s="8">
        <f>Q25-P25</f>
        <v>-496658.73481000005</v>
      </c>
      <c r="T25" s="8"/>
      <c r="U25" s="8"/>
      <c r="X25" s="74" t="s">
        <v>3187</v>
      </c>
    </row>
    <row r="26" spans="3:24" ht="15" thickBot="1" x14ac:dyDescent="0.35">
      <c r="C26" s="87"/>
      <c r="D26" s="87"/>
      <c r="E26" s="87"/>
      <c r="F26" s="87"/>
      <c r="G26" s="87"/>
      <c r="H26" s="88"/>
      <c r="I26" s="88"/>
      <c r="J26" s="88"/>
      <c r="N26" t="s">
        <v>1543</v>
      </c>
      <c r="X26" s="113"/>
    </row>
    <row r="27" spans="3:24" x14ac:dyDescent="0.3">
      <c r="C27" s="15" t="s">
        <v>3079</v>
      </c>
      <c r="D27" s="15"/>
      <c r="E27" s="15"/>
      <c r="F27" s="15"/>
      <c r="G27" s="15"/>
      <c r="H27" s="88"/>
      <c r="I27" s="88"/>
      <c r="J27" s="88"/>
      <c r="N27" t="s">
        <v>3082</v>
      </c>
      <c r="O27" s="108">
        <v>-427098.54810151755</v>
      </c>
      <c r="P27" s="20"/>
      <c r="Q27" s="20"/>
      <c r="X27" s="74"/>
    </row>
    <row r="28" spans="3:24" x14ac:dyDescent="0.3">
      <c r="C28" s="87"/>
      <c r="D28" s="87"/>
      <c r="E28" s="87"/>
      <c r="F28" s="87"/>
      <c r="G28" s="87"/>
      <c r="H28" s="88"/>
      <c r="I28" s="88"/>
      <c r="J28" s="88"/>
      <c r="N28" t="s">
        <v>1543</v>
      </c>
      <c r="X28" s="110" t="s">
        <v>3188</v>
      </c>
    </row>
    <row r="29" spans="3:24" x14ac:dyDescent="0.3">
      <c r="C29" s="87" t="s">
        <v>3080</v>
      </c>
      <c r="D29" s="88">
        <f>SUMIF(BS_full_IFRS_int[name],Reports!C29,BS_full_IFRS_int[dr_cr])/1000</f>
        <v>0</v>
      </c>
      <c r="E29" s="88">
        <v>-62716</v>
      </c>
      <c r="F29" s="88"/>
      <c r="G29" s="88">
        <f t="shared" ref="G29:G31" si="15">SUM(D29:F29)</f>
        <v>-62716</v>
      </c>
      <c r="H29" s="88">
        <f>SUMIF(BS_full_IFRS[name],Reports!C29,BS_full_IFRS[dr_cr])/1000</f>
        <v>0</v>
      </c>
      <c r="I29" s="88">
        <f>-62716</f>
        <v>-62716</v>
      </c>
      <c r="J29" s="88"/>
      <c r="K29" s="8">
        <f t="shared" ref="K29:K38" si="16">SUM(H29:J29)</f>
        <v>-62716</v>
      </c>
      <c r="L29" s="8" t="str">
        <f>C29</f>
        <v>Paid-in share capital</v>
      </c>
      <c r="N29" t="s">
        <v>3073</v>
      </c>
      <c r="O29" s="8">
        <v>-55273.626202556363</v>
      </c>
      <c r="P29" s="8">
        <f t="shared" ref="P29:P30" si="17">SUMIF(L:L,N29,G:G)</f>
        <v>-122363.20316999999</v>
      </c>
      <c r="Q29" s="8">
        <f t="shared" ref="Q29:Q31" si="18">SUMIF(L:L,N29,K:K)</f>
        <v>-58153.858920000006</v>
      </c>
      <c r="S29" s="8">
        <f t="shared" ref="S29:S31" si="19">Q29-P29</f>
        <v>64209.344249999987</v>
      </c>
      <c r="T29" s="8"/>
      <c r="U29" s="8"/>
      <c r="X29" s="110" t="s">
        <v>3189</v>
      </c>
    </row>
    <row r="30" spans="3:24" x14ac:dyDescent="0.3">
      <c r="C30" s="87" t="s">
        <v>3081</v>
      </c>
      <c r="D30" s="88">
        <f>SUMIF(BS_full_IFRS_int[name],Reports!C30,BS_full_IFRS_int[dr_cr])/1000</f>
        <v>0</v>
      </c>
      <c r="E30" s="88">
        <v>-505639</v>
      </c>
      <c r="F30" s="88"/>
      <c r="G30" s="88">
        <f t="shared" si="15"/>
        <v>-505639</v>
      </c>
      <c r="H30" s="88">
        <f>SUMIF(BS_full_IFRS[name],Reports!C30,BS_full_IFRS[dr_cr])/1000</f>
        <v>0</v>
      </c>
      <c r="I30" s="88">
        <v>-505639</v>
      </c>
      <c r="J30" s="88"/>
      <c r="K30" s="8">
        <f t="shared" si="16"/>
        <v>-505639</v>
      </c>
      <c r="L30" s="8" t="str">
        <f t="shared" ref="L30:L31" si="20">C30</f>
        <v>Share premium</v>
      </c>
      <c r="N30" t="s">
        <v>3051</v>
      </c>
      <c r="O30" s="8">
        <v>-5159415.2199600004</v>
      </c>
      <c r="P30" s="8">
        <f t="shared" si="17"/>
        <v>-5159415.1780000003</v>
      </c>
      <c r="Q30" s="8">
        <f t="shared" si="18"/>
        <v>-3098934.2786400001</v>
      </c>
      <c r="S30" s="8">
        <f t="shared" si="19"/>
        <v>2060480.8993600002</v>
      </c>
      <c r="T30" s="8"/>
      <c r="U30" s="8"/>
      <c r="X30" s="110" t="s">
        <v>3190</v>
      </c>
    </row>
    <row r="31" spans="3:24" x14ac:dyDescent="0.3">
      <c r="C31" s="87" t="s">
        <v>3057</v>
      </c>
      <c r="D31" s="88">
        <f>SUMIF(BS_full_IFRS_int[name],Reports!C31,BS_full_IFRS_int[dr_cr])/1000</f>
        <v>-771968.098</v>
      </c>
      <c r="E31" s="88">
        <v>568355</v>
      </c>
      <c r="F31" s="88"/>
      <c r="G31" s="88">
        <f t="shared" si="15"/>
        <v>-203613.098</v>
      </c>
      <c r="H31" s="88">
        <f>SUMIF(BS_full_IFRS[name],Reports!C31,BS_full_IFRS[dr_cr])/1000</f>
        <v>-771968.098</v>
      </c>
      <c r="I31" s="88">
        <v>568355</v>
      </c>
      <c r="J31" s="88"/>
      <c r="K31" s="8">
        <f t="shared" si="16"/>
        <v>-203613.098</v>
      </c>
      <c r="L31" s="8" t="str">
        <f t="shared" si="20"/>
        <v>Other shareholders' contributions</v>
      </c>
      <c r="N31" s="8" t="s">
        <v>3074</v>
      </c>
      <c r="P31" s="8">
        <f>SUMIF(L:L,N32,G:G)</f>
        <v>0</v>
      </c>
      <c r="Q31" s="8">
        <f t="shared" si="18"/>
        <v>-81038.264060000016</v>
      </c>
      <c r="S31" s="8">
        <f t="shared" si="19"/>
        <v>-81038.264060000016</v>
      </c>
      <c r="T31" s="8"/>
      <c r="U31" s="8"/>
      <c r="X31" s="110" t="s">
        <v>3191</v>
      </c>
    </row>
    <row r="32" spans="3:24" x14ac:dyDescent="0.3">
      <c r="C32" t="s">
        <v>3075</v>
      </c>
      <c r="D32" s="88">
        <f>SUMIF(BS_full_IFRS_int[name],Reports!C32,BS_full_IFRS_int[dr_cr])/1000</f>
        <v>-578000</v>
      </c>
      <c r="E32" s="88">
        <f>-D32</f>
        <v>578000</v>
      </c>
      <c r="F32" s="88"/>
      <c r="G32" s="88">
        <f t="shared" ref="G32" si="21">SUM(D32:E32)</f>
        <v>0</v>
      </c>
      <c r="H32" s="88">
        <f>SUMIF(BS_full_IFRS[name],Reports!C32,BS_full_IFRS[dr_cr])/1000</f>
        <v>-578000</v>
      </c>
      <c r="I32" s="88">
        <f>-H32</f>
        <v>578000</v>
      </c>
      <c r="J32" s="88"/>
      <c r="K32" s="8">
        <f t="shared" si="16"/>
        <v>0</v>
      </c>
      <c r="N32" t="s">
        <v>3083</v>
      </c>
      <c r="O32" s="8">
        <v>-5214688.8461625567</v>
      </c>
      <c r="X32" s="110" t="s">
        <v>3192</v>
      </c>
    </row>
    <row r="33" spans="3:24" ht="15" thickBot="1" x14ac:dyDescent="0.35">
      <c r="C33" s="87" t="s">
        <v>3058</v>
      </c>
      <c r="D33" s="88">
        <f>SUMIF(BS_full_IFRS_int[name],Reports!C33,BS_full_IFRS_int[dr_cr])/1000</f>
        <v>344869.24145999999</v>
      </c>
      <c r="E33" s="88"/>
      <c r="F33" s="88"/>
      <c r="G33" s="88">
        <f t="shared" ref="G33" si="22">SUM(D33:F33)</f>
        <v>344869.24145999999</v>
      </c>
      <c r="H33" s="88">
        <f>SUMIF(BS_full_IFRS[name],Reports!C33,BS_full_IFRS[dr_cr])/1000</f>
        <v>-151789.49335000003</v>
      </c>
      <c r="I33" s="88"/>
      <c r="J33" s="88"/>
      <c r="K33" s="8">
        <f t="shared" si="16"/>
        <v>-151789.49335000003</v>
      </c>
      <c r="L33" t="s">
        <v>3147</v>
      </c>
      <c r="N33" t="s">
        <v>1543</v>
      </c>
      <c r="X33" s="114"/>
    </row>
    <row r="34" spans="3:24" x14ac:dyDescent="0.3">
      <c r="C34" s="15" t="s">
        <v>3082</v>
      </c>
      <c r="D34" s="15"/>
      <c r="E34" s="15"/>
      <c r="F34" s="15"/>
      <c r="G34" s="15"/>
      <c r="H34" s="88"/>
      <c r="I34" s="88"/>
      <c r="J34" s="88"/>
      <c r="N34" t="s">
        <v>3060</v>
      </c>
      <c r="O34" s="108">
        <v>-62074.966760000018</v>
      </c>
      <c r="P34" s="8">
        <f t="shared" ref="P34:P40" si="23">SUMIF(L:L,N34,G:G)</f>
        <v>0</v>
      </c>
      <c r="Q34" s="8">
        <f t="shared" ref="Q34:Q40" si="24">SUMIF(L:L,N34,K:K)</f>
        <v>0</v>
      </c>
      <c r="S34" s="8">
        <f t="shared" ref="S34:S42" si="25">Q34-P34</f>
        <v>0</v>
      </c>
      <c r="T34" s="8"/>
      <c r="U34" s="8"/>
      <c r="X34" s="115"/>
    </row>
    <row r="35" spans="3:24" x14ac:dyDescent="0.3">
      <c r="C35" s="87"/>
      <c r="D35" s="87"/>
      <c r="E35" s="87"/>
      <c r="F35" s="87"/>
      <c r="G35" s="87"/>
      <c r="H35" s="88"/>
      <c r="I35" s="88"/>
      <c r="J35" s="88"/>
      <c r="N35" t="s">
        <v>3052</v>
      </c>
      <c r="O35" s="8">
        <v>-3920479.28437</v>
      </c>
      <c r="P35" s="8">
        <f t="shared" si="23"/>
        <v>-3920479.28437</v>
      </c>
      <c r="Q35" s="8">
        <f t="shared" si="24"/>
        <v>-2891841.05412</v>
      </c>
      <c r="S35" s="8">
        <f t="shared" si="25"/>
        <v>1028638.23025</v>
      </c>
      <c r="T35" s="8"/>
      <c r="U35" s="8"/>
      <c r="X35" s="115" t="s">
        <v>3193</v>
      </c>
    </row>
    <row r="36" spans="3:24" ht="15" thickBot="1" x14ac:dyDescent="0.35">
      <c r="C36" s="87" t="s">
        <v>3073</v>
      </c>
      <c r="D36" s="88">
        <f>SUMIF(BS_full_IFRS_int[name],Reports!C36,BS_full_IFRS_int[dr_cr])/1000</f>
        <v>-122363.20316999999</v>
      </c>
      <c r="E36" s="88"/>
      <c r="F36" s="88"/>
      <c r="G36" s="88">
        <f t="shared" ref="G36:G38" si="26">SUM(D36:F36)</f>
        <v>-122363.20316999999</v>
      </c>
      <c r="H36" s="88">
        <f>SUMIF(BS_full_IFRS[name],Reports!C36,BS_full_IFRS[dr_cr])/1000</f>
        <v>-58153.858920000006</v>
      </c>
      <c r="I36" s="88"/>
      <c r="J36" s="88"/>
      <c r="K36" s="8">
        <f t="shared" si="16"/>
        <v>-58153.858920000006</v>
      </c>
      <c r="L36" s="8" t="str">
        <f>C36</f>
        <v>Long-term lease liabilities</v>
      </c>
      <c r="N36" t="s">
        <v>3047</v>
      </c>
      <c r="O36" s="8">
        <v>-246180.54363166695</v>
      </c>
      <c r="P36" s="8">
        <f t="shared" si="23"/>
        <v>-269159.12742999999</v>
      </c>
      <c r="Q36" s="8">
        <f t="shared" si="24"/>
        <v>-269903.42411000002</v>
      </c>
      <c r="S36" s="8">
        <f t="shared" si="25"/>
        <v>-744.29668000002857</v>
      </c>
      <c r="T36" s="8"/>
      <c r="U36" s="8"/>
      <c r="X36" s="112"/>
    </row>
    <row r="37" spans="3:24" x14ac:dyDescent="0.3">
      <c r="C37" s="87" t="s">
        <v>3051</v>
      </c>
      <c r="D37" s="88">
        <f>SUMIF(BS_full_IFRS_int[name],Reports!C37,BS_full_IFRS_int[dr_cr])/1000</f>
        <v>-5159415.1780000003</v>
      </c>
      <c r="E37" s="88"/>
      <c r="F37" s="88"/>
      <c r="G37" s="88">
        <f t="shared" si="26"/>
        <v>-5159415.1780000003</v>
      </c>
      <c r="H37" s="88">
        <f>SUMIF(BS_full_IFRS[name],Reports!C37,BS_full_IFRS[dr_cr])/1000</f>
        <v>-3098934.2786400001</v>
      </c>
      <c r="I37" s="88"/>
      <c r="J37" s="88"/>
      <c r="K37" s="8">
        <f t="shared" si="16"/>
        <v>-3098934.2786400001</v>
      </c>
      <c r="L37" s="8" t="str">
        <f t="shared" ref="L37:L38" si="27">C37</f>
        <v>Long-term borrowings</v>
      </c>
      <c r="N37" t="s">
        <v>3164</v>
      </c>
      <c r="O37" s="8">
        <v>0</v>
      </c>
      <c r="P37" s="8">
        <f t="shared" si="23"/>
        <v>0</v>
      </c>
      <c r="Q37" s="8">
        <f t="shared" si="24"/>
        <v>0</v>
      </c>
      <c r="S37" s="8">
        <f t="shared" si="25"/>
        <v>0</v>
      </c>
      <c r="T37" s="8"/>
      <c r="U37" s="8"/>
      <c r="X37" s="110"/>
    </row>
    <row r="38" spans="3:24" x14ac:dyDescent="0.3">
      <c r="C38" t="s">
        <v>3074</v>
      </c>
      <c r="D38" s="88">
        <f>SUMIF(BS_full_IFRS_int[name],Reports!C38,BS_full_IFRS_int[dr_cr])/1000</f>
        <v>-374856.75280999998</v>
      </c>
      <c r="E38" s="88"/>
      <c r="F38" s="88">
        <f>-D38</f>
        <v>374856.75280999998</v>
      </c>
      <c r="G38" s="88">
        <f t="shared" si="26"/>
        <v>0</v>
      </c>
      <c r="H38" s="88">
        <f>SUMIF(BS_full_IFRS[name],Reports!C38,BS_full_IFRS[dr_cr])/1000</f>
        <v>-505770.85989999998</v>
      </c>
      <c r="I38" s="88"/>
      <c r="J38" s="88">
        <f>-J2</f>
        <v>424732.59583999997</v>
      </c>
      <c r="K38" s="8">
        <f t="shared" si="16"/>
        <v>-81038.264060000016</v>
      </c>
      <c r="L38" s="8" t="str">
        <f t="shared" si="27"/>
        <v>Deferred tax liabilities</v>
      </c>
      <c r="N38" t="s">
        <v>3149</v>
      </c>
      <c r="O38" s="8">
        <v>-9718.6242800000018</v>
      </c>
      <c r="P38" s="8">
        <f t="shared" si="23"/>
        <v>-9726.9831600000016</v>
      </c>
      <c r="Q38" s="8">
        <f t="shared" si="24"/>
        <v>-226087.73319</v>
      </c>
      <c r="S38" s="8">
        <f t="shared" si="25"/>
        <v>-216360.75003</v>
      </c>
      <c r="T38" s="8"/>
      <c r="U38" s="8"/>
      <c r="X38" s="110" t="s">
        <v>3194</v>
      </c>
    </row>
    <row r="39" spans="3:24" ht="15" thickBot="1" x14ac:dyDescent="0.35">
      <c r="C39" s="15" t="s">
        <v>3083</v>
      </c>
      <c r="D39" s="15"/>
      <c r="E39" s="15"/>
      <c r="F39" s="15"/>
      <c r="G39" s="15"/>
      <c r="H39" s="88"/>
      <c r="I39" s="88"/>
      <c r="J39" s="88"/>
      <c r="N39" t="s">
        <v>3059</v>
      </c>
      <c r="O39" s="108">
        <v>-55477.411070000002</v>
      </c>
      <c r="P39" s="8">
        <f t="shared" si="23"/>
        <v>-55477.877560000001</v>
      </c>
      <c r="Q39" s="8">
        <f t="shared" si="24"/>
        <v>-58358.734960000002</v>
      </c>
      <c r="S39" s="8">
        <f t="shared" si="25"/>
        <v>-2880.8574000000008</v>
      </c>
      <c r="T39" s="8"/>
      <c r="U39" s="8"/>
      <c r="X39" s="112"/>
    </row>
    <row r="40" spans="3:24" x14ac:dyDescent="0.3">
      <c r="C40" s="87"/>
      <c r="D40" s="87"/>
      <c r="E40" s="87"/>
      <c r="F40" s="87"/>
      <c r="G40" s="87"/>
      <c r="H40" s="88"/>
      <c r="I40" s="88"/>
      <c r="J40" s="88"/>
      <c r="N40" t="s">
        <v>3085</v>
      </c>
      <c r="O40" s="8">
        <v>-4293930.8301116675</v>
      </c>
      <c r="P40" s="8">
        <f t="shared" si="23"/>
        <v>0</v>
      </c>
      <c r="Q40" s="8">
        <f t="shared" si="24"/>
        <v>0</v>
      </c>
      <c r="S40" s="8">
        <f t="shared" si="25"/>
        <v>0</v>
      </c>
      <c r="T40" s="8"/>
      <c r="U40" s="8"/>
      <c r="X40" s="115"/>
    </row>
    <row r="41" spans="3:24" x14ac:dyDescent="0.3">
      <c r="C41" s="87" t="s">
        <v>3060</v>
      </c>
      <c r="D41" s="88">
        <f>SUMIF(BS_full_IFRS_int[name],Reports!C41,BS_full_IFRS_int[dr_cr])/1000</f>
        <v>0</v>
      </c>
      <c r="E41" s="88"/>
      <c r="F41" s="88"/>
      <c r="G41" s="88">
        <f t="shared" ref="G41:G51" si="28">SUM(D41:F41)</f>
        <v>0</v>
      </c>
      <c r="H41" s="88">
        <f>SUMIF(BS_full_IFRS[name],Reports!C41,BS_full_IFRS[dr_cr])/1000</f>
        <v>0</v>
      </c>
      <c r="I41" s="88"/>
      <c r="J41" s="88"/>
      <c r="K41" s="8">
        <f t="shared" ref="K41:K51" si="29">SUM(H41:J41)</f>
        <v>0</v>
      </c>
      <c r="L41" s="8" t="str">
        <f>C41</f>
        <v>Short-term lease liabilities</v>
      </c>
      <c r="N41" t="s">
        <v>1543</v>
      </c>
      <c r="X41" s="115" t="s">
        <v>3195</v>
      </c>
    </row>
    <row r="42" spans="3:24" ht="15" thickBot="1" x14ac:dyDescent="0.35">
      <c r="C42" s="87" t="s">
        <v>3052</v>
      </c>
      <c r="D42" s="88">
        <f>SUMIF(BS_full_IFRS_int[name],Reports!C42,BS_full_IFRS_int[dr_cr])/1000</f>
        <v>-3920479.28437</v>
      </c>
      <c r="E42" s="88"/>
      <c r="F42" s="88"/>
      <c r="G42" s="88">
        <f t="shared" si="28"/>
        <v>-3920479.28437</v>
      </c>
      <c r="H42" s="88">
        <f>SUMIF(BS_full_IFRS[name],Reports!C42,BS_full_IFRS[dr_cr])/1000</f>
        <v>-2891841.05412</v>
      </c>
      <c r="I42" s="88"/>
      <c r="J42" s="88"/>
      <c r="K42" s="8">
        <f t="shared" si="29"/>
        <v>-2891841.05412</v>
      </c>
      <c r="L42" s="8" t="str">
        <f t="shared" ref="L42:L45" si="30">C42</f>
        <v>Short-term borrowings</v>
      </c>
      <c r="N42" t="s">
        <v>3086</v>
      </c>
      <c r="O42" s="8">
        <v>-9935718.2243757434</v>
      </c>
      <c r="S42" s="8">
        <f t="shared" si="25"/>
        <v>0</v>
      </c>
      <c r="T42" s="8"/>
      <c r="U42" s="8"/>
      <c r="X42" s="110"/>
    </row>
    <row r="43" spans="3:24" x14ac:dyDescent="0.3">
      <c r="C43" t="s">
        <v>3072</v>
      </c>
      <c r="D43" s="88">
        <f>SUMIF(BS_full_IFRS_int[name],Reports!C43,BS_full_IFRS_int[dr_cr])/1000</f>
        <v>-174485.35433999999</v>
      </c>
      <c r="E43" s="88">
        <f>-D43</f>
        <v>174485.35433999999</v>
      </c>
      <c r="F43" s="88"/>
      <c r="G43" s="88">
        <f t="shared" si="28"/>
        <v>0</v>
      </c>
      <c r="H43" s="88">
        <f>SUMIF(BS_full_IFRS[name],Reports!C43,BS_full_IFRS[dr_cr])/1000</f>
        <v>-183954.63877000002</v>
      </c>
      <c r="I43" s="88">
        <f>-H43</f>
        <v>183954.63877000002</v>
      </c>
      <c r="J43" s="88"/>
      <c r="K43" s="8">
        <f t="shared" si="29"/>
        <v>0</v>
      </c>
      <c r="L43" s="8" t="str">
        <f t="shared" si="30"/>
        <v>Short-term borrowings_IC</v>
      </c>
      <c r="S43" s="8"/>
      <c r="T43" s="8"/>
      <c r="U43" s="8"/>
      <c r="X43" s="116"/>
    </row>
    <row r="44" spans="3:24" x14ac:dyDescent="0.3">
      <c r="C44" s="87" t="s">
        <v>3047</v>
      </c>
      <c r="D44" s="88">
        <f>SUMIF(BS_full_IFRS_int[name],Reports!C44,BS_full_IFRS_int[dr_cr])/1000</f>
        <v>-106245.85638</v>
      </c>
      <c r="E44" s="88"/>
      <c r="F44" s="88"/>
      <c r="G44" s="88">
        <f t="shared" si="28"/>
        <v>-106245.85638</v>
      </c>
      <c r="H44" s="88">
        <f>SUMIF(BS_full_IFRS[name],Reports!C44,BS_full_IFRS[dr_cr])/1000</f>
        <v>-81148.920129999999</v>
      </c>
      <c r="I44" s="88"/>
      <c r="J44" s="88"/>
      <c r="K44" s="8">
        <f t="shared" si="29"/>
        <v>-81148.920129999999</v>
      </c>
      <c r="L44" s="8" t="str">
        <f t="shared" si="30"/>
        <v>Trade payables</v>
      </c>
      <c r="S44" s="8"/>
      <c r="T44" s="8"/>
      <c r="U44" s="8"/>
      <c r="X44" s="110" t="s">
        <v>3196</v>
      </c>
    </row>
    <row r="45" spans="3:24" x14ac:dyDescent="0.3">
      <c r="C45" t="s">
        <v>3068</v>
      </c>
      <c r="D45" s="88">
        <f>SUMIF(BS_full_IFRS_int[name],Reports!C45,BS_full_IFRS_int[dr_cr])/1000</f>
        <v>-110087.23242</v>
      </c>
      <c r="E45" s="88">
        <f>-D45</f>
        <v>110087.23242</v>
      </c>
      <c r="F45" s="88"/>
      <c r="G45" s="88">
        <f t="shared" si="28"/>
        <v>0</v>
      </c>
      <c r="H45" s="88">
        <f>SUMIF(BS_full_IFRS[name],Reports!C45,BS_full_IFRS[dr_cr])/1000</f>
        <v>-110075.95441999999</v>
      </c>
      <c r="I45" s="88">
        <f>-H45</f>
        <v>110075.95441999999</v>
      </c>
      <c r="J45" s="88"/>
      <c r="K45" s="8">
        <f t="shared" si="29"/>
        <v>0</v>
      </c>
      <c r="L45" s="8" t="str">
        <f t="shared" si="30"/>
        <v>Trade payables_IC</v>
      </c>
      <c r="N45" s="8" t="s">
        <v>3064</v>
      </c>
      <c r="P45" s="8">
        <f>SUMIF(L:L,N45,G:G)</f>
        <v>0</v>
      </c>
      <c r="S45" s="8">
        <f t="shared" ref="S45" si="31">Q45-P45</f>
        <v>0</v>
      </c>
      <c r="T45" s="8"/>
      <c r="U45" s="8"/>
      <c r="X45" s="110" t="s">
        <v>3197</v>
      </c>
    </row>
    <row r="46" spans="3:24" x14ac:dyDescent="0.3">
      <c r="C46" s="87" t="s">
        <v>3055</v>
      </c>
      <c r="D46" s="88">
        <f>SUMIF(BS_full_IFRS_int[name],Reports!C46,BS_full_IFRS_int[dr_cr])/1000</f>
        <v>0</v>
      </c>
      <c r="E46" s="88"/>
      <c r="F46" s="88"/>
      <c r="G46" s="88">
        <f t="shared" si="28"/>
        <v>0</v>
      </c>
      <c r="H46" s="88">
        <f>SUMIF(BS_full_IFRS[name],Reports!C46,BS_full_IFRS[dr_cr])/1000</f>
        <v>0</v>
      </c>
      <c r="I46" s="88"/>
      <c r="J46" s="88"/>
      <c r="K46" s="8">
        <f t="shared" si="29"/>
        <v>0</v>
      </c>
      <c r="L46" s="8" t="s">
        <v>3164</v>
      </c>
      <c r="S46" s="8"/>
      <c r="T46" s="8"/>
      <c r="U46" s="8"/>
      <c r="X46" s="110" t="s">
        <v>3198</v>
      </c>
    </row>
    <row r="47" spans="3:24" x14ac:dyDescent="0.3">
      <c r="C47" s="87" t="s">
        <v>3087</v>
      </c>
      <c r="D47" s="88">
        <f>SUMIF(BS_full_IFRS_int[name],Reports!C47,BS_full_IFRS_int[dr_cr])/1000</f>
        <v>-9726.9831600000016</v>
      </c>
      <c r="E47" s="88"/>
      <c r="F47" s="88"/>
      <c r="G47" s="88">
        <f t="shared" si="28"/>
        <v>-9726.9831600000016</v>
      </c>
      <c r="H47" s="88">
        <f>SUMIF(BS_full_IFRS[name],Reports!C47,BS_full_IFRS[dr_cr])/1000</f>
        <v>-226087.73319</v>
      </c>
      <c r="I47" s="88"/>
      <c r="J47" s="88"/>
      <c r="K47" s="8">
        <f t="shared" si="29"/>
        <v>-226087.73319</v>
      </c>
      <c r="L47" t="s">
        <v>3149</v>
      </c>
      <c r="S47" s="8"/>
      <c r="T47" s="8"/>
      <c r="U47" s="8"/>
      <c r="X47" s="110" t="s">
        <v>3199</v>
      </c>
    </row>
    <row r="48" spans="3:24" x14ac:dyDescent="0.3">
      <c r="C48" s="87" t="s">
        <v>3084</v>
      </c>
      <c r="D48" s="88">
        <f>SUMIF(BS_full_IFRS_int[name],Reports!C48,BS_full_IFRS_int[dr_cr])/1000</f>
        <v>0</v>
      </c>
      <c r="E48" s="88"/>
      <c r="F48" s="88"/>
      <c r="G48" s="88">
        <f t="shared" si="28"/>
        <v>0</v>
      </c>
      <c r="H48" s="88">
        <f>SUMIF(BS_full_IFRS[name],Reports!C48,BS_full_IFRS[dr_cr])/1000</f>
        <v>0</v>
      </c>
      <c r="I48" s="88"/>
      <c r="J48" s="88"/>
      <c r="K48" s="8">
        <f t="shared" si="29"/>
        <v>0</v>
      </c>
      <c r="S48" s="8"/>
      <c r="T48" s="8"/>
      <c r="U48" s="8"/>
      <c r="X48" s="110" t="s">
        <v>3200</v>
      </c>
    </row>
    <row r="49" spans="3:25" ht="15" thickBot="1" x14ac:dyDescent="0.35">
      <c r="C49" s="87" t="s">
        <v>3050</v>
      </c>
      <c r="D49" s="88">
        <f>SUMIF(BS_full_IFRS_int[name],Reports!C49,BS_full_IFRS_int[dr_cr])/1000</f>
        <v>-156515.24221</v>
      </c>
      <c r="E49" s="88"/>
      <c r="F49" s="88"/>
      <c r="G49" s="88">
        <f t="shared" si="28"/>
        <v>-156515.24221</v>
      </c>
      <c r="H49" s="88">
        <f>SUMIF(BS_full_IFRS[name],Reports!C49,BS_full_IFRS[dr_cr])/1000</f>
        <v>-182863.51491</v>
      </c>
      <c r="I49" s="88"/>
      <c r="J49" s="88"/>
      <c r="K49" s="8">
        <f t="shared" si="29"/>
        <v>-182863.51491</v>
      </c>
      <c r="L49" s="8" t="s">
        <v>3047</v>
      </c>
      <c r="X49" s="112"/>
    </row>
    <row r="50" spans="3:25" x14ac:dyDescent="0.3">
      <c r="C50" s="87" t="s">
        <v>3056</v>
      </c>
      <c r="D50" s="88">
        <f>SUMIF(BS_full_IFRS_int[name],Reports!C50,BS_full_IFRS_int[dr_cr])/1000</f>
        <v>-6398.0288399999999</v>
      </c>
      <c r="E50" s="88"/>
      <c r="F50" s="88"/>
      <c r="G50" s="88">
        <f t="shared" si="28"/>
        <v>-6398.0288399999999</v>
      </c>
      <c r="H50" s="88">
        <f>SUMIF(BS_full_IFRS[name],Reports!C50,BS_full_IFRS[dr_cr])/1000</f>
        <v>-5890.9890700000005</v>
      </c>
      <c r="I50" s="88"/>
      <c r="J50" s="88"/>
      <c r="K50" s="8">
        <f t="shared" si="29"/>
        <v>-5890.9890700000005</v>
      </c>
      <c r="L50" s="8" t="s">
        <v>3047</v>
      </c>
      <c r="X50" s="115"/>
    </row>
    <row r="51" spans="3:25" x14ac:dyDescent="0.3">
      <c r="C51" s="87" t="s">
        <v>3059</v>
      </c>
      <c r="D51" s="88">
        <f>SUMIF(BS_full_IFRS_int[name],Reports!C51,BS_full_IFRS_int[dr_cr])/1000</f>
        <v>-55477.877560000001</v>
      </c>
      <c r="E51" s="88"/>
      <c r="F51" s="88"/>
      <c r="G51" s="88">
        <f t="shared" si="28"/>
        <v>-55477.877560000001</v>
      </c>
      <c r="H51" s="88">
        <f>SUMIF(BS_full_IFRS[name],Reports!C51,BS_full_IFRS[dr_cr])/1000</f>
        <v>-58358.734960000002</v>
      </c>
      <c r="I51" s="88"/>
      <c r="J51" s="88"/>
      <c r="K51" s="8">
        <f t="shared" si="29"/>
        <v>-58358.734960000002</v>
      </c>
      <c r="L51" s="8" t="s">
        <v>3059</v>
      </c>
      <c r="X51" s="115" t="s">
        <v>3201</v>
      </c>
    </row>
    <row r="52" spans="3:25" ht="15" thickBot="1" x14ac:dyDescent="0.35">
      <c r="C52" s="15" t="s">
        <v>3085</v>
      </c>
      <c r="D52" s="15"/>
      <c r="E52" s="15"/>
      <c r="F52" s="15"/>
      <c r="G52" s="15"/>
      <c r="H52" s="20"/>
      <c r="I52" s="20"/>
      <c r="J52" s="20"/>
      <c r="O52" s="20"/>
      <c r="P52" s="20"/>
      <c r="Q52" s="20"/>
      <c r="X52" s="112"/>
    </row>
    <row r="53" spans="3:25" x14ac:dyDescent="0.3">
      <c r="C53" s="87"/>
      <c r="D53" s="87"/>
      <c r="E53" s="87"/>
      <c r="F53" s="87"/>
      <c r="G53" s="87"/>
      <c r="X53" s="110"/>
    </row>
    <row r="54" spans="3:25" x14ac:dyDescent="0.3">
      <c r="C54" s="15" t="s">
        <v>3086</v>
      </c>
      <c r="D54" s="15"/>
      <c r="E54" s="15"/>
      <c r="F54" s="15"/>
      <c r="G54" s="15"/>
      <c r="H54" s="88"/>
      <c r="I54" s="88"/>
      <c r="J54" s="88"/>
      <c r="O54" s="20"/>
      <c r="P54" s="20"/>
      <c r="Q54" s="20"/>
      <c r="X54" s="110" t="s">
        <v>3202</v>
      </c>
    </row>
    <row r="55" spans="3:25" ht="15" thickBot="1" x14ac:dyDescent="0.35">
      <c r="X55" s="114"/>
    </row>
    <row r="56" spans="3:25" x14ac:dyDescent="0.3">
      <c r="C56" s="87" t="s">
        <v>3064</v>
      </c>
      <c r="D56" s="88">
        <f>SUMIF(BS_full_IFRS_int[name],Reports!C56,BS_full_IFRS_int[dr_cr])/1000</f>
        <v>0</v>
      </c>
      <c r="E56" s="88"/>
      <c r="F56" s="88"/>
      <c r="G56" s="88">
        <f t="shared" ref="G56" si="32">SUM(D56:F56)</f>
        <v>0</v>
      </c>
      <c r="H56" s="88">
        <f>SUMIF(BS_full_IFRS[name],Reports!C56,BS_full_IFRS[dr_cr])/1000</f>
        <v>0</v>
      </c>
      <c r="I56" s="88"/>
      <c r="L56" s="87" t="s">
        <v>3064</v>
      </c>
      <c r="S56" s="87"/>
      <c r="T56" s="87"/>
      <c r="U56" s="87"/>
      <c r="X56" s="115"/>
    </row>
    <row r="57" spans="3:25" x14ac:dyDescent="0.3">
      <c r="X57" s="115" t="s">
        <v>3203</v>
      </c>
    </row>
    <row r="58" spans="3:25" ht="15" thickBot="1" x14ac:dyDescent="0.35">
      <c r="C58" t="s">
        <v>1457</v>
      </c>
      <c r="D58" s="88">
        <f>SUM(D2:D56)</f>
        <v>3.2378011383116245E-9</v>
      </c>
      <c r="E58" s="88"/>
      <c r="F58" s="88"/>
      <c r="G58" s="88"/>
      <c r="H58" s="88">
        <f>SUM(H2:H56)</f>
        <v>4.7293724492192268E-10</v>
      </c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X58" s="112"/>
    </row>
    <row r="59" spans="3:25" x14ac:dyDescent="0.3">
      <c r="C59" t="s">
        <v>3089</v>
      </c>
      <c r="D59" s="88">
        <f>SUM(BS[Счет1])/1000-D58</f>
        <v>-3.2378011383116245E-9</v>
      </c>
      <c r="E59" s="88"/>
      <c r="F59" s="88"/>
      <c r="G59" s="88"/>
      <c r="H59" s="88">
        <f>SUM(BS[dr_cr])/1000-H58</f>
        <v>3.8595753721892835E-9</v>
      </c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X59" s="110"/>
    </row>
    <row r="60" spans="3:25" x14ac:dyDescent="0.3"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X60" s="110" t="s">
        <v>3204</v>
      </c>
      <c r="Y60" s="8">
        <f>P15</f>
        <v>578915.66938999994</v>
      </c>
    </row>
    <row r="61" spans="3:25" x14ac:dyDescent="0.3"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X61" s="110" t="s">
        <v>3205</v>
      </c>
      <c r="Y61" s="8">
        <f>Q15</f>
        <v>1152744.85424</v>
      </c>
    </row>
    <row r="62" spans="3:25" x14ac:dyDescent="0.3"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</row>
    <row r="63" spans="3:25" x14ac:dyDescent="0.3"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</row>
    <row r="64" spans="3:25" x14ac:dyDescent="0.3"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</row>
    <row r="65" spans="8:21" x14ac:dyDescent="0.3"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</row>
    <row r="66" spans="8:21" x14ac:dyDescent="0.3"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</row>
    <row r="67" spans="8:21" x14ac:dyDescent="0.3"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</row>
    <row r="68" spans="8:21" x14ac:dyDescent="0.3"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</row>
    <row r="69" spans="8:21" x14ac:dyDescent="0.3"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</row>
  </sheetData>
  <phoneticPr fontId="6" type="noConversion"/>
  <conditionalFormatting sqref="D58:I58">
    <cfRule type="expression" dxfId="54" priority="6">
      <formula>ABS(D58)&gt;1</formula>
    </cfRule>
  </conditionalFormatting>
  <conditionalFormatting sqref="D59:I59">
    <cfRule type="expression" dxfId="53" priority="5">
      <formula>ABS(D59)&gt;1</formula>
    </cfRule>
  </conditionalFormatting>
  <conditionalFormatting sqref="K58">
    <cfRule type="expression" dxfId="52" priority="4">
      <formula>ABS(K58)&gt;1</formula>
    </cfRule>
  </conditionalFormatting>
  <conditionalFormatting sqref="O58">
    <cfRule type="expression" dxfId="51" priority="3">
      <formula>ABS(O58)&gt;1</formula>
    </cfRule>
  </conditionalFormatting>
  <conditionalFormatting sqref="L58">
    <cfRule type="expression" dxfId="50" priority="2">
      <formula>ABS(L58)&gt;1</formula>
    </cfRule>
  </conditionalFormatting>
  <conditionalFormatting sqref="M58">
    <cfRule type="expression" dxfId="49" priority="1">
      <formula>ABS(M58)&gt;1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pdate">
                <anchor moveWithCells="1" sizeWithCells="1">
                  <from>
                    <xdr:col>19</xdr:col>
                    <xdr:colOff>807720</xdr:colOff>
                    <xdr:row>2</xdr:row>
                    <xdr:rowOff>83820</xdr:rowOff>
                  </from>
                  <to>
                    <xdr:col>21</xdr:col>
                    <xdr:colOff>60960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7354-7DD8-4919-8D55-3AEB646740D4}">
  <sheetPr published="0" codeName="Sheet7"/>
  <dimension ref="A1"/>
  <sheetViews>
    <sheetView workbookViewId="0">
      <selection activeCell="J13" sqref="J13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Sheet2"/>
  <dimension ref="A1:G18"/>
  <sheetViews>
    <sheetView workbookViewId="0">
      <selection activeCell="E41" sqref="E41"/>
    </sheetView>
  </sheetViews>
  <sheetFormatPr defaultRowHeight="14.4" x14ac:dyDescent="0.3"/>
  <cols>
    <col min="1" max="1" width="10.33203125" bestFit="1" customWidth="1"/>
    <col min="4" max="4" width="13.88671875" customWidth="1"/>
  </cols>
  <sheetData>
    <row r="1" spans="1:7" x14ac:dyDescent="0.3">
      <c r="A1" t="s">
        <v>4</v>
      </c>
      <c r="D1" s="5" t="s">
        <v>1372</v>
      </c>
    </row>
    <row r="2" spans="1:7" x14ac:dyDescent="0.3">
      <c r="A2" s="1">
        <v>45382</v>
      </c>
      <c r="D2" s="4">
        <v>2023</v>
      </c>
    </row>
    <row r="3" spans="1:7" x14ac:dyDescent="0.3">
      <c r="F3" t="s">
        <v>1388</v>
      </c>
      <c r="G3" t="s">
        <v>1389</v>
      </c>
    </row>
    <row r="4" spans="1:7" x14ac:dyDescent="0.3">
      <c r="F4" t="s">
        <v>1376</v>
      </c>
      <c r="G4">
        <v>1</v>
      </c>
    </row>
    <row r="5" spans="1:7" x14ac:dyDescent="0.3">
      <c r="A5" t="s">
        <v>1785</v>
      </c>
      <c r="F5" t="s">
        <v>1377</v>
      </c>
      <c r="G5">
        <v>2</v>
      </c>
    </row>
    <row r="6" spans="1:7" x14ac:dyDescent="0.3">
      <c r="A6" s="71" t="s">
        <v>1781</v>
      </c>
      <c r="F6" t="s">
        <v>1378</v>
      </c>
      <c r="G6">
        <v>3</v>
      </c>
    </row>
    <row r="7" spans="1:7" x14ac:dyDescent="0.3">
      <c r="A7" s="71" t="s">
        <v>1782</v>
      </c>
      <c r="F7" t="s">
        <v>1379</v>
      </c>
      <c r="G7">
        <v>4</v>
      </c>
    </row>
    <row r="8" spans="1:7" x14ac:dyDescent="0.3">
      <c r="A8" s="71" t="s">
        <v>1783</v>
      </c>
      <c r="F8" t="s">
        <v>1380</v>
      </c>
      <c r="G8">
        <v>5</v>
      </c>
    </row>
    <row r="9" spans="1:7" x14ac:dyDescent="0.3">
      <c r="A9" s="71" t="s">
        <v>1784</v>
      </c>
      <c r="F9" t="s">
        <v>1381</v>
      </c>
      <c r="G9">
        <v>6</v>
      </c>
    </row>
    <row r="10" spans="1:7" x14ac:dyDescent="0.3">
      <c r="A10" s="71" t="s">
        <v>2786</v>
      </c>
      <c r="F10" t="s">
        <v>1382</v>
      </c>
      <c r="G10">
        <v>7</v>
      </c>
    </row>
    <row r="11" spans="1:7" x14ac:dyDescent="0.3">
      <c r="A11" s="71" t="s">
        <v>2787</v>
      </c>
      <c r="F11" t="s">
        <v>1383</v>
      </c>
      <c r="G11">
        <v>8</v>
      </c>
    </row>
    <row r="12" spans="1:7" x14ac:dyDescent="0.3">
      <c r="A12" s="71" t="s">
        <v>2788</v>
      </c>
      <c r="F12" t="s">
        <v>1384</v>
      </c>
      <c r="G12">
        <v>9</v>
      </c>
    </row>
    <row r="13" spans="1:7" x14ac:dyDescent="0.3">
      <c r="F13" t="s">
        <v>1385</v>
      </c>
      <c r="G13">
        <v>10</v>
      </c>
    </row>
    <row r="14" spans="1:7" x14ac:dyDescent="0.3">
      <c r="F14" t="s">
        <v>1386</v>
      </c>
      <c r="G14">
        <v>11</v>
      </c>
    </row>
    <row r="15" spans="1:7" x14ac:dyDescent="0.3">
      <c r="A15" s="71"/>
      <c r="F15" t="s">
        <v>1387</v>
      </c>
      <c r="G15">
        <v>12</v>
      </c>
    </row>
    <row r="16" spans="1:7" x14ac:dyDescent="0.3">
      <c r="A16" s="71"/>
    </row>
    <row r="17" spans="1:1" x14ac:dyDescent="0.3">
      <c r="A17" s="71"/>
    </row>
    <row r="18" spans="1:1" x14ac:dyDescent="0.3">
      <c r="A18" s="71"/>
    </row>
  </sheetData>
  <phoneticPr fontId="6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6A2A-EEEB-4096-A454-AFD931607756}">
  <sheetPr published="0" codeName="Sheet1"/>
  <dimension ref="C3:D12"/>
  <sheetViews>
    <sheetView workbookViewId="0">
      <selection activeCell="D7" sqref="D7"/>
    </sheetView>
  </sheetViews>
  <sheetFormatPr defaultRowHeight="14.4" x14ac:dyDescent="0.3"/>
  <cols>
    <col min="1" max="1" width="10.109375" bestFit="1" customWidth="1"/>
    <col min="2" max="2" width="7.109375" bestFit="1" customWidth="1"/>
    <col min="3" max="3" width="11.5546875" bestFit="1" customWidth="1"/>
    <col min="4" max="4" width="94" customWidth="1"/>
    <col min="5" max="5" width="11.6640625" bestFit="1" customWidth="1"/>
    <col min="6" max="6" width="12.44140625" bestFit="1" customWidth="1"/>
    <col min="7" max="7" width="15.21875" bestFit="1" customWidth="1"/>
    <col min="8" max="8" width="7.77734375" bestFit="1" customWidth="1"/>
    <col min="9" max="9" width="8.33203125" bestFit="1" customWidth="1"/>
    <col min="10" max="10" width="9.109375" bestFit="1" customWidth="1"/>
    <col min="11" max="11" width="13.44140625" bestFit="1" customWidth="1"/>
  </cols>
  <sheetData>
    <row r="3" spans="3:4" x14ac:dyDescent="0.3">
      <c r="D3" t="s">
        <v>0</v>
      </c>
    </row>
    <row r="4" spans="3:4" x14ac:dyDescent="0.3">
      <c r="C4" t="s">
        <v>1</v>
      </c>
      <c r="D4" t="str">
        <f ca="1">CELL("filename")</f>
        <v>C:\Users\stanislav.zhiludko\Desktop\MCIA\[Closing_FY2022.xlsx.xlsm]BS_start</v>
      </c>
    </row>
    <row r="5" spans="3:4" x14ac:dyDescent="0.3">
      <c r="C5" t="s">
        <v>2</v>
      </c>
      <c r="D5">
        <f ca="1">-LEN(SUBSTITUTE(D4,"\",""))+LEN(D4)</f>
        <v>5</v>
      </c>
    </row>
    <row r="6" spans="3:4" x14ac:dyDescent="0.3">
      <c r="C6" t="s">
        <v>3</v>
      </c>
      <c r="D6" t="str">
        <f ca="1">SUBSTITUTE(D4,"\","#",D5)</f>
        <v>C:\Users\stanislav.zhiludko\Desktop\MCIA#[Closing_FY2022.xlsx.xlsm]BS_start</v>
      </c>
    </row>
    <row r="7" spans="3:4" x14ac:dyDescent="0.3">
      <c r="C7" t="s">
        <v>0</v>
      </c>
      <c r="D7" t="str">
        <f ca="1">MID(D6,1,FIND("#",D6)-1)</f>
        <v>C:\Users\stanislav.zhiludko\Desktop\MCIA</v>
      </c>
    </row>
    <row r="11" spans="3:4" x14ac:dyDescent="0.3">
      <c r="D11" t="s">
        <v>0</v>
      </c>
    </row>
    <row r="12" spans="3:4" x14ac:dyDescent="0.3">
      <c r="D12" t="str">
        <f ca="1">D7</f>
        <v>C:\Users\stanislav.zhiludko\Desktop\MCIA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32B-6B87-42EE-9714-8A3CA7578668}">
  <sheetPr published="0" codeName="Sheet20"/>
  <dimension ref="E4:G2549"/>
  <sheetViews>
    <sheetView topLeftCell="A948" zoomScale="70" zoomScaleNormal="70" workbookViewId="0">
      <selection activeCell="E2535" sqref="E2535"/>
    </sheetView>
  </sheetViews>
  <sheetFormatPr defaultRowHeight="14.4" x14ac:dyDescent="0.3"/>
  <cols>
    <col min="5" max="5" width="59.6640625" customWidth="1"/>
    <col min="6" max="6" width="51.88671875" customWidth="1"/>
    <col min="7" max="7" width="29.5546875" customWidth="1"/>
  </cols>
  <sheetData>
    <row r="4" spans="5:7" x14ac:dyDescent="0.3">
      <c r="E4" t="s">
        <v>2080</v>
      </c>
      <c r="F4" t="s">
        <v>2782</v>
      </c>
      <c r="G4" s="72" t="s">
        <v>2081</v>
      </c>
    </row>
    <row r="5" spans="5:7" x14ac:dyDescent="0.3">
      <c r="E5" t="s">
        <v>2424</v>
      </c>
      <c r="F5" t="s">
        <v>2054</v>
      </c>
      <c r="G5" s="72" t="s">
        <v>2082</v>
      </c>
    </row>
    <row r="6" spans="5:7" x14ac:dyDescent="0.3">
      <c r="E6" t="s">
        <v>2424</v>
      </c>
      <c r="F6" t="s">
        <v>2054</v>
      </c>
      <c r="G6" s="72" t="s">
        <v>2083</v>
      </c>
    </row>
    <row r="7" spans="5:7" x14ac:dyDescent="0.3">
      <c r="E7" t="s">
        <v>2425</v>
      </c>
      <c r="F7" t="s">
        <v>2084</v>
      </c>
      <c r="G7" s="72">
        <v>26</v>
      </c>
    </row>
    <row r="8" spans="5:7" x14ac:dyDescent="0.3">
      <c r="E8" t="s">
        <v>2426</v>
      </c>
      <c r="F8" t="s">
        <v>1421</v>
      </c>
      <c r="G8" s="72" t="s">
        <v>2085</v>
      </c>
    </row>
    <row r="9" spans="5:7" x14ac:dyDescent="0.3">
      <c r="E9" t="s">
        <v>2425</v>
      </c>
      <c r="F9" t="s">
        <v>2084</v>
      </c>
      <c r="G9" s="72">
        <v>26</v>
      </c>
    </row>
    <row r="10" spans="5:7" x14ac:dyDescent="0.3">
      <c r="E10" t="s">
        <v>2427</v>
      </c>
      <c r="F10" t="s">
        <v>1713</v>
      </c>
      <c r="G10" s="72">
        <v>26</v>
      </c>
    </row>
    <row r="11" spans="5:7" x14ac:dyDescent="0.3">
      <c r="E11" t="s">
        <v>2428</v>
      </c>
      <c r="F11" t="s">
        <v>1409</v>
      </c>
      <c r="G11" s="72">
        <v>26</v>
      </c>
    </row>
    <row r="12" spans="5:7" x14ac:dyDescent="0.3">
      <c r="E12" t="s">
        <v>2429</v>
      </c>
      <c r="F12" t="s">
        <v>1692</v>
      </c>
      <c r="G12" s="72">
        <v>26</v>
      </c>
    </row>
    <row r="13" spans="5:7" x14ac:dyDescent="0.3">
      <c r="E13" t="s">
        <v>2429</v>
      </c>
      <c r="F13" t="s">
        <v>1692</v>
      </c>
      <c r="G13" s="72">
        <v>26</v>
      </c>
    </row>
    <row r="14" spans="5:7" x14ac:dyDescent="0.3">
      <c r="E14" t="s">
        <v>2430</v>
      </c>
      <c r="F14" t="s">
        <v>2086</v>
      </c>
      <c r="G14" s="72">
        <v>26</v>
      </c>
    </row>
    <row r="15" spans="5:7" x14ac:dyDescent="0.3">
      <c r="E15" t="s">
        <v>2430</v>
      </c>
      <c r="F15" t="s">
        <v>2086</v>
      </c>
      <c r="G15" s="72">
        <v>26</v>
      </c>
    </row>
    <row r="16" spans="5:7" x14ac:dyDescent="0.3">
      <c r="E16" t="s">
        <v>2431</v>
      </c>
      <c r="F16" t="s">
        <v>1745</v>
      </c>
      <c r="G16" s="72">
        <v>26</v>
      </c>
    </row>
    <row r="17" spans="5:7" x14ac:dyDescent="0.3">
      <c r="E17" t="s">
        <v>2431</v>
      </c>
      <c r="F17" t="s">
        <v>1745</v>
      </c>
      <c r="G17" s="72">
        <v>26</v>
      </c>
    </row>
    <row r="18" spans="5:7" x14ac:dyDescent="0.3">
      <c r="E18" t="s">
        <v>2432</v>
      </c>
      <c r="F18" t="s">
        <v>1712</v>
      </c>
      <c r="G18" s="72">
        <v>26</v>
      </c>
    </row>
    <row r="19" spans="5:7" x14ac:dyDescent="0.3">
      <c r="E19" t="s">
        <v>2433</v>
      </c>
      <c r="F19" t="s">
        <v>2087</v>
      </c>
      <c r="G19" s="72" t="s">
        <v>2085</v>
      </c>
    </row>
    <row r="20" spans="5:7" x14ac:dyDescent="0.3">
      <c r="E20" t="s">
        <v>2434</v>
      </c>
      <c r="F20" t="s">
        <v>1425</v>
      </c>
      <c r="G20" s="72">
        <v>26</v>
      </c>
    </row>
    <row r="21" spans="5:7" x14ac:dyDescent="0.3">
      <c r="E21" t="s">
        <v>2435</v>
      </c>
      <c r="F21" t="s">
        <v>1610</v>
      </c>
      <c r="G21" s="72">
        <v>26</v>
      </c>
    </row>
    <row r="22" spans="5:7" x14ac:dyDescent="0.3">
      <c r="E22" t="s">
        <v>2435</v>
      </c>
      <c r="F22" t="s">
        <v>1610</v>
      </c>
      <c r="G22" s="72">
        <v>26</v>
      </c>
    </row>
    <row r="23" spans="5:7" x14ac:dyDescent="0.3">
      <c r="E23" t="s">
        <v>2436</v>
      </c>
      <c r="F23" t="s">
        <v>1777</v>
      </c>
      <c r="G23" s="72">
        <v>26</v>
      </c>
    </row>
    <row r="24" spans="5:7" x14ac:dyDescent="0.3">
      <c r="E24" t="s">
        <v>1668</v>
      </c>
      <c r="F24" t="s">
        <v>1668</v>
      </c>
      <c r="G24" s="72">
        <v>26</v>
      </c>
    </row>
    <row r="25" spans="5:7" x14ac:dyDescent="0.3">
      <c r="E25" t="s">
        <v>1671</v>
      </c>
      <c r="F25" t="s">
        <v>1671</v>
      </c>
      <c r="G25" s="72">
        <v>26</v>
      </c>
    </row>
    <row r="26" spans="5:7" x14ac:dyDescent="0.3">
      <c r="E26" t="s">
        <v>1671</v>
      </c>
      <c r="F26" t="s">
        <v>1671</v>
      </c>
      <c r="G26" s="72">
        <v>26</v>
      </c>
    </row>
    <row r="27" spans="5:7" x14ac:dyDescent="0.3">
      <c r="E27" t="s">
        <v>2437</v>
      </c>
      <c r="F27" t="s">
        <v>1672</v>
      </c>
      <c r="G27" s="72">
        <v>26</v>
      </c>
    </row>
    <row r="28" spans="5:7" x14ac:dyDescent="0.3">
      <c r="E28" t="s">
        <v>1399</v>
      </c>
      <c r="F28" t="s">
        <v>1437</v>
      </c>
      <c r="G28" s="72">
        <v>26</v>
      </c>
    </row>
    <row r="29" spans="5:7" x14ac:dyDescent="0.3">
      <c r="E29" t="s">
        <v>1399</v>
      </c>
      <c r="F29" t="s">
        <v>1437</v>
      </c>
      <c r="G29" s="72">
        <v>26</v>
      </c>
    </row>
    <row r="30" spans="5:7" x14ac:dyDescent="0.3">
      <c r="E30" t="s">
        <v>2438</v>
      </c>
      <c r="F30" t="s">
        <v>2088</v>
      </c>
      <c r="G30" s="72">
        <v>26</v>
      </c>
    </row>
    <row r="31" spans="5:7" x14ac:dyDescent="0.3">
      <c r="E31" t="s">
        <v>2438</v>
      </c>
      <c r="F31" t="s">
        <v>2088</v>
      </c>
      <c r="G31" s="72">
        <v>26</v>
      </c>
    </row>
    <row r="32" spans="5:7" x14ac:dyDescent="0.3">
      <c r="E32" t="s">
        <v>2439</v>
      </c>
      <c r="F32" t="s">
        <v>2089</v>
      </c>
      <c r="G32" s="72">
        <v>26</v>
      </c>
    </row>
    <row r="33" spans="5:7" x14ac:dyDescent="0.3">
      <c r="E33" t="s">
        <v>2440</v>
      </c>
      <c r="F33" t="s">
        <v>1738</v>
      </c>
      <c r="G33" s="72">
        <v>26</v>
      </c>
    </row>
    <row r="34" spans="5:7" x14ac:dyDescent="0.3">
      <c r="E34" t="s">
        <v>2441</v>
      </c>
      <c r="F34" t="s">
        <v>1708</v>
      </c>
      <c r="G34" s="72">
        <v>26</v>
      </c>
    </row>
    <row r="35" spans="5:7" x14ac:dyDescent="0.3">
      <c r="E35" t="s">
        <v>2442</v>
      </c>
      <c r="F35" t="s">
        <v>1429</v>
      </c>
      <c r="G35" s="72">
        <v>26</v>
      </c>
    </row>
    <row r="36" spans="5:7" x14ac:dyDescent="0.3">
      <c r="E36" t="s">
        <v>1869</v>
      </c>
      <c r="F36" t="s">
        <v>1708</v>
      </c>
      <c r="G36" s="72">
        <v>26</v>
      </c>
    </row>
    <row r="37" spans="5:7" x14ac:dyDescent="0.3">
      <c r="E37" t="s">
        <v>2401</v>
      </c>
      <c r="F37" t="s">
        <v>1429</v>
      </c>
      <c r="G37" s="72">
        <v>26</v>
      </c>
    </row>
    <row r="38" spans="5:7" x14ac:dyDescent="0.3">
      <c r="E38" t="s">
        <v>1793</v>
      </c>
      <c r="F38" t="s">
        <v>1766</v>
      </c>
      <c r="G38" s="72">
        <v>26</v>
      </c>
    </row>
    <row r="39" spans="5:7" x14ac:dyDescent="0.3">
      <c r="E39" t="s">
        <v>2443</v>
      </c>
      <c r="F39" t="s">
        <v>1741</v>
      </c>
      <c r="G39" s="72">
        <v>26</v>
      </c>
    </row>
    <row r="40" spans="5:7" x14ac:dyDescent="0.3">
      <c r="E40" t="s">
        <v>2444</v>
      </c>
      <c r="F40" t="s">
        <v>1409</v>
      </c>
      <c r="G40" s="72">
        <v>26</v>
      </c>
    </row>
    <row r="41" spans="5:7" x14ac:dyDescent="0.3">
      <c r="E41" t="s">
        <v>2444</v>
      </c>
      <c r="F41" t="s">
        <v>1741</v>
      </c>
      <c r="G41" s="72">
        <v>26</v>
      </c>
    </row>
    <row r="42" spans="5:7" x14ac:dyDescent="0.3">
      <c r="E42" t="s">
        <v>2445</v>
      </c>
      <c r="F42" t="s">
        <v>1749</v>
      </c>
      <c r="G42" s="72">
        <v>26</v>
      </c>
    </row>
    <row r="43" spans="5:7" x14ac:dyDescent="0.3">
      <c r="E43" t="s">
        <v>1796</v>
      </c>
      <c r="F43" t="s">
        <v>1409</v>
      </c>
      <c r="G43" s="72">
        <v>26</v>
      </c>
    </row>
    <row r="44" spans="5:7" x14ac:dyDescent="0.3">
      <c r="E44" t="s">
        <v>1796</v>
      </c>
      <c r="F44" t="s">
        <v>1409</v>
      </c>
      <c r="G44" s="72">
        <v>26</v>
      </c>
    </row>
    <row r="45" spans="5:7" x14ac:dyDescent="0.3">
      <c r="E45" t="s">
        <v>2406</v>
      </c>
      <c r="F45" t="s">
        <v>1764</v>
      </c>
      <c r="G45" s="72">
        <v>26</v>
      </c>
    </row>
    <row r="46" spans="5:7" x14ac:dyDescent="0.3">
      <c r="E46" t="s">
        <v>2406</v>
      </c>
      <c r="F46" t="s">
        <v>1764</v>
      </c>
      <c r="G46" s="72">
        <v>26</v>
      </c>
    </row>
    <row r="47" spans="5:7" x14ac:dyDescent="0.3">
      <c r="E47" t="s">
        <v>2446</v>
      </c>
      <c r="F47" t="s">
        <v>1759</v>
      </c>
      <c r="G47" s="72">
        <v>26</v>
      </c>
    </row>
    <row r="48" spans="5:7" x14ac:dyDescent="0.3">
      <c r="E48" t="s">
        <v>1871</v>
      </c>
      <c r="F48" t="s">
        <v>1678</v>
      </c>
      <c r="G48" s="72">
        <v>26</v>
      </c>
    </row>
    <row r="49" spans="5:7" x14ac:dyDescent="0.3">
      <c r="E49" t="s">
        <v>2447</v>
      </c>
      <c r="F49" t="s">
        <v>1759</v>
      </c>
      <c r="G49" s="72">
        <v>26</v>
      </c>
    </row>
    <row r="50" spans="5:7" x14ac:dyDescent="0.3">
      <c r="E50" t="s">
        <v>1675</v>
      </c>
      <c r="F50" t="s">
        <v>1675</v>
      </c>
      <c r="G50" s="72">
        <v>26</v>
      </c>
    </row>
    <row r="51" spans="5:7" x14ac:dyDescent="0.3">
      <c r="E51" t="s">
        <v>2448</v>
      </c>
      <c r="F51" t="s">
        <v>1700</v>
      </c>
      <c r="G51" s="72">
        <v>26</v>
      </c>
    </row>
    <row r="52" spans="5:7" x14ac:dyDescent="0.3">
      <c r="E52" t="s">
        <v>2449</v>
      </c>
      <c r="F52" t="s">
        <v>2057</v>
      </c>
      <c r="G52" s="72" t="s">
        <v>2082</v>
      </c>
    </row>
    <row r="53" spans="5:7" x14ac:dyDescent="0.3">
      <c r="E53" t="s">
        <v>1697</v>
      </c>
      <c r="F53" t="s">
        <v>1697</v>
      </c>
      <c r="G53" s="72">
        <v>26</v>
      </c>
    </row>
    <row r="54" spans="5:7" x14ac:dyDescent="0.3">
      <c r="E54" t="s">
        <v>2450</v>
      </c>
      <c r="F54" t="s">
        <v>1407</v>
      </c>
      <c r="G54" s="72">
        <v>26</v>
      </c>
    </row>
    <row r="55" spans="5:7" x14ac:dyDescent="0.3">
      <c r="E55" t="s">
        <v>2415</v>
      </c>
      <c r="F55" t="s">
        <v>1778</v>
      </c>
      <c r="G55" s="72" t="s">
        <v>2085</v>
      </c>
    </row>
    <row r="56" spans="5:7" x14ac:dyDescent="0.3">
      <c r="E56" t="s">
        <v>2450</v>
      </c>
      <c r="F56" t="s">
        <v>1407</v>
      </c>
      <c r="G56" s="72">
        <v>26</v>
      </c>
    </row>
    <row r="57" spans="5:7" x14ac:dyDescent="0.3">
      <c r="E57" t="s">
        <v>2451</v>
      </c>
      <c r="F57" t="s">
        <v>1749</v>
      </c>
      <c r="G57" s="72">
        <v>26</v>
      </c>
    </row>
    <row r="58" spans="5:7" x14ac:dyDescent="0.3">
      <c r="E58" t="s">
        <v>2452</v>
      </c>
      <c r="F58" t="s">
        <v>1749</v>
      </c>
      <c r="G58" s="72">
        <v>26</v>
      </c>
    </row>
    <row r="59" spans="5:7" x14ac:dyDescent="0.3">
      <c r="E59" t="s">
        <v>2452</v>
      </c>
      <c r="F59" t="s">
        <v>1749</v>
      </c>
      <c r="G59" s="72">
        <v>26</v>
      </c>
    </row>
    <row r="60" spans="5:7" x14ac:dyDescent="0.3">
      <c r="E60" t="s">
        <v>2453</v>
      </c>
      <c r="F60" t="s">
        <v>1713</v>
      </c>
      <c r="G60" s="72">
        <v>26</v>
      </c>
    </row>
    <row r="61" spans="5:7" x14ac:dyDescent="0.3">
      <c r="E61" t="s">
        <v>2453</v>
      </c>
      <c r="F61" t="s">
        <v>1713</v>
      </c>
      <c r="G61" s="72">
        <v>26</v>
      </c>
    </row>
    <row r="62" spans="5:7" x14ac:dyDescent="0.3">
      <c r="E62" t="s">
        <v>1804</v>
      </c>
      <c r="F62" t="s">
        <v>1409</v>
      </c>
      <c r="G62" s="72">
        <v>26</v>
      </c>
    </row>
    <row r="63" spans="5:7" x14ac:dyDescent="0.3">
      <c r="E63" t="s">
        <v>1804</v>
      </c>
      <c r="F63" t="s">
        <v>1409</v>
      </c>
      <c r="G63" s="72">
        <v>26</v>
      </c>
    </row>
    <row r="64" spans="5:7" x14ac:dyDescent="0.3">
      <c r="E64" t="s">
        <v>2454</v>
      </c>
      <c r="F64" t="s">
        <v>1749</v>
      </c>
      <c r="G64" s="72">
        <v>26</v>
      </c>
    </row>
    <row r="65" spans="5:7" x14ac:dyDescent="0.3">
      <c r="E65" t="s">
        <v>2455</v>
      </c>
      <c r="F65" t="s">
        <v>1618</v>
      </c>
      <c r="G65" s="72">
        <v>26</v>
      </c>
    </row>
    <row r="66" spans="5:7" x14ac:dyDescent="0.3">
      <c r="E66" t="s">
        <v>2455</v>
      </c>
      <c r="F66" t="s">
        <v>1618</v>
      </c>
      <c r="G66" s="72">
        <v>26</v>
      </c>
    </row>
    <row r="67" spans="5:7" x14ac:dyDescent="0.3">
      <c r="E67" t="s">
        <v>1805</v>
      </c>
      <c r="F67" t="s">
        <v>1764</v>
      </c>
      <c r="G67" s="72">
        <v>26</v>
      </c>
    </row>
    <row r="68" spans="5:7" x14ac:dyDescent="0.3">
      <c r="E68" t="s">
        <v>1805</v>
      </c>
      <c r="F68" t="s">
        <v>2090</v>
      </c>
      <c r="G68" s="72">
        <v>26</v>
      </c>
    </row>
    <row r="69" spans="5:7" x14ac:dyDescent="0.3">
      <c r="E69" t="s">
        <v>2456</v>
      </c>
      <c r="F69" t="s">
        <v>1409</v>
      </c>
      <c r="G69" s="72">
        <v>26</v>
      </c>
    </row>
    <row r="70" spans="5:7" x14ac:dyDescent="0.3">
      <c r="E70" t="s">
        <v>1655</v>
      </c>
      <c r="F70" t="s">
        <v>1655</v>
      </c>
      <c r="G70" s="72">
        <v>26</v>
      </c>
    </row>
    <row r="71" spans="5:7" x14ac:dyDescent="0.3">
      <c r="E71" t="s">
        <v>2457</v>
      </c>
      <c r="F71" t="s">
        <v>1403</v>
      </c>
      <c r="G71" s="72">
        <v>26</v>
      </c>
    </row>
    <row r="72" spans="5:7" x14ac:dyDescent="0.3">
      <c r="E72" t="s">
        <v>2457</v>
      </c>
      <c r="F72" t="s">
        <v>1403</v>
      </c>
      <c r="G72" s="72">
        <v>26</v>
      </c>
    </row>
    <row r="73" spans="5:7" x14ac:dyDescent="0.3">
      <c r="E73" t="s">
        <v>2458</v>
      </c>
      <c r="F73" t="s">
        <v>1673</v>
      </c>
      <c r="G73" s="72">
        <v>26</v>
      </c>
    </row>
    <row r="74" spans="5:7" x14ac:dyDescent="0.3">
      <c r="E74" t="s">
        <v>1673</v>
      </c>
      <c r="F74" t="s">
        <v>1673</v>
      </c>
      <c r="G74" s="72">
        <v>26</v>
      </c>
    </row>
    <row r="75" spans="5:7" x14ac:dyDescent="0.3">
      <c r="E75" t="s">
        <v>1673</v>
      </c>
      <c r="F75" t="s">
        <v>1673</v>
      </c>
      <c r="G75" s="72">
        <v>26</v>
      </c>
    </row>
    <row r="76" spans="5:7" x14ac:dyDescent="0.3">
      <c r="E76" t="s">
        <v>1394</v>
      </c>
      <c r="F76" t="s">
        <v>1699</v>
      </c>
      <c r="G76" s="72">
        <v>26</v>
      </c>
    </row>
    <row r="77" spans="5:7" x14ac:dyDescent="0.3">
      <c r="E77" t="s">
        <v>2091</v>
      </c>
      <c r="F77" t="s">
        <v>2091</v>
      </c>
      <c r="G77" s="72">
        <v>26</v>
      </c>
    </row>
    <row r="78" spans="5:7" x14ac:dyDescent="0.3">
      <c r="E78" t="s">
        <v>2091</v>
      </c>
      <c r="F78" t="s">
        <v>2091</v>
      </c>
      <c r="G78" s="72">
        <v>26</v>
      </c>
    </row>
    <row r="79" spans="5:7" x14ac:dyDescent="0.3">
      <c r="E79" t="s">
        <v>2459</v>
      </c>
      <c r="F79" t="s">
        <v>1407</v>
      </c>
      <c r="G79" s="72">
        <v>26</v>
      </c>
    </row>
    <row r="80" spans="5:7" x14ac:dyDescent="0.3">
      <c r="E80" t="s">
        <v>2459</v>
      </c>
      <c r="F80" t="s">
        <v>1407</v>
      </c>
      <c r="G80" s="72">
        <v>26</v>
      </c>
    </row>
    <row r="81" spans="5:7" x14ac:dyDescent="0.3">
      <c r="E81" t="s">
        <v>1723</v>
      </c>
      <c r="F81" t="s">
        <v>1723</v>
      </c>
      <c r="G81" s="72">
        <v>26</v>
      </c>
    </row>
    <row r="82" spans="5:7" x14ac:dyDescent="0.3">
      <c r="E82" t="s">
        <v>2460</v>
      </c>
      <c r="F82" t="s">
        <v>2092</v>
      </c>
      <c r="G82" s="72">
        <v>26</v>
      </c>
    </row>
    <row r="83" spans="5:7" x14ac:dyDescent="0.3">
      <c r="E83" t="s">
        <v>2460</v>
      </c>
      <c r="F83" t="s">
        <v>2092</v>
      </c>
      <c r="G83" s="72">
        <v>26</v>
      </c>
    </row>
    <row r="84" spans="5:7" x14ac:dyDescent="0.3">
      <c r="E84" t="s">
        <v>2408</v>
      </c>
      <c r="F84" t="s">
        <v>1739</v>
      </c>
      <c r="G84" s="72">
        <v>26</v>
      </c>
    </row>
    <row r="85" spans="5:7" x14ac:dyDescent="0.3">
      <c r="E85" t="s">
        <v>1710</v>
      </c>
      <c r="F85" t="s">
        <v>1710</v>
      </c>
      <c r="G85" s="72">
        <v>26</v>
      </c>
    </row>
    <row r="86" spans="5:7" x14ac:dyDescent="0.3">
      <c r="E86" t="s">
        <v>1812</v>
      </c>
      <c r="F86" t="s">
        <v>1404</v>
      </c>
      <c r="G86" s="72">
        <v>26</v>
      </c>
    </row>
    <row r="87" spans="5:7" x14ac:dyDescent="0.3">
      <c r="E87" t="s">
        <v>1812</v>
      </c>
      <c r="F87" t="s">
        <v>1404</v>
      </c>
      <c r="G87" s="72">
        <v>26</v>
      </c>
    </row>
    <row r="88" spans="5:7" x14ac:dyDescent="0.3">
      <c r="E88" t="s">
        <v>2461</v>
      </c>
      <c r="F88" t="s">
        <v>1599</v>
      </c>
      <c r="G88" s="72">
        <v>26</v>
      </c>
    </row>
    <row r="89" spans="5:7" x14ac:dyDescent="0.3">
      <c r="E89" t="s">
        <v>2462</v>
      </c>
      <c r="F89" t="s">
        <v>2092</v>
      </c>
      <c r="G89" s="72">
        <v>26</v>
      </c>
    </row>
    <row r="90" spans="5:7" x14ac:dyDescent="0.3">
      <c r="E90" t="s">
        <v>1689</v>
      </c>
      <c r="F90" t="s">
        <v>1689</v>
      </c>
      <c r="G90" s="72">
        <v>26</v>
      </c>
    </row>
    <row r="91" spans="5:7" x14ac:dyDescent="0.3">
      <c r="E91" t="s">
        <v>1689</v>
      </c>
      <c r="F91" t="s">
        <v>1689</v>
      </c>
      <c r="G91" s="72">
        <v>26</v>
      </c>
    </row>
    <row r="92" spans="5:7" x14ac:dyDescent="0.3">
      <c r="E92" t="s">
        <v>1677</v>
      </c>
      <c r="F92" t="s">
        <v>1677</v>
      </c>
      <c r="G92" s="72">
        <v>26</v>
      </c>
    </row>
    <row r="93" spans="5:7" x14ac:dyDescent="0.3">
      <c r="E93" t="s">
        <v>1677</v>
      </c>
      <c r="F93" t="s">
        <v>1677</v>
      </c>
      <c r="G93" s="72">
        <v>26</v>
      </c>
    </row>
    <row r="94" spans="5:7" x14ac:dyDescent="0.3">
      <c r="E94" t="s">
        <v>2463</v>
      </c>
      <c r="F94" t="s">
        <v>1740</v>
      </c>
      <c r="G94" s="72">
        <v>26</v>
      </c>
    </row>
    <row r="95" spans="5:7" x14ac:dyDescent="0.3">
      <c r="E95" t="s">
        <v>2464</v>
      </c>
      <c r="F95" t="s">
        <v>1740</v>
      </c>
      <c r="G95" s="72">
        <v>26</v>
      </c>
    </row>
    <row r="96" spans="5:7" x14ac:dyDescent="0.3">
      <c r="E96" t="s">
        <v>2465</v>
      </c>
      <c r="F96" t="s">
        <v>1740</v>
      </c>
      <c r="G96" s="72">
        <v>26</v>
      </c>
    </row>
    <row r="97" spans="5:7" x14ac:dyDescent="0.3">
      <c r="E97" t="s">
        <v>2466</v>
      </c>
      <c r="F97" t="s">
        <v>1401</v>
      </c>
      <c r="G97" s="72">
        <v>26</v>
      </c>
    </row>
    <row r="98" spans="5:7" x14ac:dyDescent="0.3">
      <c r="E98" t="s">
        <v>2467</v>
      </c>
      <c r="F98" t="s">
        <v>1780</v>
      </c>
      <c r="G98" s="72">
        <v>26</v>
      </c>
    </row>
    <row r="99" spans="5:7" x14ac:dyDescent="0.3">
      <c r="E99" t="s">
        <v>2468</v>
      </c>
      <c r="F99" t="s">
        <v>1401</v>
      </c>
      <c r="G99" s="72">
        <v>26</v>
      </c>
    </row>
    <row r="100" spans="5:7" x14ac:dyDescent="0.3">
      <c r="E100" t="s">
        <v>2468</v>
      </c>
      <c r="F100" t="s">
        <v>1401</v>
      </c>
      <c r="G100" s="72">
        <v>26</v>
      </c>
    </row>
    <row r="101" spans="5:7" x14ac:dyDescent="0.3">
      <c r="E101" t="s">
        <v>2469</v>
      </c>
      <c r="F101" t="s">
        <v>1615</v>
      </c>
      <c r="G101" s="72">
        <v>26</v>
      </c>
    </row>
    <row r="102" spans="5:7" x14ac:dyDescent="0.3">
      <c r="E102" t="s">
        <v>2470</v>
      </c>
      <c r="F102" t="s">
        <v>1780</v>
      </c>
      <c r="G102" s="72">
        <v>26</v>
      </c>
    </row>
    <row r="103" spans="5:7" x14ac:dyDescent="0.3">
      <c r="E103" t="s">
        <v>2471</v>
      </c>
      <c r="F103" t="s">
        <v>2093</v>
      </c>
      <c r="G103" s="72">
        <v>26</v>
      </c>
    </row>
    <row r="104" spans="5:7" x14ac:dyDescent="0.3">
      <c r="E104" t="s">
        <v>2472</v>
      </c>
      <c r="F104" t="s">
        <v>1420</v>
      </c>
      <c r="G104" s="72">
        <v>26</v>
      </c>
    </row>
    <row r="105" spans="5:7" x14ac:dyDescent="0.3">
      <c r="E105" t="s">
        <v>2402</v>
      </c>
      <c r="F105" t="s">
        <v>1763</v>
      </c>
      <c r="G105" s="72">
        <v>26</v>
      </c>
    </row>
    <row r="106" spans="5:7" x14ac:dyDescent="0.3">
      <c r="E106" t="s">
        <v>2402</v>
      </c>
      <c r="F106" t="s">
        <v>1763</v>
      </c>
      <c r="G106" s="72">
        <v>26</v>
      </c>
    </row>
    <row r="107" spans="5:7" x14ac:dyDescent="0.3">
      <c r="E107" t="s">
        <v>2473</v>
      </c>
      <c r="F107" t="s">
        <v>1763</v>
      </c>
      <c r="G107" s="72">
        <v>26</v>
      </c>
    </row>
    <row r="108" spans="5:7" x14ac:dyDescent="0.3">
      <c r="E108" t="s">
        <v>2474</v>
      </c>
      <c r="F108" t="s">
        <v>2093</v>
      </c>
      <c r="G108" s="72">
        <v>26</v>
      </c>
    </row>
    <row r="109" spans="5:7" x14ac:dyDescent="0.3">
      <c r="E109" t="s">
        <v>1878</v>
      </c>
      <c r="F109" t="s">
        <v>2318</v>
      </c>
      <c r="G109" s="72">
        <v>26</v>
      </c>
    </row>
    <row r="110" spans="5:7" x14ac:dyDescent="0.3">
      <c r="E110" t="s">
        <v>2094</v>
      </c>
      <c r="F110" t="s">
        <v>2094</v>
      </c>
      <c r="G110" s="72">
        <v>26</v>
      </c>
    </row>
    <row r="111" spans="5:7" x14ac:dyDescent="0.3">
      <c r="E111" t="s">
        <v>2475</v>
      </c>
      <c r="F111" t="s">
        <v>1407</v>
      </c>
      <c r="G111" s="72">
        <v>26</v>
      </c>
    </row>
    <row r="112" spans="5:7" x14ac:dyDescent="0.3">
      <c r="E112" t="s">
        <v>2475</v>
      </c>
      <c r="F112" t="s">
        <v>1407</v>
      </c>
      <c r="G112" s="72">
        <v>26</v>
      </c>
    </row>
    <row r="113" spans="5:7" x14ac:dyDescent="0.3">
      <c r="E113" t="s">
        <v>1879</v>
      </c>
      <c r="F113" t="s">
        <v>1674</v>
      </c>
      <c r="G113" s="72">
        <v>26</v>
      </c>
    </row>
    <row r="114" spans="5:7" x14ac:dyDescent="0.3">
      <c r="E114" t="s">
        <v>2476</v>
      </c>
      <c r="F114" t="s">
        <v>1618</v>
      </c>
      <c r="G114" s="72">
        <v>26</v>
      </c>
    </row>
    <row r="115" spans="5:7" x14ac:dyDescent="0.3">
      <c r="E115" t="s">
        <v>1620</v>
      </c>
      <c r="F115" t="s">
        <v>1620</v>
      </c>
      <c r="G115" s="72">
        <v>26</v>
      </c>
    </row>
    <row r="116" spans="5:7" x14ac:dyDescent="0.3">
      <c r="E116" t="s">
        <v>1620</v>
      </c>
      <c r="F116" t="s">
        <v>1620</v>
      </c>
      <c r="G116" s="72">
        <v>26</v>
      </c>
    </row>
    <row r="117" spans="5:7" x14ac:dyDescent="0.3">
      <c r="E117" t="s">
        <v>1659</v>
      </c>
      <c r="F117" t="s">
        <v>1659</v>
      </c>
      <c r="G117" s="72">
        <v>26</v>
      </c>
    </row>
    <row r="118" spans="5:7" x14ac:dyDescent="0.3">
      <c r="E118" t="s">
        <v>1659</v>
      </c>
      <c r="F118" t="s">
        <v>1659</v>
      </c>
      <c r="G118" s="72">
        <v>26</v>
      </c>
    </row>
    <row r="119" spans="5:7" x14ac:dyDescent="0.3">
      <c r="E119" t="s">
        <v>2477</v>
      </c>
      <c r="F119" t="s">
        <v>2095</v>
      </c>
      <c r="G119" s="72">
        <v>26</v>
      </c>
    </row>
    <row r="120" spans="5:7" x14ac:dyDescent="0.3">
      <c r="E120" t="s">
        <v>2478</v>
      </c>
      <c r="F120" t="s">
        <v>1711</v>
      </c>
      <c r="G120" s="72">
        <v>26</v>
      </c>
    </row>
    <row r="121" spans="5:7" x14ac:dyDescent="0.3">
      <c r="E121" t="s">
        <v>2479</v>
      </c>
      <c r="F121" t="s">
        <v>1408</v>
      </c>
      <c r="G121" s="72">
        <v>26</v>
      </c>
    </row>
    <row r="122" spans="5:7" x14ac:dyDescent="0.3">
      <c r="E122" t="s">
        <v>2480</v>
      </c>
      <c r="F122" t="s">
        <v>2096</v>
      </c>
      <c r="G122" s="72">
        <v>26</v>
      </c>
    </row>
    <row r="123" spans="5:7" x14ac:dyDescent="0.3">
      <c r="E123" t="s">
        <v>2481</v>
      </c>
      <c r="F123" t="s">
        <v>2096</v>
      </c>
      <c r="G123" s="72">
        <v>26</v>
      </c>
    </row>
    <row r="124" spans="5:7" x14ac:dyDescent="0.3">
      <c r="E124" t="s">
        <v>2481</v>
      </c>
      <c r="F124" t="s">
        <v>2096</v>
      </c>
      <c r="G124" s="72">
        <v>26</v>
      </c>
    </row>
    <row r="125" spans="5:7" x14ac:dyDescent="0.3">
      <c r="E125" t="s">
        <v>2482</v>
      </c>
      <c r="F125" t="s">
        <v>1711</v>
      </c>
      <c r="G125" s="72">
        <v>26</v>
      </c>
    </row>
    <row r="126" spans="5:7" x14ac:dyDescent="0.3">
      <c r="E126" t="s">
        <v>2482</v>
      </c>
      <c r="F126" t="s">
        <v>1711</v>
      </c>
      <c r="G126" s="72">
        <v>26</v>
      </c>
    </row>
    <row r="127" spans="5:7" x14ac:dyDescent="0.3">
      <c r="E127" t="s">
        <v>2483</v>
      </c>
      <c r="F127" t="s">
        <v>1408</v>
      </c>
      <c r="G127" s="72">
        <v>26</v>
      </c>
    </row>
    <row r="128" spans="5:7" x14ac:dyDescent="0.3">
      <c r="E128" t="s">
        <v>2483</v>
      </c>
      <c r="F128" t="s">
        <v>1408</v>
      </c>
      <c r="G128" s="72">
        <v>26</v>
      </c>
    </row>
    <row r="129" spans="5:7" x14ac:dyDescent="0.3">
      <c r="E129" t="s">
        <v>2484</v>
      </c>
      <c r="F129" t="s">
        <v>1602</v>
      </c>
      <c r="G129" s="72">
        <v>26</v>
      </c>
    </row>
    <row r="130" spans="5:7" x14ac:dyDescent="0.3">
      <c r="E130" t="s">
        <v>2484</v>
      </c>
      <c r="F130" t="s">
        <v>1602</v>
      </c>
      <c r="G130" s="72">
        <v>26</v>
      </c>
    </row>
    <row r="131" spans="5:7" x14ac:dyDescent="0.3">
      <c r="E131" t="s">
        <v>2485</v>
      </c>
      <c r="F131" t="s">
        <v>1778</v>
      </c>
      <c r="G131" s="72">
        <v>26</v>
      </c>
    </row>
    <row r="132" spans="5:7" x14ac:dyDescent="0.3">
      <c r="E132" t="s">
        <v>2486</v>
      </c>
      <c r="F132" t="s">
        <v>1429</v>
      </c>
      <c r="G132" s="72" t="s">
        <v>2085</v>
      </c>
    </row>
    <row r="133" spans="5:7" x14ac:dyDescent="0.3">
      <c r="E133" t="s">
        <v>2407</v>
      </c>
      <c r="F133" t="s">
        <v>1409</v>
      </c>
      <c r="G133" s="72" t="s">
        <v>2085</v>
      </c>
    </row>
    <row r="134" spans="5:7" x14ac:dyDescent="0.3">
      <c r="E134" t="s">
        <v>2485</v>
      </c>
      <c r="F134" t="s">
        <v>1778</v>
      </c>
      <c r="G134" s="72">
        <v>26</v>
      </c>
    </row>
    <row r="135" spans="5:7" x14ac:dyDescent="0.3">
      <c r="E135" t="s">
        <v>2487</v>
      </c>
      <c r="F135" t="s">
        <v>2095</v>
      </c>
      <c r="G135" s="72">
        <v>26</v>
      </c>
    </row>
    <row r="136" spans="5:7" x14ac:dyDescent="0.3">
      <c r="E136" t="s">
        <v>2488</v>
      </c>
      <c r="F136" t="s">
        <v>2095</v>
      </c>
      <c r="G136" s="72">
        <v>26</v>
      </c>
    </row>
    <row r="137" spans="5:7" x14ac:dyDescent="0.3">
      <c r="E137" t="s">
        <v>2489</v>
      </c>
      <c r="F137" t="s">
        <v>1711</v>
      </c>
      <c r="G137" s="72">
        <v>26</v>
      </c>
    </row>
    <row r="138" spans="5:7" x14ac:dyDescent="0.3">
      <c r="E138" t="s">
        <v>2490</v>
      </c>
      <c r="F138" t="s">
        <v>1408</v>
      </c>
      <c r="G138" s="72">
        <v>26</v>
      </c>
    </row>
    <row r="139" spans="5:7" x14ac:dyDescent="0.3">
      <c r="E139" t="s">
        <v>2491</v>
      </c>
      <c r="F139" t="s">
        <v>1778</v>
      </c>
      <c r="G139" s="72">
        <v>26</v>
      </c>
    </row>
    <row r="140" spans="5:7" x14ac:dyDescent="0.3">
      <c r="E140" t="s">
        <v>2492</v>
      </c>
      <c r="F140" t="s">
        <v>1748</v>
      </c>
      <c r="G140" s="72">
        <v>26</v>
      </c>
    </row>
    <row r="141" spans="5:7" x14ac:dyDescent="0.3">
      <c r="E141" t="s">
        <v>2493</v>
      </c>
      <c r="F141" t="s">
        <v>1748</v>
      </c>
      <c r="G141" s="72">
        <v>26</v>
      </c>
    </row>
    <row r="142" spans="5:7" x14ac:dyDescent="0.3">
      <c r="E142" t="s">
        <v>2493</v>
      </c>
      <c r="F142" t="s">
        <v>1748</v>
      </c>
      <c r="G142" s="72">
        <v>26</v>
      </c>
    </row>
    <row r="143" spans="5:7" x14ac:dyDescent="0.3">
      <c r="E143" t="s">
        <v>1851</v>
      </c>
      <c r="F143" t="s">
        <v>1408</v>
      </c>
      <c r="G143" s="72">
        <v>26</v>
      </c>
    </row>
    <row r="144" spans="5:7" x14ac:dyDescent="0.3">
      <c r="E144" t="s">
        <v>2494</v>
      </c>
      <c r="F144" t="s">
        <v>1402</v>
      </c>
      <c r="G144" s="72">
        <v>26</v>
      </c>
    </row>
    <row r="145" spans="5:7" x14ac:dyDescent="0.3">
      <c r="E145" t="s">
        <v>2495</v>
      </c>
      <c r="F145" t="s">
        <v>1402</v>
      </c>
      <c r="G145" s="72">
        <v>26</v>
      </c>
    </row>
    <row r="146" spans="5:7" x14ac:dyDescent="0.3">
      <c r="E146" t="s">
        <v>2495</v>
      </c>
      <c r="F146" t="s">
        <v>1402</v>
      </c>
      <c r="G146" s="72">
        <v>26</v>
      </c>
    </row>
    <row r="147" spans="5:7" x14ac:dyDescent="0.3">
      <c r="E147" t="s">
        <v>2496</v>
      </c>
      <c r="F147" t="s">
        <v>1744</v>
      </c>
      <c r="G147" s="72">
        <v>26</v>
      </c>
    </row>
    <row r="148" spans="5:7" x14ac:dyDescent="0.3">
      <c r="E148" t="s">
        <v>2497</v>
      </c>
      <c r="F148" t="s">
        <v>2097</v>
      </c>
      <c r="G148" s="72">
        <v>26</v>
      </c>
    </row>
    <row r="149" spans="5:7" x14ac:dyDescent="0.3">
      <c r="E149" t="s">
        <v>2498</v>
      </c>
      <c r="F149" t="s">
        <v>1744</v>
      </c>
      <c r="G149" s="72">
        <v>26</v>
      </c>
    </row>
    <row r="150" spans="5:7" x14ac:dyDescent="0.3">
      <c r="E150" t="s">
        <v>1661</v>
      </c>
      <c r="F150" t="s">
        <v>1661</v>
      </c>
      <c r="G150" s="72">
        <v>26</v>
      </c>
    </row>
    <row r="151" spans="5:7" x14ac:dyDescent="0.3">
      <c r="E151" t="s">
        <v>1661</v>
      </c>
      <c r="F151" t="s">
        <v>1661</v>
      </c>
      <c r="G151" s="72">
        <v>26</v>
      </c>
    </row>
    <row r="152" spans="5:7" x14ac:dyDescent="0.3">
      <c r="E152" t="s">
        <v>2499</v>
      </c>
      <c r="F152" t="s">
        <v>1402</v>
      </c>
      <c r="G152" s="72">
        <v>26</v>
      </c>
    </row>
    <row r="153" spans="5:7" x14ac:dyDescent="0.3">
      <c r="E153" t="s">
        <v>2500</v>
      </c>
      <c r="F153" t="s">
        <v>1617</v>
      </c>
      <c r="G153" s="72">
        <v>26</v>
      </c>
    </row>
    <row r="154" spans="5:7" x14ac:dyDescent="0.3">
      <c r="E154" t="s">
        <v>2500</v>
      </c>
      <c r="F154" t="s">
        <v>1617</v>
      </c>
      <c r="G154" s="72">
        <v>26</v>
      </c>
    </row>
    <row r="155" spans="5:7" x14ac:dyDescent="0.3">
      <c r="E155" t="s">
        <v>1682</v>
      </c>
      <c r="F155" t="s">
        <v>1692</v>
      </c>
      <c r="G155" s="72">
        <v>26</v>
      </c>
    </row>
    <row r="156" spans="5:7" x14ac:dyDescent="0.3">
      <c r="E156" t="s">
        <v>2501</v>
      </c>
      <c r="F156" t="s">
        <v>1421</v>
      </c>
      <c r="G156" s="72">
        <v>26</v>
      </c>
    </row>
    <row r="157" spans="5:7" x14ac:dyDescent="0.3">
      <c r="E157" t="s">
        <v>2502</v>
      </c>
      <c r="F157" t="s">
        <v>1614</v>
      </c>
      <c r="G157" s="72">
        <v>26</v>
      </c>
    </row>
    <row r="158" spans="5:7" x14ac:dyDescent="0.3">
      <c r="E158" t="s">
        <v>2503</v>
      </c>
      <c r="F158" t="s">
        <v>1741</v>
      </c>
      <c r="G158" s="72">
        <v>26</v>
      </c>
    </row>
    <row r="159" spans="5:7" x14ac:dyDescent="0.3">
      <c r="E159" t="s">
        <v>2504</v>
      </c>
      <c r="F159" t="s">
        <v>1700</v>
      </c>
      <c r="G159" s="72">
        <v>26</v>
      </c>
    </row>
    <row r="160" spans="5:7" x14ac:dyDescent="0.3">
      <c r="E160" t="s">
        <v>2505</v>
      </c>
      <c r="F160" t="s">
        <v>2048</v>
      </c>
      <c r="G160" s="72">
        <v>26</v>
      </c>
    </row>
    <row r="161" spans="5:7" x14ac:dyDescent="0.3">
      <c r="E161" t="s">
        <v>2506</v>
      </c>
      <c r="F161" t="s">
        <v>1672</v>
      </c>
      <c r="G161" s="72">
        <v>26</v>
      </c>
    </row>
    <row r="162" spans="5:7" x14ac:dyDescent="0.3">
      <c r="E162" t="s">
        <v>2506</v>
      </c>
      <c r="F162" t="s">
        <v>1672</v>
      </c>
      <c r="G162" s="72">
        <v>26</v>
      </c>
    </row>
    <row r="163" spans="5:7" x14ac:dyDescent="0.3">
      <c r="E163" t="s">
        <v>2425</v>
      </c>
      <c r="F163" t="s">
        <v>2098</v>
      </c>
      <c r="G163" s="72" t="s">
        <v>1890</v>
      </c>
    </row>
    <row r="164" spans="5:7" x14ac:dyDescent="0.3">
      <c r="E164" t="s">
        <v>2507</v>
      </c>
      <c r="F164" t="s">
        <v>1733</v>
      </c>
      <c r="G164" s="72" t="s">
        <v>1890</v>
      </c>
    </row>
    <row r="165" spans="5:7" x14ac:dyDescent="0.3">
      <c r="E165" t="s">
        <v>2508</v>
      </c>
      <c r="F165" t="s">
        <v>1733</v>
      </c>
      <c r="G165" s="72" t="s">
        <v>1890</v>
      </c>
    </row>
    <row r="166" spans="5:7" x14ac:dyDescent="0.3">
      <c r="E166" t="s">
        <v>2508</v>
      </c>
      <c r="F166" t="s">
        <v>1733</v>
      </c>
      <c r="G166" s="72" t="s">
        <v>1890</v>
      </c>
    </row>
    <row r="167" spans="5:7" x14ac:dyDescent="0.3">
      <c r="E167" t="s">
        <v>2428</v>
      </c>
      <c r="F167" t="s">
        <v>1979</v>
      </c>
      <c r="G167" s="72" t="s">
        <v>1890</v>
      </c>
    </row>
    <row r="168" spans="5:7" x14ac:dyDescent="0.3">
      <c r="E168" t="s">
        <v>2428</v>
      </c>
      <c r="F168" t="s">
        <v>1979</v>
      </c>
      <c r="G168" s="72" t="s">
        <v>1890</v>
      </c>
    </row>
    <row r="169" spans="5:7" x14ac:dyDescent="0.3">
      <c r="E169" t="s">
        <v>2509</v>
      </c>
      <c r="F169" t="s">
        <v>2099</v>
      </c>
      <c r="G169" s="72" t="s">
        <v>1890</v>
      </c>
    </row>
    <row r="170" spans="5:7" x14ac:dyDescent="0.3">
      <c r="E170" t="s">
        <v>2510</v>
      </c>
      <c r="G170" s="72" t="s">
        <v>1890</v>
      </c>
    </row>
    <row r="171" spans="5:7" x14ac:dyDescent="0.3">
      <c r="E171" t="s">
        <v>2510</v>
      </c>
      <c r="F171" t="s">
        <v>1760</v>
      </c>
      <c r="G171" s="72" t="s">
        <v>1890</v>
      </c>
    </row>
    <row r="172" spans="5:7" x14ac:dyDescent="0.3">
      <c r="E172" t="s">
        <v>2511</v>
      </c>
      <c r="F172" t="s">
        <v>2038</v>
      </c>
      <c r="G172" s="72" t="s">
        <v>1890</v>
      </c>
    </row>
    <row r="173" spans="5:7" x14ac:dyDescent="0.3">
      <c r="E173" t="s">
        <v>2511</v>
      </c>
      <c r="F173" t="s">
        <v>2038</v>
      </c>
      <c r="G173" s="72" t="s">
        <v>1890</v>
      </c>
    </row>
    <row r="174" spans="5:7" x14ac:dyDescent="0.3">
      <c r="E174" t="s">
        <v>1891</v>
      </c>
      <c r="F174" t="s">
        <v>1447</v>
      </c>
      <c r="G174" s="72" t="s">
        <v>1890</v>
      </c>
    </row>
    <row r="175" spans="5:7" x14ac:dyDescent="0.3">
      <c r="E175" t="s">
        <v>2512</v>
      </c>
      <c r="F175" t="s">
        <v>2100</v>
      </c>
      <c r="G175" s="72" t="s">
        <v>1890</v>
      </c>
    </row>
    <row r="176" spans="5:7" x14ac:dyDescent="0.3">
      <c r="E176" t="s">
        <v>2513</v>
      </c>
      <c r="F176" t="s">
        <v>1732</v>
      </c>
      <c r="G176" s="72" t="s">
        <v>1890</v>
      </c>
    </row>
    <row r="177" spans="5:7" x14ac:dyDescent="0.3">
      <c r="E177" t="s">
        <v>2439</v>
      </c>
      <c r="F177" t="s">
        <v>2101</v>
      </c>
      <c r="G177" s="72" t="s">
        <v>1890</v>
      </c>
    </row>
    <row r="178" spans="5:7" x14ac:dyDescent="0.3">
      <c r="E178" t="s">
        <v>1893</v>
      </c>
      <c r="F178" t="s">
        <v>1732</v>
      </c>
      <c r="G178" s="72" t="s">
        <v>1890</v>
      </c>
    </row>
    <row r="179" spans="5:7" x14ac:dyDescent="0.3">
      <c r="E179" t="s">
        <v>1893</v>
      </c>
      <c r="F179" t="s">
        <v>1732</v>
      </c>
      <c r="G179" s="72" t="s">
        <v>1890</v>
      </c>
    </row>
    <row r="180" spans="5:7" x14ac:dyDescent="0.3">
      <c r="E180" t="s">
        <v>2514</v>
      </c>
      <c r="F180" t="s">
        <v>1729</v>
      </c>
      <c r="G180" s="72" t="s">
        <v>1890</v>
      </c>
    </row>
    <row r="181" spans="5:7" x14ac:dyDescent="0.3">
      <c r="E181" t="s">
        <v>2514</v>
      </c>
      <c r="F181" t="s">
        <v>1729</v>
      </c>
      <c r="G181" s="72" t="s">
        <v>1890</v>
      </c>
    </row>
    <row r="182" spans="5:7" x14ac:dyDescent="0.3">
      <c r="E182" t="s">
        <v>2515</v>
      </c>
      <c r="F182" t="s">
        <v>1982</v>
      </c>
      <c r="G182" s="72" t="s">
        <v>1890</v>
      </c>
    </row>
    <row r="183" spans="5:7" x14ac:dyDescent="0.3">
      <c r="E183" t="s">
        <v>2515</v>
      </c>
      <c r="F183" t="s">
        <v>1982</v>
      </c>
      <c r="G183" s="72" t="s">
        <v>1890</v>
      </c>
    </row>
    <row r="184" spans="5:7" x14ac:dyDescent="0.3">
      <c r="E184" t="s">
        <v>2516</v>
      </c>
      <c r="F184" t="s">
        <v>1729</v>
      </c>
      <c r="G184" s="72" t="s">
        <v>1890</v>
      </c>
    </row>
    <row r="185" spans="5:7" x14ac:dyDescent="0.3">
      <c r="E185" t="s">
        <v>2440</v>
      </c>
      <c r="F185" t="s">
        <v>1729</v>
      </c>
      <c r="G185" s="72" t="s">
        <v>1890</v>
      </c>
    </row>
    <row r="186" spans="5:7" x14ac:dyDescent="0.3">
      <c r="E186" t="s">
        <v>2440</v>
      </c>
      <c r="F186" t="s">
        <v>1729</v>
      </c>
      <c r="G186" s="72" t="s">
        <v>1890</v>
      </c>
    </row>
    <row r="187" spans="5:7" x14ac:dyDescent="0.3">
      <c r="E187" t="s">
        <v>2401</v>
      </c>
      <c r="F187" t="s">
        <v>1982</v>
      </c>
      <c r="G187" s="72" t="s">
        <v>1890</v>
      </c>
    </row>
    <row r="188" spans="5:7" x14ac:dyDescent="0.3">
      <c r="E188" t="s">
        <v>2401</v>
      </c>
      <c r="F188" t="s">
        <v>1982</v>
      </c>
      <c r="G188" s="72" t="s">
        <v>1890</v>
      </c>
    </row>
    <row r="189" spans="5:7" x14ac:dyDescent="0.3">
      <c r="E189" t="s">
        <v>2517</v>
      </c>
      <c r="F189" t="s">
        <v>1729</v>
      </c>
      <c r="G189" s="72" t="s">
        <v>1890</v>
      </c>
    </row>
    <row r="190" spans="5:7" x14ac:dyDescent="0.3">
      <c r="E190" t="s">
        <v>1793</v>
      </c>
      <c r="F190" t="s">
        <v>1762</v>
      </c>
      <c r="G190" s="72" t="s">
        <v>1890</v>
      </c>
    </row>
    <row r="191" spans="5:7" x14ac:dyDescent="0.3">
      <c r="E191" t="s">
        <v>1793</v>
      </c>
      <c r="F191" t="s">
        <v>1762</v>
      </c>
      <c r="G191" s="72" t="s">
        <v>1890</v>
      </c>
    </row>
    <row r="192" spans="5:7" x14ac:dyDescent="0.3">
      <c r="E192" t="s">
        <v>2518</v>
      </c>
      <c r="F192" t="s">
        <v>2102</v>
      </c>
      <c r="G192" s="72" t="s">
        <v>1890</v>
      </c>
    </row>
    <row r="193" spans="5:7" x14ac:dyDescent="0.3">
      <c r="E193" t="s">
        <v>1794</v>
      </c>
      <c r="F193" t="s">
        <v>1446</v>
      </c>
      <c r="G193" s="72" t="s">
        <v>1890</v>
      </c>
    </row>
    <row r="194" spans="5:7" x14ac:dyDescent="0.3">
      <c r="E194" t="s">
        <v>2519</v>
      </c>
      <c r="F194" t="s">
        <v>1451</v>
      </c>
      <c r="G194" s="72" t="s">
        <v>1890</v>
      </c>
    </row>
    <row r="195" spans="5:7" x14ac:dyDescent="0.3">
      <c r="E195" t="s">
        <v>2519</v>
      </c>
      <c r="F195" t="s">
        <v>1451</v>
      </c>
      <c r="G195" s="72" t="s">
        <v>1890</v>
      </c>
    </row>
    <row r="196" spans="5:7" x14ac:dyDescent="0.3">
      <c r="E196" t="s">
        <v>2520</v>
      </c>
      <c r="F196" t="s">
        <v>2101</v>
      </c>
      <c r="G196" s="72" t="s">
        <v>1890</v>
      </c>
    </row>
    <row r="197" spans="5:7" x14ac:dyDescent="0.3">
      <c r="E197" t="s">
        <v>2520</v>
      </c>
      <c r="F197" t="s">
        <v>2101</v>
      </c>
      <c r="G197" s="72" t="s">
        <v>1890</v>
      </c>
    </row>
    <row r="198" spans="5:7" x14ac:dyDescent="0.3">
      <c r="E198" t="s">
        <v>2408</v>
      </c>
      <c r="F198" t="s">
        <v>1734</v>
      </c>
      <c r="G198" s="72" t="s">
        <v>1890</v>
      </c>
    </row>
    <row r="199" spans="5:7" x14ac:dyDescent="0.3">
      <c r="E199" t="s">
        <v>1812</v>
      </c>
      <c r="F199" t="s">
        <v>1980</v>
      </c>
      <c r="G199" s="72" t="s">
        <v>1890</v>
      </c>
    </row>
    <row r="200" spans="5:7" x14ac:dyDescent="0.3">
      <c r="E200" t="s">
        <v>1812</v>
      </c>
      <c r="F200" t="s">
        <v>1980</v>
      </c>
      <c r="G200" s="72" t="s">
        <v>1890</v>
      </c>
    </row>
    <row r="201" spans="5:7" x14ac:dyDescent="0.3">
      <c r="E201" t="s">
        <v>2521</v>
      </c>
      <c r="F201" t="s">
        <v>1734</v>
      </c>
      <c r="G201" s="72" t="s">
        <v>1890</v>
      </c>
    </row>
    <row r="202" spans="5:7" x14ac:dyDescent="0.3">
      <c r="E202" t="s">
        <v>2522</v>
      </c>
      <c r="F202" t="s">
        <v>2103</v>
      </c>
      <c r="G202" s="72" t="s">
        <v>1890</v>
      </c>
    </row>
    <row r="203" spans="5:7" x14ac:dyDescent="0.3">
      <c r="E203" t="s">
        <v>2523</v>
      </c>
      <c r="F203" t="s">
        <v>2103</v>
      </c>
      <c r="G203" s="72" t="s">
        <v>1890</v>
      </c>
    </row>
    <row r="204" spans="5:7" x14ac:dyDescent="0.3">
      <c r="E204" t="s">
        <v>2524</v>
      </c>
      <c r="F204" t="s">
        <v>2101</v>
      </c>
      <c r="G204" s="72" t="s">
        <v>1890</v>
      </c>
    </row>
    <row r="205" spans="5:7" x14ac:dyDescent="0.3">
      <c r="E205" t="s">
        <v>2524</v>
      </c>
      <c r="F205" t="s">
        <v>2101</v>
      </c>
      <c r="G205" s="72" t="s">
        <v>1890</v>
      </c>
    </row>
    <row r="206" spans="5:7" x14ac:dyDescent="0.3">
      <c r="E206" t="s">
        <v>2525</v>
      </c>
      <c r="F206" t="s">
        <v>1761</v>
      </c>
      <c r="G206" s="72" t="s">
        <v>1890</v>
      </c>
    </row>
    <row r="207" spans="5:7" x14ac:dyDescent="0.3">
      <c r="E207" t="s">
        <v>2525</v>
      </c>
      <c r="F207" t="s">
        <v>1761</v>
      </c>
      <c r="G207" s="72" t="s">
        <v>1890</v>
      </c>
    </row>
    <row r="208" spans="5:7" x14ac:dyDescent="0.3">
      <c r="E208" t="s">
        <v>1878</v>
      </c>
      <c r="F208" t="s">
        <v>2318</v>
      </c>
      <c r="G208" s="72" t="s">
        <v>1890</v>
      </c>
    </row>
    <row r="209" spans="5:7" x14ac:dyDescent="0.3">
      <c r="E209" t="s">
        <v>2526</v>
      </c>
      <c r="F209" t="s">
        <v>1597</v>
      </c>
      <c r="G209" s="72" t="s">
        <v>1890</v>
      </c>
    </row>
    <row r="210" spans="5:7" x14ac:dyDescent="0.3">
      <c r="E210" t="s">
        <v>2526</v>
      </c>
      <c r="F210" t="s">
        <v>1597</v>
      </c>
      <c r="G210" s="72" t="s">
        <v>1890</v>
      </c>
    </row>
    <row r="211" spans="5:7" x14ac:dyDescent="0.3">
      <c r="E211" t="s">
        <v>2527</v>
      </c>
      <c r="F211" t="s">
        <v>1735</v>
      </c>
      <c r="G211" s="72" t="s">
        <v>1890</v>
      </c>
    </row>
    <row r="212" spans="5:7" x14ac:dyDescent="0.3">
      <c r="E212" t="s">
        <v>2528</v>
      </c>
      <c r="F212" t="s">
        <v>1730</v>
      </c>
      <c r="G212" s="72" t="s">
        <v>1890</v>
      </c>
    </row>
    <row r="213" spans="5:7" x14ac:dyDescent="0.3">
      <c r="E213" t="s">
        <v>2529</v>
      </c>
      <c r="F213" t="s">
        <v>1730</v>
      </c>
      <c r="G213" s="72" t="s">
        <v>1890</v>
      </c>
    </row>
    <row r="214" spans="5:7" x14ac:dyDescent="0.3">
      <c r="E214" t="s">
        <v>1854</v>
      </c>
      <c r="F214" t="s">
        <v>1977</v>
      </c>
      <c r="G214" s="72" t="s">
        <v>1890</v>
      </c>
    </row>
    <row r="215" spans="5:7" x14ac:dyDescent="0.3">
      <c r="E215" t="s">
        <v>1854</v>
      </c>
      <c r="F215" t="s">
        <v>1977</v>
      </c>
      <c r="G215" s="72" t="s">
        <v>1890</v>
      </c>
    </row>
    <row r="216" spans="5:7" x14ac:dyDescent="0.3">
      <c r="E216" t="s">
        <v>2530</v>
      </c>
      <c r="F216" t="s">
        <v>1730</v>
      </c>
      <c r="G216" s="72" t="s">
        <v>1890</v>
      </c>
    </row>
    <row r="217" spans="5:7" x14ac:dyDescent="0.3">
      <c r="E217" t="s">
        <v>2531</v>
      </c>
      <c r="F217" t="s">
        <v>1737</v>
      </c>
      <c r="G217" s="72" t="s">
        <v>1890</v>
      </c>
    </row>
    <row r="218" spans="5:7" x14ac:dyDescent="0.3">
      <c r="E218" t="s">
        <v>1858</v>
      </c>
      <c r="F218" t="s">
        <v>1983</v>
      </c>
      <c r="G218" s="72" t="s">
        <v>1890</v>
      </c>
    </row>
    <row r="219" spans="5:7" x14ac:dyDescent="0.3">
      <c r="E219" t="s">
        <v>1858</v>
      </c>
      <c r="F219" t="s">
        <v>1983</v>
      </c>
      <c r="G219" s="72" t="s">
        <v>1890</v>
      </c>
    </row>
    <row r="220" spans="5:7" x14ac:dyDescent="0.3">
      <c r="E220" t="s">
        <v>1859</v>
      </c>
      <c r="F220" t="s">
        <v>1755</v>
      </c>
      <c r="G220" s="72" t="s">
        <v>1890</v>
      </c>
    </row>
    <row r="221" spans="5:7" x14ac:dyDescent="0.3">
      <c r="E221" t="s">
        <v>1859</v>
      </c>
      <c r="F221" t="s">
        <v>1755</v>
      </c>
      <c r="G221" s="72" t="s">
        <v>1890</v>
      </c>
    </row>
    <row r="222" spans="5:7" x14ac:dyDescent="0.3">
      <c r="E222" t="s">
        <v>2532</v>
      </c>
      <c r="F222" t="s">
        <v>1448</v>
      </c>
      <c r="G222" s="72" t="s">
        <v>1890</v>
      </c>
    </row>
    <row r="223" spans="5:7" x14ac:dyDescent="0.3">
      <c r="E223" t="s">
        <v>2501</v>
      </c>
      <c r="F223" t="s">
        <v>1597</v>
      </c>
      <c r="G223" s="72" t="s">
        <v>1890</v>
      </c>
    </row>
    <row r="224" spans="5:7" x14ac:dyDescent="0.3">
      <c r="E224" t="s">
        <v>2533</v>
      </c>
      <c r="F224" t="s">
        <v>2104</v>
      </c>
      <c r="G224" s="72" t="s">
        <v>1890</v>
      </c>
    </row>
    <row r="225" spans="5:7" x14ac:dyDescent="0.3">
      <c r="E225" t="s">
        <v>2534</v>
      </c>
      <c r="F225" t="s">
        <v>1596</v>
      </c>
      <c r="G225" s="72" t="s">
        <v>1890</v>
      </c>
    </row>
    <row r="226" spans="5:7" x14ac:dyDescent="0.3">
      <c r="E226" t="s">
        <v>2534</v>
      </c>
      <c r="F226" t="s">
        <v>1596</v>
      </c>
      <c r="G226" s="72" t="s">
        <v>1890</v>
      </c>
    </row>
    <row r="227" spans="5:7" x14ac:dyDescent="0.3">
      <c r="E227" t="s">
        <v>2507</v>
      </c>
      <c r="F227" t="s">
        <v>1749</v>
      </c>
      <c r="G227" s="72" t="s">
        <v>1933</v>
      </c>
    </row>
    <row r="228" spans="5:7" x14ac:dyDescent="0.3">
      <c r="E228" t="s">
        <v>2428</v>
      </c>
      <c r="F228" t="s">
        <v>1409</v>
      </c>
      <c r="G228" s="72" t="s">
        <v>1933</v>
      </c>
    </row>
    <row r="229" spans="5:7" x14ac:dyDescent="0.3">
      <c r="E229" t="s">
        <v>2533</v>
      </c>
      <c r="F229" t="s">
        <v>2105</v>
      </c>
      <c r="G229" s="72" t="s">
        <v>1933</v>
      </c>
    </row>
    <row r="230" spans="5:7" x14ac:dyDescent="0.3">
      <c r="E230" t="s">
        <v>2534</v>
      </c>
      <c r="F230" t="s">
        <v>1598</v>
      </c>
      <c r="G230" s="72" t="s">
        <v>1933</v>
      </c>
    </row>
    <row r="231" spans="5:7" x14ac:dyDescent="0.3">
      <c r="E231" t="s">
        <v>2534</v>
      </c>
      <c r="F231" t="s">
        <v>1598</v>
      </c>
      <c r="G231" s="72" t="s">
        <v>1933</v>
      </c>
    </row>
    <row r="232" spans="5:7" x14ac:dyDescent="0.3">
      <c r="E232" t="s">
        <v>2425</v>
      </c>
      <c r="F232" t="s">
        <v>2098</v>
      </c>
      <c r="G232" s="72" t="s">
        <v>1934</v>
      </c>
    </row>
    <row r="233" spans="5:7" x14ac:dyDescent="0.3">
      <c r="E233" t="s">
        <v>2507</v>
      </c>
      <c r="F233" t="s">
        <v>1733</v>
      </c>
      <c r="G233" s="72" t="s">
        <v>1934</v>
      </c>
    </row>
    <row r="234" spans="5:7" x14ac:dyDescent="0.3">
      <c r="E234" t="s">
        <v>2508</v>
      </c>
      <c r="F234" t="s">
        <v>1733</v>
      </c>
      <c r="G234" s="72" t="s">
        <v>1934</v>
      </c>
    </row>
    <row r="235" spans="5:7" x14ac:dyDescent="0.3">
      <c r="E235" t="s">
        <v>2508</v>
      </c>
      <c r="F235" t="s">
        <v>1733</v>
      </c>
      <c r="G235" s="72" t="s">
        <v>1934</v>
      </c>
    </row>
    <row r="236" spans="5:7" x14ac:dyDescent="0.3">
      <c r="E236" t="s">
        <v>2428</v>
      </c>
      <c r="F236" t="s">
        <v>1979</v>
      </c>
      <c r="G236" s="72" t="s">
        <v>1934</v>
      </c>
    </row>
    <row r="237" spans="5:7" x14ac:dyDescent="0.3">
      <c r="E237" t="s">
        <v>2428</v>
      </c>
      <c r="F237" t="s">
        <v>1979</v>
      </c>
      <c r="G237" s="72" t="s">
        <v>1934</v>
      </c>
    </row>
    <row r="238" spans="5:7" x14ac:dyDescent="0.3">
      <c r="E238" t="s">
        <v>2509</v>
      </c>
      <c r="F238" t="s">
        <v>2099</v>
      </c>
      <c r="G238" s="72" t="s">
        <v>1934</v>
      </c>
    </row>
    <row r="239" spans="5:7" x14ac:dyDescent="0.3">
      <c r="E239" t="s">
        <v>2510</v>
      </c>
      <c r="F239" t="s">
        <v>1760</v>
      </c>
      <c r="G239" s="72" t="s">
        <v>1934</v>
      </c>
    </row>
    <row r="240" spans="5:7" x14ac:dyDescent="0.3">
      <c r="E240" t="s">
        <v>2510</v>
      </c>
      <c r="F240" t="s">
        <v>1760</v>
      </c>
      <c r="G240" s="72" t="s">
        <v>1934</v>
      </c>
    </row>
    <row r="241" spans="5:7" x14ac:dyDescent="0.3">
      <c r="E241" t="s">
        <v>2511</v>
      </c>
      <c r="F241" t="s">
        <v>2038</v>
      </c>
      <c r="G241" s="72" t="s">
        <v>1934</v>
      </c>
    </row>
    <row r="242" spans="5:7" x14ac:dyDescent="0.3">
      <c r="E242" t="s">
        <v>2511</v>
      </c>
      <c r="F242" t="s">
        <v>2038</v>
      </c>
      <c r="G242" s="72" t="s">
        <v>1934</v>
      </c>
    </row>
    <row r="243" spans="5:7" x14ac:dyDescent="0.3">
      <c r="E243" t="s">
        <v>1891</v>
      </c>
      <c r="F243" t="s">
        <v>1447</v>
      </c>
      <c r="G243" s="72" t="s">
        <v>1934</v>
      </c>
    </row>
    <row r="244" spans="5:7" x14ac:dyDescent="0.3">
      <c r="E244" t="s">
        <v>2512</v>
      </c>
      <c r="F244" t="s">
        <v>2100</v>
      </c>
      <c r="G244" s="72" t="s">
        <v>1934</v>
      </c>
    </row>
    <row r="245" spans="5:7" x14ac:dyDescent="0.3">
      <c r="E245" t="s">
        <v>2513</v>
      </c>
      <c r="F245" t="s">
        <v>1732</v>
      </c>
      <c r="G245" s="72" t="s">
        <v>1934</v>
      </c>
    </row>
    <row r="246" spans="5:7" x14ac:dyDescent="0.3">
      <c r="E246" t="s">
        <v>2439</v>
      </c>
      <c r="F246" t="s">
        <v>2101</v>
      </c>
      <c r="G246" s="72" t="s">
        <v>1934</v>
      </c>
    </row>
    <row r="247" spans="5:7" x14ac:dyDescent="0.3">
      <c r="E247" t="s">
        <v>1893</v>
      </c>
      <c r="F247" t="s">
        <v>1732</v>
      </c>
      <c r="G247" s="72" t="s">
        <v>1934</v>
      </c>
    </row>
    <row r="248" spans="5:7" x14ac:dyDescent="0.3">
      <c r="E248" t="s">
        <v>1893</v>
      </c>
      <c r="F248" t="s">
        <v>1732</v>
      </c>
      <c r="G248" s="72" t="s">
        <v>1934</v>
      </c>
    </row>
    <row r="249" spans="5:7" x14ac:dyDescent="0.3">
      <c r="E249" t="s">
        <v>2514</v>
      </c>
      <c r="F249" t="s">
        <v>1729</v>
      </c>
      <c r="G249" s="72" t="s">
        <v>1934</v>
      </c>
    </row>
    <row r="250" spans="5:7" x14ac:dyDescent="0.3">
      <c r="E250" t="s">
        <v>2514</v>
      </c>
      <c r="F250" t="s">
        <v>1729</v>
      </c>
      <c r="G250" s="72" t="s">
        <v>1934</v>
      </c>
    </row>
    <row r="251" spans="5:7" x14ac:dyDescent="0.3">
      <c r="E251" t="s">
        <v>2515</v>
      </c>
      <c r="F251" t="s">
        <v>1982</v>
      </c>
      <c r="G251" s="72" t="s">
        <v>1934</v>
      </c>
    </row>
    <row r="252" spans="5:7" x14ac:dyDescent="0.3">
      <c r="E252" t="s">
        <v>2515</v>
      </c>
      <c r="F252" t="s">
        <v>1982</v>
      </c>
      <c r="G252" s="72" t="s">
        <v>1934</v>
      </c>
    </row>
    <row r="253" spans="5:7" x14ac:dyDescent="0.3">
      <c r="E253" t="s">
        <v>2516</v>
      </c>
      <c r="F253" t="s">
        <v>1729</v>
      </c>
      <c r="G253" s="72" t="s">
        <v>1934</v>
      </c>
    </row>
    <row r="254" spans="5:7" x14ac:dyDescent="0.3">
      <c r="E254" t="s">
        <v>2440</v>
      </c>
      <c r="F254" t="s">
        <v>1729</v>
      </c>
      <c r="G254" s="72" t="s">
        <v>1934</v>
      </c>
    </row>
    <row r="255" spans="5:7" x14ac:dyDescent="0.3">
      <c r="E255" t="s">
        <v>2440</v>
      </c>
      <c r="F255" t="s">
        <v>1729</v>
      </c>
      <c r="G255" s="72" t="s">
        <v>1934</v>
      </c>
    </row>
    <row r="256" spans="5:7" x14ac:dyDescent="0.3">
      <c r="E256" t="s">
        <v>2401</v>
      </c>
      <c r="F256" t="s">
        <v>1982</v>
      </c>
      <c r="G256" s="72" t="s">
        <v>1934</v>
      </c>
    </row>
    <row r="257" spans="5:7" x14ac:dyDescent="0.3">
      <c r="E257" t="s">
        <v>2401</v>
      </c>
      <c r="F257" t="s">
        <v>1982</v>
      </c>
      <c r="G257" s="72" t="s">
        <v>1934</v>
      </c>
    </row>
    <row r="258" spans="5:7" x14ac:dyDescent="0.3">
      <c r="E258" t="s">
        <v>2517</v>
      </c>
      <c r="F258" t="s">
        <v>1729</v>
      </c>
      <c r="G258" s="72" t="s">
        <v>1934</v>
      </c>
    </row>
    <row r="259" spans="5:7" x14ac:dyDescent="0.3">
      <c r="E259" t="s">
        <v>1793</v>
      </c>
      <c r="F259" t="s">
        <v>1762</v>
      </c>
      <c r="G259" s="72" t="s">
        <v>1934</v>
      </c>
    </row>
    <row r="260" spans="5:7" x14ac:dyDescent="0.3">
      <c r="E260" t="s">
        <v>1793</v>
      </c>
      <c r="F260" t="s">
        <v>1762</v>
      </c>
      <c r="G260" s="72" t="s">
        <v>1934</v>
      </c>
    </row>
    <row r="261" spans="5:7" x14ac:dyDescent="0.3">
      <c r="E261" t="s">
        <v>2518</v>
      </c>
      <c r="F261" t="s">
        <v>2102</v>
      </c>
      <c r="G261" s="72" t="s">
        <v>1934</v>
      </c>
    </row>
    <row r="262" spans="5:7" x14ac:dyDescent="0.3">
      <c r="E262" t="s">
        <v>1794</v>
      </c>
      <c r="F262" t="s">
        <v>1446</v>
      </c>
      <c r="G262" s="72" t="s">
        <v>1934</v>
      </c>
    </row>
    <row r="263" spans="5:7" x14ac:dyDescent="0.3">
      <c r="E263" t="s">
        <v>2519</v>
      </c>
      <c r="F263" t="s">
        <v>1451</v>
      </c>
      <c r="G263" s="72" t="s">
        <v>1934</v>
      </c>
    </row>
    <row r="264" spans="5:7" x14ac:dyDescent="0.3">
      <c r="E264" t="s">
        <v>2519</v>
      </c>
      <c r="F264" t="s">
        <v>1451</v>
      </c>
      <c r="G264" s="72" t="s">
        <v>1934</v>
      </c>
    </row>
    <row r="265" spans="5:7" x14ac:dyDescent="0.3">
      <c r="E265" t="s">
        <v>2433</v>
      </c>
      <c r="F265" t="s">
        <v>2101</v>
      </c>
      <c r="G265" s="72" t="s">
        <v>1890</v>
      </c>
    </row>
    <row r="266" spans="5:7" x14ac:dyDescent="0.3">
      <c r="E266" t="s">
        <v>2520</v>
      </c>
      <c r="F266" t="s">
        <v>2101</v>
      </c>
      <c r="G266" s="72" t="s">
        <v>1934</v>
      </c>
    </row>
    <row r="267" spans="5:7" x14ac:dyDescent="0.3">
      <c r="E267" t="s">
        <v>2520</v>
      </c>
      <c r="F267" t="s">
        <v>2101</v>
      </c>
      <c r="G267" s="72" t="s">
        <v>1934</v>
      </c>
    </row>
    <row r="268" spans="5:7" x14ac:dyDescent="0.3">
      <c r="E268" t="s">
        <v>2408</v>
      </c>
      <c r="F268" t="s">
        <v>1734</v>
      </c>
      <c r="G268" s="72" t="s">
        <v>1934</v>
      </c>
    </row>
    <row r="269" spans="5:7" x14ac:dyDescent="0.3">
      <c r="E269" t="s">
        <v>1812</v>
      </c>
      <c r="F269" t="s">
        <v>1980</v>
      </c>
      <c r="G269" s="72" t="s">
        <v>1934</v>
      </c>
    </row>
    <row r="270" spans="5:7" x14ac:dyDescent="0.3">
      <c r="E270" t="s">
        <v>1812</v>
      </c>
      <c r="F270" t="s">
        <v>1980</v>
      </c>
      <c r="G270" s="72" t="s">
        <v>1934</v>
      </c>
    </row>
    <row r="271" spans="5:7" x14ac:dyDescent="0.3">
      <c r="E271" t="s">
        <v>2521</v>
      </c>
      <c r="F271" t="s">
        <v>1734</v>
      </c>
      <c r="G271" s="72" t="s">
        <v>1934</v>
      </c>
    </row>
    <row r="272" spans="5:7" x14ac:dyDescent="0.3">
      <c r="E272" t="s">
        <v>2522</v>
      </c>
      <c r="F272" t="s">
        <v>2103</v>
      </c>
      <c r="G272" s="72" t="s">
        <v>1934</v>
      </c>
    </row>
    <row r="273" spans="5:7" x14ac:dyDescent="0.3">
      <c r="E273" t="s">
        <v>2523</v>
      </c>
      <c r="F273" t="s">
        <v>2103</v>
      </c>
      <c r="G273" s="72" t="s">
        <v>1934</v>
      </c>
    </row>
    <row r="274" spans="5:7" x14ac:dyDescent="0.3">
      <c r="E274" t="s">
        <v>2524</v>
      </c>
      <c r="F274" t="s">
        <v>2101</v>
      </c>
      <c r="G274" s="72" t="s">
        <v>1934</v>
      </c>
    </row>
    <row r="275" spans="5:7" x14ac:dyDescent="0.3">
      <c r="E275" t="s">
        <v>2524</v>
      </c>
      <c r="F275" t="s">
        <v>2101</v>
      </c>
      <c r="G275" s="72" t="s">
        <v>1934</v>
      </c>
    </row>
    <row r="276" spans="5:7" x14ac:dyDescent="0.3">
      <c r="E276" t="s">
        <v>2525</v>
      </c>
      <c r="F276" t="s">
        <v>1761</v>
      </c>
      <c r="G276" s="72" t="s">
        <v>1934</v>
      </c>
    </row>
    <row r="277" spans="5:7" x14ac:dyDescent="0.3">
      <c r="E277" t="s">
        <v>2525</v>
      </c>
      <c r="F277" t="s">
        <v>1761</v>
      </c>
      <c r="G277" s="72" t="s">
        <v>1934</v>
      </c>
    </row>
    <row r="278" spans="5:7" x14ac:dyDescent="0.3">
      <c r="E278" t="s">
        <v>2526</v>
      </c>
      <c r="F278" t="s">
        <v>1597</v>
      </c>
      <c r="G278" s="72" t="s">
        <v>1934</v>
      </c>
    </row>
    <row r="279" spans="5:7" x14ac:dyDescent="0.3">
      <c r="E279" t="s">
        <v>2526</v>
      </c>
      <c r="F279" t="s">
        <v>1597</v>
      </c>
      <c r="G279" s="72" t="s">
        <v>1934</v>
      </c>
    </row>
    <row r="280" spans="5:7" x14ac:dyDescent="0.3">
      <c r="E280" t="s">
        <v>2527</v>
      </c>
      <c r="F280" t="s">
        <v>1735</v>
      </c>
      <c r="G280" s="72" t="s">
        <v>1934</v>
      </c>
    </row>
    <row r="281" spans="5:7" x14ac:dyDescent="0.3">
      <c r="E281" t="s">
        <v>2528</v>
      </c>
      <c r="F281" t="s">
        <v>1730</v>
      </c>
      <c r="G281" s="72" t="s">
        <v>1934</v>
      </c>
    </row>
    <row r="282" spans="5:7" x14ac:dyDescent="0.3">
      <c r="E282" t="s">
        <v>2529</v>
      </c>
      <c r="F282" t="s">
        <v>1730</v>
      </c>
      <c r="G282" s="72" t="s">
        <v>1934</v>
      </c>
    </row>
    <row r="283" spans="5:7" x14ac:dyDescent="0.3">
      <c r="E283" t="s">
        <v>1854</v>
      </c>
      <c r="F283" t="s">
        <v>1977</v>
      </c>
      <c r="G283" s="72" t="s">
        <v>1934</v>
      </c>
    </row>
    <row r="284" spans="5:7" x14ac:dyDescent="0.3">
      <c r="E284" t="s">
        <v>1854</v>
      </c>
      <c r="F284" t="s">
        <v>1977</v>
      </c>
      <c r="G284" s="72" t="s">
        <v>1934</v>
      </c>
    </row>
    <row r="285" spans="5:7" x14ac:dyDescent="0.3">
      <c r="E285" t="s">
        <v>2530</v>
      </c>
      <c r="F285" t="s">
        <v>1730</v>
      </c>
      <c r="G285" s="72" t="s">
        <v>1934</v>
      </c>
    </row>
    <row r="286" spans="5:7" x14ac:dyDescent="0.3">
      <c r="E286" t="s">
        <v>2531</v>
      </c>
      <c r="F286" t="s">
        <v>1737</v>
      </c>
      <c r="G286" s="72" t="s">
        <v>1934</v>
      </c>
    </row>
    <row r="287" spans="5:7" x14ac:dyDescent="0.3">
      <c r="E287" t="s">
        <v>1858</v>
      </c>
      <c r="F287" t="s">
        <v>1983</v>
      </c>
      <c r="G287" s="72" t="s">
        <v>1934</v>
      </c>
    </row>
    <row r="288" spans="5:7" x14ac:dyDescent="0.3">
      <c r="E288" t="s">
        <v>1858</v>
      </c>
      <c r="F288" t="s">
        <v>1983</v>
      </c>
      <c r="G288" s="72" t="s">
        <v>1934</v>
      </c>
    </row>
    <row r="289" spans="5:7" x14ac:dyDescent="0.3">
      <c r="E289" t="s">
        <v>1859</v>
      </c>
      <c r="F289" t="s">
        <v>1755</v>
      </c>
      <c r="G289" s="72" t="s">
        <v>1934</v>
      </c>
    </row>
    <row r="290" spans="5:7" x14ac:dyDescent="0.3">
      <c r="E290" t="s">
        <v>1859</v>
      </c>
      <c r="F290" t="s">
        <v>1755</v>
      </c>
      <c r="G290" s="72" t="s">
        <v>1934</v>
      </c>
    </row>
    <row r="291" spans="5:7" x14ac:dyDescent="0.3">
      <c r="E291" t="s">
        <v>2532</v>
      </c>
      <c r="F291" t="s">
        <v>1448</v>
      </c>
      <c r="G291" s="72" t="s">
        <v>1934</v>
      </c>
    </row>
    <row r="292" spans="5:7" x14ac:dyDescent="0.3">
      <c r="E292" t="s">
        <v>2501</v>
      </c>
      <c r="F292" t="s">
        <v>1597</v>
      </c>
      <c r="G292" s="72" t="s">
        <v>1934</v>
      </c>
    </row>
    <row r="293" spans="5:7" x14ac:dyDescent="0.3">
      <c r="E293" t="s">
        <v>2533</v>
      </c>
      <c r="F293" t="s">
        <v>2104</v>
      </c>
      <c r="G293" s="72" t="s">
        <v>1934</v>
      </c>
    </row>
    <row r="294" spans="5:7" x14ac:dyDescent="0.3">
      <c r="E294" t="s">
        <v>2534</v>
      </c>
      <c r="F294" t="s">
        <v>1596</v>
      </c>
      <c r="G294" s="72" t="s">
        <v>1934</v>
      </c>
    </row>
    <row r="295" spans="5:7" x14ac:dyDescent="0.3">
      <c r="E295" t="s">
        <v>2534</v>
      </c>
      <c r="F295" t="s">
        <v>1596</v>
      </c>
      <c r="G295" s="72" t="s">
        <v>1934</v>
      </c>
    </row>
    <row r="296" spans="5:7" x14ac:dyDescent="0.3">
      <c r="E296" t="s">
        <v>1435</v>
      </c>
      <c r="F296" t="s">
        <v>1445</v>
      </c>
      <c r="G296" s="72" t="s">
        <v>2083</v>
      </c>
    </row>
    <row r="297" spans="5:7" x14ac:dyDescent="0.3">
      <c r="E297" t="s">
        <v>2535</v>
      </c>
      <c r="F297" t="s">
        <v>2056</v>
      </c>
      <c r="G297" s="72" t="s">
        <v>2083</v>
      </c>
    </row>
    <row r="298" spans="5:7" x14ac:dyDescent="0.3">
      <c r="E298" t="s">
        <v>2536</v>
      </c>
      <c r="F298" t="s">
        <v>2056</v>
      </c>
      <c r="G298" s="72" t="s">
        <v>2083</v>
      </c>
    </row>
    <row r="299" spans="5:7" x14ac:dyDescent="0.3">
      <c r="E299" t="s">
        <v>2537</v>
      </c>
      <c r="F299" t="s">
        <v>2055</v>
      </c>
      <c r="G299" s="72" t="s">
        <v>2083</v>
      </c>
    </row>
    <row r="300" spans="5:7" x14ac:dyDescent="0.3">
      <c r="E300" t="s">
        <v>2538</v>
      </c>
      <c r="F300" t="s">
        <v>2055</v>
      </c>
      <c r="G300" s="72" t="s">
        <v>2083</v>
      </c>
    </row>
    <row r="301" spans="5:7" x14ac:dyDescent="0.3">
      <c r="E301" t="s">
        <v>2539</v>
      </c>
      <c r="F301" t="s">
        <v>1596</v>
      </c>
      <c r="G301" s="72" t="s">
        <v>2083</v>
      </c>
    </row>
    <row r="302" spans="5:7" x14ac:dyDescent="0.3">
      <c r="E302" t="s">
        <v>2424</v>
      </c>
      <c r="F302" t="s">
        <v>2054</v>
      </c>
      <c r="G302" s="72" t="s">
        <v>2083</v>
      </c>
    </row>
    <row r="303" spans="5:7" x14ac:dyDescent="0.3">
      <c r="E303" t="s">
        <v>2540</v>
      </c>
      <c r="F303" t="s">
        <v>2053</v>
      </c>
      <c r="G303" s="72" t="s">
        <v>2083</v>
      </c>
    </row>
    <row r="304" spans="5:7" x14ac:dyDescent="0.3">
      <c r="E304" t="s">
        <v>2541</v>
      </c>
      <c r="F304" t="s">
        <v>2106</v>
      </c>
      <c r="G304" s="72" t="s">
        <v>2083</v>
      </c>
    </row>
    <row r="305" spans="5:7" x14ac:dyDescent="0.3">
      <c r="E305" t="s">
        <v>2542</v>
      </c>
      <c r="F305" t="s">
        <v>2051</v>
      </c>
      <c r="G305" s="72" t="s">
        <v>2083</v>
      </c>
    </row>
    <row r="306" spans="5:7" x14ac:dyDescent="0.3">
      <c r="E306" t="s">
        <v>2542</v>
      </c>
      <c r="F306" t="s">
        <v>2051</v>
      </c>
      <c r="G306" s="72" t="s">
        <v>2083</v>
      </c>
    </row>
    <row r="307" spans="5:7" x14ac:dyDescent="0.3">
      <c r="E307" t="s">
        <v>2241</v>
      </c>
      <c r="F307" t="s">
        <v>1683</v>
      </c>
      <c r="G307" s="72" t="s">
        <v>2082</v>
      </c>
    </row>
    <row r="308" spans="5:7" x14ac:dyDescent="0.3">
      <c r="E308" t="s">
        <v>2241</v>
      </c>
      <c r="F308" t="s">
        <v>1683</v>
      </c>
      <c r="G308" s="72" t="s">
        <v>2082</v>
      </c>
    </row>
    <row r="309" spans="5:7" x14ac:dyDescent="0.3">
      <c r="E309" t="s">
        <v>2535</v>
      </c>
      <c r="F309" t="s">
        <v>2056</v>
      </c>
      <c r="G309" s="72" t="s">
        <v>2082</v>
      </c>
    </row>
    <row r="310" spans="5:7" x14ac:dyDescent="0.3">
      <c r="E310" t="s">
        <v>1957</v>
      </c>
      <c r="F310" t="s">
        <v>2056</v>
      </c>
      <c r="G310" s="72" t="s">
        <v>2082</v>
      </c>
    </row>
    <row r="311" spans="5:7" x14ac:dyDescent="0.3">
      <c r="E311" t="s">
        <v>2536</v>
      </c>
      <c r="F311" t="s">
        <v>2056</v>
      </c>
      <c r="G311" s="72" t="s">
        <v>2082</v>
      </c>
    </row>
    <row r="312" spans="5:7" x14ac:dyDescent="0.3">
      <c r="E312" t="s">
        <v>2543</v>
      </c>
      <c r="F312" t="s">
        <v>2057</v>
      </c>
      <c r="G312" s="72" t="s">
        <v>2082</v>
      </c>
    </row>
    <row r="313" spans="5:7" x14ac:dyDescent="0.3">
      <c r="E313" t="s">
        <v>2149</v>
      </c>
      <c r="F313" t="s">
        <v>1407</v>
      </c>
      <c r="G313" s="72" t="s">
        <v>2082</v>
      </c>
    </row>
    <row r="314" spans="5:7" x14ac:dyDescent="0.3">
      <c r="E314" t="s">
        <v>2149</v>
      </c>
      <c r="F314" t="s">
        <v>1407</v>
      </c>
      <c r="G314" s="72" t="s">
        <v>2082</v>
      </c>
    </row>
    <row r="315" spans="5:7" x14ac:dyDescent="0.3">
      <c r="E315" t="s">
        <v>2539</v>
      </c>
      <c r="F315" t="s">
        <v>1598</v>
      </c>
      <c r="G315" s="72" t="s">
        <v>2082</v>
      </c>
    </row>
    <row r="316" spans="5:7" x14ac:dyDescent="0.3">
      <c r="E316" t="s">
        <v>2544</v>
      </c>
      <c r="F316" t="s">
        <v>1437</v>
      </c>
      <c r="G316" s="72" t="s">
        <v>2082</v>
      </c>
    </row>
    <row r="317" spans="5:7" x14ac:dyDescent="0.3">
      <c r="E317" t="s">
        <v>2545</v>
      </c>
      <c r="F317" t="s">
        <v>1437</v>
      </c>
      <c r="G317" s="72" t="s">
        <v>2082</v>
      </c>
    </row>
    <row r="318" spans="5:7" x14ac:dyDescent="0.3">
      <c r="E318" t="s">
        <v>2424</v>
      </c>
      <c r="F318" t="s">
        <v>2054</v>
      </c>
      <c r="G318" s="72" t="s">
        <v>2082</v>
      </c>
    </row>
    <row r="319" spans="5:7" x14ac:dyDescent="0.3">
      <c r="E319" t="s">
        <v>2546</v>
      </c>
      <c r="F319" t="s">
        <v>2057</v>
      </c>
      <c r="G319" s="72" t="s">
        <v>2082</v>
      </c>
    </row>
    <row r="320" spans="5:7" x14ac:dyDescent="0.3">
      <c r="E320" t="s">
        <v>2546</v>
      </c>
      <c r="F320" t="s">
        <v>2057</v>
      </c>
      <c r="G320" s="72" t="s">
        <v>2082</v>
      </c>
    </row>
    <row r="321" spans="5:7" x14ac:dyDescent="0.3">
      <c r="E321" t="s">
        <v>2547</v>
      </c>
      <c r="F321" t="s">
        <v>2057</v>
      </c>
      <c r="G321" s="72" t="s">
        <v>2082</v>
      </c>
    </row>
    <row r="322" spans="5:7" x14ac:dyDescent="0.3">
      <c r="E322" t="s">
        <v>2548</v>
      </c>
      <c r="F322" t="s">
        <v>2107</v>
      </c>
      <c r="G322" s="72" t="s">
        <v>2082</v>
      </c>
    </row>
    <row r="323" spans="5:7" x14ac:dyDescent="0.3">
      <c r="E323" t="s">
        <v>2540</v>
      </c>
      <c r="F323" t="s">
        <v>1556</v>
      </c>
      <c r="G323" s="72" t="s">
        <v>2082</v>
      </c>
    </row>
    <row r="324" spans="5:7" x14ac:dyDescent="0.3">
      <c r="E324" t="s">
        <v>2549</v>
      </c>
      <c r="F324" t="s">
        <v>1406</v>
      </c>
      <c r="G324" s="72" t="s">
        <v>2082</v>
      </c>
    </row>
    <row r="325" spans="5:7" x14ac:dyDescent="0.3">
      <c r="E325" t="s">
        <v>2550</v>
      </c>
      <c r="F325" t="s">
        <v>2057</v>
      </c>
      <c r="G325" s="72" t="s">
        <v>2082</v>
      </c>
    </row>
    <row r="326" spans="5:7" x14ac:dyDescent="0.3">
      <c r="E326" t="s">
        <v>2542</v>
      </c>
      <c r="F326" t="s">
        <v>2057</v>
      </c>
      <c r="G326" s="72" t="s">
        <v>2082</v>
      </c>
    </row>
    <row r="327" spans="5:7" x14ac:dyDescent="0.3">
      <c r="E327" t="s">
        <v>2542</v>
      </c>
      <c r="F327" t="s">
        <v>2057</v>
      </c>
      <c r="G327" s="72" t="s">
        <v>2082</v>
      </c>
    </row>
    <row r="328" spans="5:7" x14ac:dyDescent="0.3">
      <c r="E328" t="s">
        <v>2109</v>
      </c>
      <c r="F328" t="s">
        <v>2108</v>
      </c>
      <c r="G328" s="72" t="s">
        <v>2109</v>
      </c>
    </row>
    <row r="329" spans="5:7" x14ac:dyDescent="0.3">
      <c r="E329" t="s">
        <v>2110</v>
      </c>
      <c r="F329" t="s">
        <v>2108</v>
      </c>
      <c r="G329" s="72" t="s">
        <v>2110</v>
      </c>
    </row>
    <row r="330" spans="5:7" x14ac:dyDescent="0.3">
      <c r="E330" t="s">
        <v>2111</v>
      </c>
      <c r="F330" t="s">
        <v>2108</v>
      </c>
      <c r="G330" s="72" t="s">
        <v>2111</v>
      </c>
    </row>
    <row r="331" spans="5:7" x14ac:dyDescent="0.3">
      <c r="E331" t="s">
        <v>2109</v>
      </c>
      <c r="F331" t="s">
        <v>2108</v>
      </c>
      <c r="G331" s="72" t="s">
        <v>2109</v>
      </c>
    </row>
    <row r="332" spans="5:7" x14ac:dyDescent="0.3">
      <c r="E332" t="s">
        <v>2110</v>
      </c>
      <c r="F332" t="s">
        <v>2108</v>
      </c>
      <c r="G332" s="72" t="s">
        <v>2110</v>
      </c>
    </row>
    <row r="333" spans="5:7" x14ac:dyDescent="0.3">
      <c r="E333" t="s">
        <v>2111</v>
      </c>
      <c r="F333" t="s">
        <v>2108</v>
      </c>
      <c r="G333" s="72" t="s">
        <v>2111</v>
      </c>
    </row>
    <row r="334" spans="5:7" x14ac:dyDescent="0.3">
      <c r="E334" t="s">
        <v>2112</v>
      </c>
      <c r="F334" t="s">
        <v>2108</v>
      </c>
      <c r="G334" s="72" t="s">
        <v>2112</v>
      </c>
    </row>
    <row r="335" spans="5:7" x14ac:dyDescent="0.3">
      <c r="E335" t="s">
        <v>2551</v>
      </c>
      <c r="F335" t="s">
        <v>1676</v>
      </c>
      <c r="G335" s="72">
        <v>26</v>
      </c>
    </row>
    <row r="336" spans="5:7" x14ac:dyDescent="0.3">
      <c r="E336" t="s">
        <v>2552</v>
      </c>
      <c r="F336" t="s">
        <v>1676</v>
      </c>
      <c r="G336" s="72">
        <v>26</v>
      </c>
    </row>
    <row r="337" spans="5:7" x14ac:dyDescent="0.3">
      <c r="E337" t="s">
        <v>2472</v>
      </c>
      <c r="F337" t="s">
        <v>1420</v>
      </c>
      <c r="G337" s="72">
        <v>26</v>
      </c>
    </row>
    <row r="338" spans="5:7" x14ac:dyDescent="0.3">
      <c r="E338" t="s">
        <v>2508</v>
      </c>
      <c r="F338" t="s">
        <v>2113</v>
      </c>
      <c r="G338" s="72">
        <v>26</v>
      </c>
    </row>
    <row r="339" spans="5:7" x14ac:dyDescent="0.3">
      <c r="E339" t="s">
        <v>2427</v>
      </c>
      <c r="F339" t="s">
        <v>1713</v>
      </c>
      <c r="G339" s="72">
        <v>26</v>
      </c>
    </row>
    <row r="340" spans="5:7" x14ac:dyDescent="0.3">
      <c r="E340" t="s">
        <v>2428</v>
      </c>
      <c r="F340" t="s">
        <v>1409</v>
      </c>
      <c r="G340" s="72">
        <v>26</v>
      </c>
    </row>
    <row r="341" spans="5:7" x14ac:dyDescent="0.3">
      <c r="E341" t="s">
        <v>2553</v>
      </c>
      <c r="F341" t="s">
        <v>1606</v>
      </c>
      <c r="G341" s="72">
        <v>26</v>
      </c>
    </row>
    <row r="342" spans="5:7" x14ac:dyDescent="0.3">
      <c r="E342" t="s">
        <v>2554</v>
      </c>
      <c r="F342" t="s">
        <v>1745</v>
      </c>
      <c r="G342" s="72">
        <v>26</v>
      </c>
    </row>
    <row r="343" spans="5:7" x14ac:dyDescent="0.3">
      <c r="E343" t="s">
        <v>2432</v>
      </c>
      <c r="F343" t="s">
        <v>1712</v>
      </c>
      <c r="G343" s="72">
        <v>26</v>
      </c>
    </row>
    <row r="344" spans="5:7" x14ac:dyDescent="0.3">
      <c r="E344" t="s">
        <v>2434</v>
      </c>
      <c r="F344" t="s">
        <v>1425</v>
      </c>
      <c r="G344" s="72">
        <v>26</v>
      </c>
    </row>
    <row r="345" spans="5:7" x14ac:dyDescent="0.3">
      <c r="E345" t="s">
        <v>2436</v>
      </c>
      <c r="F345" t="s">
        <v>1777</v>
      </c>
      <c r="G345" s="72">
        <v>26</v>
      </c>
    </row>
    <row r="346" spans="5:7" x14ac:dyDescent="0.3">
      <c r="E346" t="s">
        <v>2555</v>
      </c>
      <c r="F346" t="s">
        <v>2114</v>
      </c>
      <c r="G346" s="72">
        <v>26</v>
      </c>
    </row>
    <row r="347" spans="5:7" x14ac:dyDescent="0.3">
      <c r="E347" t="s">
        <v>2556</v>
      </c>
      <c r="F347" t="s">
        <v>1738</v>
      </c>
      <c r="G347" s="72">
        <v>26</v>
      </c>
    </row>
    <row r="348" spans="5:7" x14ac:dyDescent="0.3">
      <c r="E348" t="s">
        <v>2440</v>
      </c>
      <c r="F348" t="s">
        <v>1738</v>
      </c>
      <c r="G348" s="72">
        <v>26</v>
      </c>
    </row>
    <row r="349" spans="5:7" x14ac:dyDescent="0.3">
      <c r="E349" t="s">
        <v>1869</v>
      </c>
      <c r="F349" t="s">
        <v>1708</v>
      </c>
      <c r="G349" s="72">
        <v>26</v>
      </c>
    </row>
    <row r="350" spans="5:7" x14ac:dyDescent="0.3">
      <c r="E350" t="s">
        <v>2441</v>
      </c>
      <c r="F350" t="s">
        <v>1708</v>
      </c>
      <c r="G350" s="72">
        <v>26</v>
      </c>
    </row>
    <row r="351" spans="5:7" x14ac:dyDescent="0.3">
      <c r="E351" t="s">
        <v>2442</v>
      </c>
      <c r="F351" t="s">
        <v>1429</v>
      </c>
      <c r="G351" s="72">
        <v>26</v>
      </c>
    </row>
    <row r="352" spans="5:7" x14ac:dyDescent="0.3">
      <c r="E352" t="s">
        <v>2401</v>
      </c>
      <c r="F352" t="s">
        <v>1429</v>
      </c>
      <c r="G352" s="72">
        <v>26</v>
      </c>
    </row>
    <row r="353" spans="5:7" x14ac:dyDescent="0.3">
      <c r="E353" t="s">
        <v>2517</v>
      </c>
      <c r="F353" t="s">
        <v>2115</v>
      </c>
      <c r="G353" s="72">
        <v>26</v>
      </c>
    </row>
    <row r="354" spans="5:7" x14ac:dyDescent="0.3">
      <c r="E354" t="s">
        <v>1793</v>
      </c>
      <c r="F354" t="s">
        <v>1766</v>
      </c>
      <c r="G354" s="72">
        <v>26</v>
      </c>
    </row>
    <row r="355" spans="5:7" x14ac:dyDescent="0.3">
      <c r="E355" t="s">
        <v>2557</v>
      </c>
      <c r="F355" t="s">
        <v>2116</v>
      </c>
      <c r="G355" s="72">
        <v>26</v>
      </c>
    </row>
    <row r="356" spans="5:7" x14ac:dyDescent="0.3">
      <c r="E356" t="s">
        <v>2558</v>
      </c>
      <c r="F356" t="s">
        <v>1711</v>
      </c>
      <c r="G356" s="72">
        <v>26</v>
      </c>
    </row>
    <row r="357" spans="5:7" x14ac:dyDescent="0.3">
      <c r="E357" t="s">
        <v>1851</v>
      </c>
      <c r="F357" t="s">
        <v>1408</v>
      </c>
      <c r="G357" s="72">
        <v>26</v>
      </c>
    </row>
    <row r="358" spans="5:7" x14ac:dyDescent="0.3">
      <c r="E358" t="s">
        <v>2499</v>
      </c>
      <c r="F358" t="s">
        <v>1402</v>
      </c>
      <c r="G358" s="72">
        <v>26</v>
      </c>
    </row>
    <row r="359" spans="5:7" x14ac:dyDescent="0.3">
      <c r="E359" t="s">
        <v>2501</v>
      </c>
      <c r="F359" t="s">
        <v>1421</v>
      </c>
      <c r="G359" s="72">
        <v>26</v>
      </c>
    </row>
    <row r="360" spans="5:7" x14ac:dyDescent="0.3">
      <c r="E360" t="s">
        <v>2559</v>
      </c>
      <c r="F360" t="s">
        <v>1729</v>
      </c>
      <c r="G360" s="72" t="s">
        <v>1890</v>
      </c>
    </row>
    <row r="361" spans="5:7" x14ac:dyDescent="0.3">
      <c r="E361" t="s">
        <v>2556</v>
      </c>
      <c r="F361" t="s">
        <v>1729</v>
      </c>
      <c r="G361" s="72" t="s">
        <v>1890</v>
      </c>
    </row>
    <row r="362" spans="5:7" x14ac:dyDescent="0.3">
      <c r="E362" t="s">
        <v>2560</v>
      </c>
      <c r="F362" t="s">
        <v>1737</v>
      </c>
      <c r="G362" s="72" t="s">
        <v>1890</v>
      </c>
    </row>
    <row r="363" spans="5:7" x14ac:dyDescent="0.3">
      <c r="E363" t="s">
        <v>2559</v>
      </c>
      <c r="F363" t="s">
        <v>1729</v>
      </c>
      <c r="G363" s="72" t="s">
        <v>1934</v>
      </c>
    </row>
    <row r="364" spans="5:7" x14ac:dyDescent="0.3">
      <c r="E364" t="s">
        <v>2556</v>
      </c>
      <c r="F364" t="s">
        <v>1729</v>
      </c>
      <c r="G364" s="72" t="s">
        <v>1934</v>
      </c>
    </row>
    <row r="365" spans="5:7" x14ac:dyDescent="0.3">
      <c r="E365" t="s">
        <v>2560</v>
      </c>
      <c r="F365" t="s">
        <v>1737</v>
      </c>
      <c r="G365" s="72" t="s">
        <v>1934</v>
      </c>
    </row>
    <row r="366" spans="5:7" x14ac:dyDescent="0.3">
      <c r="E366" t="s">
        <v>2561</v>
      </c>
      <c r="F366" t="s">
        <v>2117</v>
      </c>
      <c r="G366" s="72" t="s">
        <v>1890</v>
      </c>
    </row>
    <row r="367" spans="5:7" x14ac:dyDescent="0.3">
      <c r="E367" t="s">
        <v>2501</v>
      </c>
      <c r="F367" t="s">
        <v>1440</v>
      </c>
      <c r="G367" s="72" t="s">
        <v>1890</v>
      </c>
    </row>
    <row r="368" spans="5:7" x14ac:dyDescent="0.3">
      <c r="E368" t="s">
        <v>2561</v>
      </c>
      <c r="F368" t="s">
        <v>2117</v>
      </c>
      <c r="G368" s="72" t="s">
        <v>1934</v>
      </c>
    </row>
    <row r="369" spans="5:7" x14ac:dyDescent="0.3">
      <c r="E369" t="s">
        <v>2501</v>
      </c>
      <c r="F369" t="s">
        <v>1440</v>
      </c>
      <c r="G369" s="72" t="s">
        <v>1934</v>
      </c>
    </row>
    <row r="370" spans="5:7" x14ac:dyDescent="0.3">
      <c r="E370" t="s">
        <v>2562</v>
      </c>
      <c r="F370" t="s">
        <v>1749</v>
      </c>
      <c r="G370" s="72">
        <v>26</v>
      </c>
    </row>
    <row r="371" spans="5:7" x14ac:dyDescent="0.3">
      <c r="E371" t="s">
        <v>2563</v>
      </c>
      <c r="F371" t="s">
        <v>1713</v>
      </c>
      <c r="G371" s="72">
        <v>26</v>
      </c>
    </row>
    <row r="372" spans="5:7" x14ac:dyDescent="0.3">
      <c r="E372" t="s">
        <v>2564</v>
      </c>
      <c r="F372" t="s">
        <v>2093</v>
      </c>
      <c r="G372" s="72">
        <v>26</v>
      </c>
    </row>
    <row r="373" spans="5:7" x14ac:dyDescent="0.3">
      <c r="E373" t="s">
        <v>2094</v>
      </c>
      <c r="F373" t="s">
        <v>2094</v>
      </c>
      <c r="G373" s="72">
        <v>26</v>
      </c>
    </row>
    <row r="374" spans="5:7" x14ac:dyDescent="0.3">
      <c r="E374" t="s">
        <v>2565</v>
      </c>
      <c r="F374" t="s">
        <v>1776</v>
      </c>
      <c r="G374" s="72">
        <v>26</v>
      </c>
    </row>
    <row r="375" spans="5:7" x14ac:dyDescent="0.3">
      <c r="E375" t="s">
        <v>2566</v>
      </c>
      <c r="F375" t="s">
        <v>1621</v>
      </c>
      <c r="G375" s="72" t="s">
        <v>1890</v>
      </c>
    </row>
    <row r="376" spans="5:7" x14ac:dyDescent="0.3">
      <c r="E376" t="s">
        <v>2567</v>
      </c>
      <c r="F376" t="s">
        <v>1762</v>
      </c>
      <c r="G376" s="72" t="s">
        <v>1890</v>
      </c>
    </row>
    <row r="377" spans="5:7" x14ac:dyDescent="0.3">
      <c r="E377" t="s">
        <v>1814</v>
      </c>
      <c r="F377" t="s">
        <v>2118</v>
      </c>
      <c r="G377" s="72" t="s">
        <v>1890</v>
      </c>
    </row>
    <row r="378" spans="5:7" x14ac:dyDescent="0.3">
      <c r="E378" t="s">
        <v>1838</v>
      </c>
      <c r="F378" t="s">
        <v>1444</v>
      </c>
      <c r="G378" s="72" t="s">
        <v>1890</v>
      </c>
    </row>
    <row r="379" spans="5:7" x14ac:dyDescent="0.3">
      <c r="E379" t="s">
        <v>2568</v>
      </c>
      <c r="F379" t="s">
        <v>1736</v>
      </c>
      <c r="G379" s="72" t="s">
        <v>1890</v>
      </c>
    </row>
    <row r="380" spans="5:7" x14ac:dyDescent="0.3">
      <c r="E380" t="s">
        <v>2533</v>
      </c>
      <c r="F380" t="s">
        <v>2104</v>
      </c>
      <c r="G380" s="72" t="s">
        <v>1890</v>
      </c>
    </row>
    <row r="381" spans="5:7" x14ac:dyDescent="0.3">
      <c r="E381" t="s">
        <v>2533</v>
      </c>
      <c r="F381" t="s">
        <v>2105</v>
      </c>
      <c r="G381" s="72" t="s">
        <v>1933</v>
      </c>
    </row>
    <row r="382" spans="5:7" x14ac:dyDescent="0.3">
      <c r="E382" t="s">
        <v>2566</v>
      </c>
      <c r="F382" t="s">
        <v>1621</v>
      </c>
      <c r="G382" s="72" t="s">
        <v>1934</v>
      </c>
    </row>
    <row r="383" spans="5:7" x14ac:dyDescent="0.3">
      <c r="E383" t="s">
        <v>2567</v>
      </c>
      <c r="F383" t="s">
        <v>1762</v>
      </c>
      <c r="G383" s="72" t="s">
        <v>1934</v>
      </c>
    </row>
    <row r="384" spans="5:7" x14ac:dyDescent="0.3">
      <c r="E384" t="s">
        <v>1814</v>
      </c>
      <c r="F384" t="s">
        <v>2118</v>
      </c>
      <c r="G384" s="72" t="s">
        <v>1934</v>
      </c>
    </row>
    <row r="385" spans="5:7" x14ac:dyDescent="0.3">
      <c r="E385" t="s">
        <v>1838</v>
      </c>
      <c r="F385" t="s">
        <v>1444</v>
      </c>
      <c r="G385" s="72" t="s">
        <v>1934</v>
      </c>
    </row>
    <row r="386" spans="5:7" x14ac:dyDescent="0.3">
      <c r="E386" t="s">
        <v>2568</v>
      </c>
      <c r="F386" t="s">
        <v>1736</v>
      </c>
      <c r="G386" s="72" t="s">
        <v>1934</v>
      </c>
    </row>
    <row r="387" spans="5:7" x14ac:dyDescent="0.3">
      <c r="E387" t="s">
        <v>2533</v>
      </c>
      <c r="F387" t="s">
        <v>2104</v>
      </c>
      <c r="G387" s="72" t="s">
        <v>1934</v>
      </c>
    </row>
    <row r="388" spans="5:7" x14ac:dyDescent="0.3">
      <c r="E388" t="s">
        <v>2569</v>
      </c>
      <c r="F388" t="s">
        <v>1401</v>
      </c>
      <c r="G388" s="72" t="s">
        <v>2082</v>
      </c>
    </row>
    <row r="389" spans="5:7" x14ac:dyDescent="0.3">
      <c r="E389" t="s">
        <v>2445</v>
      </c>
      <c r="F389" t="s">
        <v>1749</v>
      </c>
      <c r="G389" s="72">
        <v>26</v>
      </c>
    </row>
    <row r="390" spans="5:7" x14ac:dyDescent="0.3">
      <c r="E390" t="s">
        <v>2563</v>
      </c>
      <c r="F390" t="s">
        <v>1713</v>
      </c>
      <c r="G390" s="72">
        <v>26</v>
      </c>
    </row>
    <row r="391" spans="5:7" x14ac:dyDescent="0.3">
      <c r="E391" t="s">
        <v>1710</v>
      </c>
      <c r="F391" t="s">
        <v>1710</v>
      </c>
      <c r="G391" s="72">
        <v>26</v>
      </c>
    </row>
    <row r="392" spans="5:7" x14ac:dyDescent="0.3">
      <c r="E392" t="s">
        <v>2570</v>
      </c>
      <c r="F392" t="s">
        <v>1778</v>
      </c>
      <c r="G392" s="72">
        <v>26</v>
      </c>
    </row>
    <row r="393" spans="5:7" x14ac:dyDescent="0.3">
      <c r="E393" t="s">
        <v>2571</v>
      </c>
      <c r="F393" t="s">
        <v>1711</v>
      </c>
      <c r="G393" s="72">
        <v>26</v>
      </c>
    </row>
    <row r="394" spans="5:7" x14ac:dyDescent="0.3">
      <c r="E394" t="s">
        <v>2494</v>
      </c>
      <c r="F394" t="s">
        <v>1617</v>
      </c>
      <c r="G394" s="72">
        <v>26</v>
      </c>
    </row>
    <row r="395" spans="5:7" x14ac:dyDescent="0.3">
      <c r="E395" t="s">
        <v>2565</v>
      </c>
      <c r="F395" t="s">
        <v>1776</v>
      </c>
      <c r="G395" s="72">
        <v>26</v>
      </c>
    </row>
    <row r="396" spans="5:7" x14ac:dyDescent="0.3">
      <c r="E396" t="s">
        <v>2572</v>
      </c>
      <c r="F396" t="s">
        <v>2052</v>
      </c>
      <c r="G396" s="72">
        <v>26</v>
      </c>
    </row>
    <row r="397" spans="5:7" x14ac:dyDescent="0.3">
      <c r="E397" t="s">
        <v>2425</v>
      </c>
      <c r="F397" t="s">
        <v>1753</v>
      </c>
      <c r="G397" s="72" t="s">
        <v>1890</v>
      </c>
    </row>
    <row r="398" spans="5:7" x14ac:dyDescent="0.3">
      <c r="E398" t="s">
        <v>2573</v>
      </c>
      <c r="F398" t="s">
        <v>2102</v>
      </c>
      <c r="G398" s="72" t="s">
        <v>1890</v>
      </c>
    </row>
    <row r="399" spans="5:7" x14ac:dyDescent="0.3">
      <c r="E399" t="s">
        <v>2445</v>
      </c>
      <c r="F399" t="s">
        <v>1733</v>
      </c>
      <c r="G399" s="72" t="s">
        <v>1890</v>
      </c>
    </row>
    <row r="400" spans="5:7" x14ac:dyDescent="0.3">
      <c r="E400" t="s">
        <v>2428</v>
      </c>
      <c r="F400" t="s">
        <v>1421</v>
      </c>
      <c r="G400" s="72" t="s">
        <v>1933</v>
      </c>
    </row>
    <row r="401" spans="5:7" x14ac:dyDescent="0.3">
      <c r="E401" t="s">
        <v>2425</v>
      </c>
      <c r="F401" t="s">
        <v>1753</v>
      </c>
      <c r="G401" s="72" t="s">
        <v>1934</v>
      </c>
    </row>
    <row r="402" spans="5:7" x14ac:dyDescent="0.3">
      <c r="E402" t="s">
        <v>2573</v>
      </c>
      <c r="F402" t="s">
        <v>2102</v>
      </c>
      <c r="G402" s="72" t="s">
        <v>1934</v>
      </c>
    </row>
    <row r="403" spans="5:7" x14ac:dyDescent="0.3">
      <c r="E403" t="s">
        <v>2445</v>
      </c>
      <c r="F403" t="s">
        <v>1733</v>
      </c>
      <c r="G403" s="72" t="s">
        <v>1934</v>
      </c>
    </row>
    <row r="404" spans="5:7" x14ac:dyDescent="0.3">
      <c r="E404" t="s">
        <v>2574</v>
      </c>
      <c r="F404" t="s">
        <v>2119</v>
      </c>
      <c r="G404" s="72">
        <v>26</v>
      </c>
    </row>
    <row r="405" spans="5:7" x14ac:dyDescent="0.3">
      <c r="E405" t="s">
        <v>2575</v>
      </c>
      <c r="F405" t="s">
        <v>1602</v>
      </c>
      <c r="G405" s="72">
        <v>26</v>
      </c>
    </row>
    <row r="406" spans="5:7" x14ac:dyDescent="0.3">
      <c r="E406" t="s">
        <v>2576</v>
      </c>
      <c r="F406" t="s">
        <v>1733</v>
      </c>
      <c r="G406" s="72" t="s">
        <v>1890</v>
      </c>
    </row>
    <row r="407" spans="5:7" x14ac:dyDescent="0.3">
      <c r="E407" t="s">
        <v>2508</v>
      </c>
      <c r="F407" t="s">
        <v>1749</v>
      </c>
      <c r="G407" s="72" t="s">
        <v>1933</v>
      </c>
    </row>
    <row r="408" spans="5:7" x14ac:dyDescent="0.3">
      <c r="E408" t="s">
        <v>2576</v>
      </c>
      <c r="F408" t="s">
        <v>1733</v>
      </c>
      <c r="G408" s="72" t="s">
        <v>1934</v>
      </c>
    </row>
    <row r="409" spans="5:7" x14ac:dyDescent="0.3">
      <c r="E409" t="s">
        <v>1435</v>
      </c>
      <c r="F409" t="s">
        <v>1445</v>
      </c>
      <c r="G409" s="72" t="s">
        <v>2083</v>
      </c>
    </row>
    <row r="410" spans="5:7" x14ac:dyDescent="0.3">
      <c r="E410" t="s">
        <v>2577</v>
      </c>
      <c r="F410" t="s">
        <v>2019</v>
      </c>
      <c r="G410" s="72" t="s">
        <v>2082</v>
      </c>
    </row>
    <row r="411" spans="5:7" x14ac:dyDescent="0.3">
      <c r="E411" t="s">
        <v>2504</v>
      </c>
      <c r="F411" t="s">
        <v>1700</v>
      </c>
      <c r="G411" s="72">
        <v>26</v>
      </c>
    </row>
    <row r="412" spans="5:7" x14ac:dyDescent="0.3">
      <c r="E412" t="s">
        <v>2546</v>
      </c>
      <c r="F412" t="s">
        <v>2057</v>
      </c>
      <c r="G412" s="72" t="s">
        <v>2083</v>
      </c>
    </row>
    <row r="413" spans="5:7" x14ac:dyDescent="0.3">
      <c r="E413" t="s">
        <v>2158</v>
      </c>
      <c r="F413" t="s">
        <v>2054</v>
      </c>
      <c r="G413" s="72" t="s">
        <v>2082</v>
      </c>
    </row>
    <row r="414" spans="5:7" x14ac:dyDescent="0.3">
      <c r="E414" t="s">
        <v>2157</v>
      </c>
      <c r="F414" t="s">
        <v>1775</v>
      </c>
      <c r="G414" s="72" t="s">
        <v>2082</v>
      </c>
    </row>
    <row r="415" spans="5:7" x14ac:dyDescent="0.3">
      <c r="E415" t="s">
        <v>2120</v>
      </c>
      <c r="F415" t="s">
        <v>2120</v>
      </c>
      <c r="G415" s="72" t="s">
        <v>2082</v>
      </c>
    </row>
    <row r="416" spans="5:7" x14ac:dyDescent="0.3">
      <c r="E416" t="s">
        <v>1857</v>
      </c>
      <c r="F416" t="s">
        <v>2019</v>
      </c>
      <c r="G416" s="72" t="s">
        <v>2082</v>
      </c>
    </row>
    <row r="417" spans="5:7" x14ac:dyDescent="0.3">
      <c r="E417" t="s">
        <v>2578</v>
      </c>
      <c r="F417" t="s">
        <v>2057</v>
      </c>
      <c r="G417" s="72" t="s">
        <v>2082</v>
      </c>
    </row>
    <row r="418" spans="5:7" x14ac:dyDescent="0.3">
      <c r="E418" t="s">
        <v>2579</v>
      </c>
      <c r="F418" t="s">
        <v>2116</v>
      </c>
      <c r="G418" s="72">
        <v>26</v>
      </c>
    </row>
    <row r="419" spans="5:7" x14ac:dyDescent="0.3">
      <c r="E419" t="s">
        <v>2507</v>
      </c>
      <c r="F419" t="s">
        <v>2121</v>
      </c>
      <c r="G419" s="72">
        <v>26</v>
      </c>
    </row>
    <row r="420" spans="5:7" x14ac:dyDescent="0.3">
      <c r="E420" t="s">
        <v>2580</v>
      </c>
      <c r="F420" t="s">
        <v>1739</v>
      </c>
      <c r="G420" s="72">
        <v>26</v>
      </c>
    </row>
    <row r="421" spans="5:7" x14ac:dyDescent="0.3">
      <c r="E421" t="s">
        <v>2581</v>
      </c>
      <c r="F421" t="s">
        <v>2122</v>
      </c>
      <c r="G421" s="72">
        <v>26</v>
      </c>
    </row>
    <row r="422" spans="5:7" x14ac:dyDescent="0.3">
      <c r="E422" t="s">
        <v>1879</v>
      </c>
      <c r="F422" t="s">
        <v>1674</v>
      </c>
      <c r="G422" s="72">
        <v>26</v>
      </c>
    </row>
    <row r="423" spans="5:7" x14ac:dyDescent="0.3">
      <c r="E423" t="s">
        <v>1880</v>
      </c>
      <c r="F423" t="s">
        <v>1658</v>
      </c>
      <c r="G423" s="72">
        <v>26</v>
      </c>
    </row>
    <row r="424" spans="5:7" x14ac:dyDescent="0.3">
      <c r="E424" t="s">
        <v>1883</v>
      </c>
      <c r="F424" t="s">
        <v>1704</v>
      </c>
      <c r="G424" s="72">
        <v>26</v>
      </c>
    </row>
    <row r="425" spans="5:7" x14ac:dyDescent="0.3">
      <c r="E425" t="s">
        <v>2445</v>
      </c>
      <c r="F425" t="s">
        <v>1733</v>
      </c>
      <c r="G425" s="72" t="s">
        <v>1890</v>
      </c>
    </row>
    <row r="426" spans="5:7" x14ac:dyDescent="0.3">
      <c r="E426" t="s">
        <v>2445</v>
      </c>
      <c r="F426" t="s">
        <v>1733</v>
      </c>
      <c r="G426" s="72" t="s">
        <v>1934</v>
      </c>
    </row>
    <row r="427" spans="5:7" x14ac:dyDescent="0.3">
      <c r="E427" t="s">
        <v>2582</v>
      </c>
      <c r="F427" t="s">
        <v>2057</v>
      </c>
      <c r="G427" s="72" t="s">
        <v>2082</v>
      </c>
    </row>
    <row r="428" spans="5:7" x14ac:dyDescent="0.3">
      <c r="E428" t="s">
        <v>2583</v>
      </c>
      <c r="F428" t="s">
        <v>2123</v>
      </c>
      <c r="G428" s="72">
        <v>26</v>
      </c>
    </row>
    <row r="429" spans="5:7" x14ac:dyDescent="0.3">
      <c r="E429" t="s">
        <v>2581</v>
      </c>
      <c r="F429" t="s">
        <v>2122</v>
      </c>
      <c r="G429" s="72">
        <v>26</v>
      </c>
    </row>
    <row r="430" spans="5:7" x14ac:dyDescent="0.3">
      <c r="E430" t="s">
        <v>2584</v>
      </c>
      <c r="F430" t="s">
        <v>1776</v>
      </c>
      <c r="G430" s="72">
        <v>26</v>
      </c>
    </row>
    <row r="431" spans="5:7" x14ac:dyDescent="0.3">
      <c r="E431" t="s">
        <v>1856</v>
      </c>
      <c r="F431" t="s">
        <v>1756</v>
      </c>
      <c r="G431" s="72" t="s">
        <v>1890</v>
      </c>
    </row>
    <row r="432" spans="5:7" x14ac:dyDescent="0.3">
      <c r="E432" t="s">
        <v>1856</v>
      </c>
      <c r="F432" t="s">
        <v>1756</v>
      </c>
      <c r="G432" s="72" t="s">
        <v>1934</v>
      </c>
    </row>
    <row r="433" spans="5:7" x14ac:dyDescent="0.3">
      <c r="E433" t="s">
        <v>2585</v>
      </c>
      <c r="F433" t="s">
        <v>2051</v>
      </c>
      <c r="G433" s="72" t="s">
        <v>2083</v>
      </c>
    </row>
    <row r="434" spans="5:7" x14ac:dyDescent="0.3">
      <c r="E434" t="s">
        <v>2564</v>
      </c>
      <c r="F434" t="s">
        <v>2124</v>
      </c>
      <c r="G434" s="72">
        <v>26</v>
      </c>
    </row>
    <row r="435" spans="5:7" x14ac:dyDescent="0.3">
      <c r="E435" t="s">
        <v>2586</v>
      </c>
      <c r="F435" t="s">
        <v>1602</v>
      </c>
      <c r="G435" s="72">
        <v>26</v>
      </c>
    </row>
    <row r="436" spans="5:7" x14ac:dyDescent="0.3">
      <c r="E436" t="s">
        <v>2415</v>
      </c>
      <c r="F436" t="s">
        <v>2125</v>
      </c>
      <c r="G436" s="72">
        <v>26</v>
      </c>
    </row>
    <row r="437" spans="5:7" x14ac:dyDescent="0.3">
      <c r="E437" t="s">
        <v>2497</v>
      </c>
      <c r="F437" t="s">
        <v>2097</v>
      </c>
      <c r="G437" s="72">
        <v>26</v>
      </c>
    </row>
    <row r="438" spans="5:7" x14ac:dyDescent="0.3">
      <c r="E438" t="s">
        <v>1891</v>
      </c>
      <c r="F438" t="s">
        <v>1447</v>
      </c>
      <c r="G438" s="72" t="s">
        <v>1890</v>
      </c>
    </row>
    <row r="439" spans="5:7" x14ac:dyDescent="0.3">
      <c r="E439" t="s">
        <v>1892</v>
      </c>
      <c r="F439" t="s">
        <v>1443</v>
      </c>
      <c r="G439" s="72" t="s">
        <v>1890</v>
      </c>
    </row>
    <row r="440" spans="5:7" x14ac:dyDescent="0.3">
      <c r="E440" t="s">
        <v>2587</v>
      </c>
      <c r="F440" t="s">
        <v>2126</v>
      </c>
      <c r="G440" s="72" t="s">
        <v>1890</v>
      </c>
    </row>
    <row r="441" spans="5:7" x14ac:dyDescent="0.3">
      <c r="E441" t="s">
        <v>1891</v>
      </c>
      <c r="F441" t="s">
        <v>1447</v>
      </c>
      <c r="G441" s="72" t="s">
        <v>1934</v>
      </c>
    </row>
    <row r="442" spans="5:7" x14ac:dyDescent="0.3">
      <c r="E442" t="s">
        <v>1892</v>
      </c>
      <c r="F442" t="s">
        <v>1443</v>
      </c>
      <c r="G442" s="72" t="s">
        <v>1934</v>
      </c>
    </row>
    <row r="443" spans="5:7" x14ac:dyDescent="0.3">
      <c r="E443" t="s">
        <v>2587</v>
      </c>
      <c r="F443" t="s">
        <v>2126</v>
      </c>
      <c r="G443" s="72" t="s">
        <v>1934</v>
      </c>
    </row>
    <row r="444" spans="5:7" x14ac:dyDescent="0.3">
      <c r="E444" t="s">
        <v>2587</v>
      </c>
      <c r="F444" t="s">
        <v>2126</v>
      </c>
      <c r="G444" s="72" t="s">
        <v>1890</v>
      </c>
    </row>
    <row r="445" spans="5:7" x14ac:dyDescent="0.3">
      <c r="E445" t="s">
        <v>2588</v>
      </c>
      <c r="F445" t="s">
        <v>2103</v>
      </c>
      <c r="G445" s="72" t="s">
        <v>1890</v>
      </c>
    </row>
    <row r="446" spans="5:7" x14ac:dyDescent="0.3">
      <c r="E446" t="s">
        <v>2587</v>
      </c>
      <c r="F446" t="s">
        <v>2126</v>
      </c>
      <c r="G446" s="72" t="s">
        <v>1934</v>
      </c>
    </row>
    <row r="447" spans="5:7" x14ac:dyDescent="0.3">
      <c r="E447" t="s">
        <v>2588</v>
      </c>
      <c r="F447" t="s">
        <v>2103</v>
      </c>
      <c r="G447" s="72" t="s">
        <v>1934</v>
      </c>
    </row>
    <row r="448" spans="5:7" x14ac:dyDescent="0.3">
      <c r="E448" t="s">
        <v>1957</v>
      </c>
      <c r="F448" t="s">
        <v>2056</v>
      </c>
      <c r="G448" s="72" t="s">
        <v>2083</v>
      </c>
    </row>
    <row r="449" spans="5:7" x14ac:dyDescent="0.3">
      <c r="E449" t="s">
        <v>2157</v>
      </c>
      <c r="F449" t="s">
        <v>1764</v>
      </c>
      <c r="G449" s="72" t="s">
        <v>2082</v>
      </c>
    </row>
    <row r="450" spans="5:7" x14ac:dyDescent="0.3">
      <c r="E450" t="s">
        <v>2539</v>
      </c>
      <c r="F450" t="s">
        <v>1598</v>
      </c>
      <c r="G450" s="72" t="s">
        <v>2082</v>
      </c>
    </row>
    <row r="451" spans="5:7" x14ac:dyDescent="0.3">
      <c r="E451" t="s">
        <v>2589</v>
      </c>
      <c r="F451" t="s">
        <v>2057</v>
      </c>
      <c r="G451" s="72" t="s">
        <v>2082</v>
      </c>
    </row>
    <row r="452" spans="5:7" x14ac:dyDescent="0.3">
      <c r="E452" t="s">
        <v>2539</v>
      </c>
      <c r="F452" t="s">
        <v>1596</v>
      </c>
      <c r="G452" s="72" t="s">
        <v>2083</v>
      </c>
    </row>
    <row r="453" spans="5:7" x14ac:dyDescent="0.3">
      <c r="E453" t="s">
        <v>2590</v>
      </c>
      <c r="F453" t="s">
        <v>2127</v>
      </c>
      <c r="G453" s="72">
        <v>26</v>
      </c>
    </row>
    <row r="454" spans="5:7" x14ac:dyDescent="0.3">
      <c r="E454" t="s">
        <v>2045</v>
      </c>
      <c r="F454" t="s">
        <v>2045</v>
      </c>
      <c r="G454" s="72">
        <v>26</v>
      </c>
    </row>
    <row r="455" spans="5:7" x14ac:dyDescent="0.3">
      <c r="E455" t="s">
        <v>2587</v>
      </c>
      <c r="F455" t="s">
        <v>2128</v>
      </c>
      <c r="G455" s="72">
        <v>26</v>
      </c>
    </row>
    <row r="456" spans="5:7" x14ac:dyDescent="0.3">
      <c r="E456" t="s">
        <v>2591</v>
      </c>
      <c r="F456" t="s">
        <v>1708</v>
      </c>
      <c r="G456" s="72">
        <v>26</v>
      </c>
    </row>
    <row r="457" spans="5:7" x14ac:dyDescent="0.3">
      <c r="E457" t="s">
        <v>2592</v>
      </c>
      <c r="F457" t="s">
        <v>1740</v>
      </c>
      <c r="G457" s="72">
        <v>26</v>
      </c>
    </row>
    <row r="458" spans="5:7" x14ac:dyDescent="0.3">
      <c r="E458" t="s">
        <v>2593</v>
      </c>
      <c r="F458" t="s">
        <v>2122</v>
      </c>
      <c r="G458" s="72">
        <v>26</v>
      </c>
    </row>
    <row r="459" spans="5:7" x14ac:dyDescent="0.3">
      <c r="E459" t="s">
        <v>2594</v>
      </c>
      <c r="F459" t="s">
        <v>1411</v>
      </c>
      <c r="G459" s="72">
        <v>26</v>
      </c>
    </row>
    <row r="460" spans="5:7" x14ac:dyDescent="0.3">
      <c r="E460" t="s">
        <v>2595</v>
      </c>
      <c r="F460" t="s">
        <v>2121</v>
      </c>
      <c r="G460" s="72">
        <v>26</v>
      </c>
    </row>
    <row r="461" spans="5:7" x14ac:dyDescent="0.3">
      <c r="E461" t="s">
        <v>1662</v>
      </c>
      <c r="F461" t="s">
        <v>1662</v>
      </c>
      <c r="G461" s="72">
        <v>26</v>
      </c>
    </row>
    <row r="462" spans="5:7" x14ac:dyDescent="0.3">
      <c r="E462" t="s">
        <v>2596</v>
      </c>
      <c r="F462" t="s">
        <v>1751</v>
      </c>
      <c r="G462" s="72" t="s">
        <v>1890</v>
      </c>
    </row>
    <row r="463" spans="5:7" x14ac:dyDescent="0.3">
      <c r="E463" t="s">
        <v>2597</v>
      </c>
      <c r="F463" t="s">
        <v>1728</v>
      </c>
      <c r="G463" s="72" t="s">
        <v>1890</v>
      </c>
    </row>
    <row r="464" spans="5:7" x14ac:dyDescent="0.3">
      <c r="E464" t="s">
        <v>2452</v>
      </c>
      <c r="F464" t="s">
        <v>1733</v>
      </c>
      <c r="G464" s="72" t="s">
        <v>1890</v>
      </c>
    </row>
    <row r="465" spans="5:7" x14ac:dyDescent="0.3">
      <c r="E465" t="s">
        <v>1804</v>
      </c>
      <c r="F465" t="s">
        <v>1979</v>
      </c>
      <c r="G465" s="72" t="s">
        <v>1890</v>
      </c>
    </row>
    <row r="466" spans="5:7" x14ac:dyDescent="0.3">
      <c r="E466" t="s">
        <v>2462</v>
      </c>
      <c r="F466" t="s">
        <v>1980</v>
      </c>
      <c r="G466" s="72" t="s">
        <v>1890</v>
      </c>
    </row>
    <row r="467" spans="5:7" x14ac:dyDescent="0.3">
      <c r="E467" t="s">
        <v>2580</v>
      </c>
      <c r="F467" t="s">
        <v>1734</v>
      </c>
      <c r="G467" s="72" t="s">
        <v>1890</v>
      </c>
    </row>
    <row r="468" spans="5:7" x14ac:dyDescent="0.3">
      <c r="E468" t="s">
        <v>2598</v>
      </c>
      <c r="F468" t="s">
        <v>1735</v>
      </c>
      <c r="G468" s="72" t="s">
        <v>1890</v>
      </c>
    </row>
    <row r="469" spans="5:7" x14ac:dyDescent="0.3">
      <c r="E469" t="s">
        <v>2599</v>
      </c>
      <c r="F469" t="s">
        <v>1735</v>
      </c>
      <c r="G469" s="72" t="s">
        <v>1890</v>
      </c>
    </row>
    <row r="470" spans="5:7" x14ac:dyDescent="0.3">
      <c r="E470" t="s">
        <v>2600</v>
      </c>
      <c r="F470" t="s">
        <v>1450</v>
      </c>
      <c r="G470" s="72" t="s">
        <v>1890</v>
      </c>
    </row>
    <row r="471" spans="5:7" x14ac:dyDescent="0.3">
      <c r="E471" t="s">
        <v>2532</v>
      </c>
      <c r="F471" t="s">
        <v>1448</v>
      </c>
      <c r="G471" s="72" t="s">
        <v>1890</v>
      </c>
    </row>
    <row r="472" spans="5:7" x14ac:dyDescent="0.3">
      <c r="E472" t="s">
        <v>1804</v>
      </c>
      <c r="F472" t="s">
        <v>1409</v>
      </c>
      <c r="G472" s="72" t="s">
        <v>1933</v>
      </c>
    </row>
    <row r="473" spans="5:7" x14ac:dyDescent="0.3">
      <c r="E473" t="s">
        <v>2598</v>
      </c>
      <c r="F473" t="s">
        <v>1747</v>
      </c>
      <c r="G473" s="72" t="s">
        <v>1933</v>
      </c>
    </row>
    <row r="474" spans="5:7" x14ac:dyDescent="0.3">
      <c r="E474" t="s">
        <v>2599</v>
      </c>
      <c r="F474" t="s">
        <v>1747</v>
      </c>
      <c r="G474" s="72" t="s">
        <v>1933</v>
      </c>
    </row>
    <row r="475" spans="5:7" x14ac:dyDescent="0.3">
      <c r="E475" t="s">
        <v>2600</v>
      </c>
      <c r="F475" t="s">
        <v>1408</v>
      </c>
      <c r="G475" s="72" t="s">
        <v>1933</v>
      </c>
    </row>
    <row r="476" spans="5:7" x14ac:dyDescent="0.3">
      <c r="E476" t="s">
        <v>2601</v>
      </c>
      <c r="F476" t="s">
        <v>2118</v>
      </c>
      <c r="G476" s="72" t="s">
        <v>1934</v>
      </c>
    </row>
    <row r="477" spans="5:7" x14ac:dyDescent="0.3">
      <c r="E477" t="s">
        <v>2596</v>
      </c>
      <c r="F477" t="s">
        <v>1751</v>
      </c>
      <c r="G477" s="72" t="s">
        <v>1934</v>
      </c>
    </row>
    <row r="478" spans="5:7" x14ac:dyDescent="0.3">
      <c r="E478" t="s">
        <v>2597</v>
      </c>
      <c r="F478" t="s">
        <v>1728</v>
      </c>
      <c r="G478" s="72" t="s">
        <v>1934</v>
      </c>
    </row>
    <row r="479" spans="5:7" x14ac:dyDescent="0.3">
      <c r="E479" t="s">
        <v>2452</v>
      </c>
      <c r="F479" t="s">
        <v>1733</v>
      </c>
      <c r="G479" s="72" t="s">
        <v>1934</v>
      </c>
    </row>
    <row r="480" spans="5:7" x14ac:dyDescent="0.3">
      <c r="E480" t="s">
        <v>1804</v>
      </c>
      <c r="F480" t="s">
        <v>1979</v>
      </c>
      <c r="G480" s="72" t="s">
        <v>1934</v>
      </c>
    </row>
    <row r="481" spans="5:7" x14ac:dyDescent="0.3">
      <c r="E481" t="s">
        <v>2462</v>
      </c>
      <c r="F481" t="s">
        <v>1980</v>
      </c>
      <c r="G481" s="72" t="s">
        <v>1934</v>
      </c>
    </row>
    <row r="482" spans="5:7" x14ac:dyDescent="0.3">
      <c r="E482" t="s">
        <v>2580</v>
      </c>
      <c r="F482" t="s">
        <v>1734</v>
      </c>
      <c r="G482" s="72" t="s">
        <v>1934</v>
      </c>
    </row>
    <row r="483" spans="5:7" x14ac:dyDescent="0.3">
      <c r="E483" t="s">
        <v>2598</v>
      </c>
      <c r="F483" t="s">
        <v>1735</v>
      </c>
      <c r="G483" s="72" t="s">
        <v>1934</v>
      </c>
    </row>
    <row r="484" spans="5:7" x14ac:dyDescent="0.3">
      <c r="E484" t="s">
        <v>2599</v>
      </c>
      <c r="F484" t="s">
        <v>1735</v>
      </c>
      <c r="G484" s="72" t="s">
        <v>1934</v>
      </c>
    </row>
    <row r="485" spans="5:7" x14ac:dyDescent="0.3">
      <c r="E485" t="s">
        <v>2600</v>
      </c>
      <c r="F485" t="s">
        <v>1450</v>
      </c>
      <c r="G485" s="72" t="s">
        <v>1934</v>
      </c>
    </row>
    <row r="486" spans="5:7" x14ac:dyDescent="0.3">
      <c r="E486" t="s">
        <v>2532</v>
      </c>
      <c r="F486" t="s">
        <v>1448</v>
      </c>
      <c r="G486" s="72" t="s">
        <v>1934</v>
      </c>
    </row>
    <row r="487" spans="5:7" x14ac:dyDescent="0.3">
      <c r="E487" t="s">
        <v>2602</v>
      </c>
      <c r="F487" t="s">
        <v>1556</v>
      </c>
      <c r="G487" s="72" t="s">
        <v>2082</v>
      </c>
    </row>
    <row r="488" spans="5:7" x14ac:dyDescent="0.3">
      <c r="E488" t="s">
        <v>2603</v>
      </c>
      <c r="F488" t="s">
        <v>2057</v>
      </c>
      <c r="G488" s="72" t="s">
        <v>2082</v>
      </c>
    </row>
    <row r="489" spans="5:7" x14ac:dyDescent="0.3">
      <c r="E489" t="s">
        <v>1880</v>
      </c>
      <c r="F489" t="s">
        <v>1658</v>
      </c>
      <c r="G489" s="72">
        <v>26</v>
      </c>
    </row>
    <row r="490" spans="5:7" x14ac:dyDescent="0.3">
      <c r="E490" t="s">
        <v>1883</v>
      </c>
      <c r="F490" t="s">
        <v>1704</v>
      </c>
      <c r="G490" s="72">
        <v>26</v>
      </c>
    </row>
    <row r="491" spans="5:7" x14ac:dyDescent="0.3">
      <c r="E491" t="s">
        <v>1662</v>
      </c>
      <c r="F491" t="s">
        <v>1662</v>
      </c>
      <c r="G491" s="72">
        <v>26</v>
      </c>
    </row>
    <row r="492" spans="5:7" x14ac:dyDescent="0.3">
      <c r="E492" t="s">
        <v>2498</v>
      </c>
      <c r="F492" t="s">
        <v>1744</v>
      </c>
      <c r="G492" s="72">
        <v>26</v>
      </c>
    </row>
    <row r="493" spans="5:7" x14ac:dyDescent="0.3">
      <c r="E493" t="s">
        <v>2596</v>
      </c>
      <c r="F493" t="s">
        <v>1751</v>
      </c>
      <c r="G493" s="72" t="s">
        <v>1890</v>
      </c>
    </row>
    <row r="494" spans="5:7" x14ac:dyDescent="0.3">
      <c r="E494" t="s">
        <v>2604</v>
      </c>
      <c r="F494" t="s">
        <v>1446</v>
      </c>
      <c r="G494" s="72" t="s">
        <v>1890</v>
      </c>
    </row>
    <row r="495" spans="5:7" x14ac:dyDescent="0.3">
      <c r="E495" t="s">
        <v>2452</v>
      </c>
      <c r="F495" t="s">
        <v>1733</v>
      </c>
      <c r="G495" s="72" t="s">
        <v>1890</v>
      </c>
    </row>
    <row r="496" spans="5:7" x14ac:dyDescent="0.3">
      <c r="E496" t="s">
        <v>1804</v>
      </c>
      <c r="F496" t="s">
        <v>1979</v>
      </c>
      <c r="G496" s="72" t="s">
        <v>1890</v>
      </c>
    </row>
    <row r="497" spans="5:7" x14ac:dyDescent="0.3">
      <c r="E497" t="s">
        <v>2462</v>
      </c>
      <c r="F497" t="s">
        <v>1980</v>
      </c>
      <c r="G497" s="72" t="s">
        <v>1890</v>
      </c>
    </row>
    <row r="498" spans="5:7" x14ac:dyDescent="0.3">
      <c r="E498" t="s">
        <v>1838</v>
      </c>
      <c r="F498" t="s">
        <v>1444</v>
      </c>
      <c r="G498" s="72" t="s">
        <v>1890</v>
      </c>
    </row>
    <row r="499" spans="5:7" x14ac:dyDescent="0.3">
      <c r="E499" t="s">
        <v>2605</v>
      </c>
      <c r="F499" t="s">
        <v>1450</v>
      </c>
      <c r="G499" s="72" t="s">
        <v>1890</v>
      </c>
    </row>
    <row r="500" spans="5:7" x14ac:dyDescent="0.3">
      <c r="E500" t="s">
        <v>2531</v>
      </c>
      <c r="F500" t="s">
        <v>1737</v>
      </c>
      <c r="G500" s="72" t="s">
        <v>1890</v>
      </c>
    </row>
    <row r="501" spans="5:7" x14ac:dyDescent="0.3">
      <c r="E501" t="s">
        <v>2605</v>
      </c>
      <c r="F501" t="s">
        <v>1408</v>
      </c>
      <c r="G501" s="72" t="s">
        <v>1933</v>
      </c>
    </row>
    <row r="502" spans="5:7" x14ac:dyDescent="0.3">
      <c r="E502" t="s">
        <v>2596</v>
      </c>
      <c r="F502" t="s">
        <v>1751</v>
      </c>
      <c r="G502" s="72" t="s">
        <v>1934</v>
      </c>
    </row>
    <row r="503" spans="5:7" x14ac:dyDescent="0.3">
      <c r="E503" t="s">
        <v>2604</v>
      </c>
      <c r="F503" t="s">
        <v>1446</v>
      </c>
      <c r="G503" s="72" t="s">
        <v>1934</v>
      </c>
    </row>
    <row r="504" spans="5:7" x14ac:dyDescent="0.3">
      <c r="E504" t="s">
        <v>2452</v>
      </c>
      <c r="F504" t="s">
        <v>1733</v>
      </c>
      <c r="G504" s="72" t="s">
        <v>1934</v>
      </c>
    </row>
    <row r="505" spans="5:7" x14ac:dyDescent="0.3">
      <c r="E505" t="s">
        <v>1804</v>
      </c>
      <c r="F505" t="s">
        <v>1979</v>
      </c>
      <c r="G505" s="72" t="s">
        <v>1934</v>
      </c>
    </row>
    <row r="506" spans="5:7" x14ac:dyDescent="0.3">
      <c r="E506" t="s">
        <v>2462</v>
      </c>
      <c r="F506" t="s">
        <v>1980</v>
      </c>
      <c r="G506" s="72" t="s">
        <v>1934</v>
      </c>
    </row>
    <row r="507" spans="5:7" x14ac:dyDescent="0.3">
      <c r="E507" t="s">
        <v>1838</v>
      </c>
      <c r="F507" t="s">
        <v>1444</v>
      </c>
      <c r="G507" s="72" t="s">
        <v>1934</v>
      </c>
    </row>
    <row r="508" spans="5:7" x14ac:dyDescent="0.3">
      <c r="E508" t="s">
        <v>2605</v>
      </c>
      <c r="F508" t="s">
        <v>1450</v>
      </c>
      <c r="G508" s="72" t="s">
        <v>1934</v>
      </c>
    </row>
    <row r="509" spans="5:7" x14ac:dyDescent="0.3">
      <c r="E509" t="s">
        <v>2531</v>
      </c>
      <c r="F509" t="s">
        <v>1737</v>
      </c>
      <c r="G509" s="72" t="s">
        <v>1934</v>
      </c>
    </row>
    <row r="510" spans="5:7" x14ac:dyDescent="0.3">
      <c r="E510" t="s">
        <v>2606</v>
      </c>
      <c r="F510" t="s">
        <v>1407</v>
      </c>
      <c r="G510" s="72" t="s">
        <v>2082</v>
      </c>
    </row>
    <row r="511" spans="5:7" x14ac:dyDescent="0.3">
      <c r="E511" t="s">
        <v>2607</v>
      </c>
      <c r="F511" t="s">
        <v>1711</v>
      </c>
      <c r="G511" s="72">
        <v>26</v>
      </c>
    </row>
    <row r="512" spans="5:7" x14ac:dyDescent="0.3">
      <c r="E512" t="s">
        <v>2571</v>
      </c>
      <c r="F512" t="s">
        <v>1711</v>
      </c>
      <c r="G512" s="72">
        <v>26</v>
      </c>
    </row>
    <row r="513" spans="5:7" x14ac:dyDescent="0.3">
      <c r="E513" t="s">
        <v>2584</v>
      </c>
      <c r="F513" t="s">
        <v>1776</v>
      </c>
      <c r="G513" s="72">
        <v>26</v>
      </c>
    </row>
    <row r="514" spans="5:7" x14ac:dyDescent="0.3">
      <c r="E514" t="s">
        <v>2601</v>
      </c>
      <c r="F514" t="s">
        <v>1979</v>
      </c>
      <c r="G514" s="72" t="s">
        <v>1890</v>
      </c>
    </row>
    <row r="515" spans="5:7" x14ac:dyDescent="0.3">
      <c r="E515" t="s">
        <v>2608</v>
      </c>
      <c r="F515" t="s">
        <v>1751</v>
      </c>
      <c r="G515" s="72" t="s">
        <v>1890</v>
      </c>
    </row>
    <row r="516" spans="5:7" x14ac:dyDescent="0.3">
      <c r="E516" t="s">
        <v>2609</v>
      </c>
      <c r="F516" t="s">
        <v>1729</v>
      </c>
      <c r="G516" s="72" t="s">
        <v>1890</v>
      </c>
    </row>
    <row r="517" spans="5:7" x14ac:dyDescent="0.3">
      <c r="E517" t="s">
        <v>2608</v>
      </c>
      <c r="F517" t="s">
        <v>1751</v>
      </c>
      <c r="G517" s="72" t="s">
        <v>1934</v>
      </c>
    </row>
    <row r="518" spans="5:7" x14ac:dyDescent="0.3">
      <c r="E518" t="s">
        <v>2609</v>
      </c>
      <c r="F518" t="s">
        <v>1729</v>
      </c>
      <c r="G518" s="72" t="s">
        <v>1934</v>
      </c>
    </row>
    <row r="519" spans="5:7" x14ac:dyDescent="0.3">
      <c r="E519" t="s">
        <v>2610</v>
      </c>
      <c r="F519" t="s">
        <v>1754</v>
      </c>
      <c r="G519" s="72" t="s">
        <v>2083</v>
      </c>
    </row>
    <row r="520" spans="5:7" x14ac:dyDescent="0.3">
      <c r="E520" t="s">
        <v>2611</v>
      </c>
      <c r="F520" t="s">
        <v>2057</v>
      </c>
      <c r="G520" s="72" t="s">
        <v>2082</v>
      </c>
    </row>
    <row r="521" spans="5:7" x14ac:dyDescent="0.3">
      <c r="E521" t="s">
        <v>2469</v>
      </c>
      <c r="F521" t="s">
        <v>1615</v>
      </c>
      <c r="G521" s="72">
        <v>26</v>
      </c>
    </row>
    <row r="522" spans="5:7" x14ac:dyDescent="0.3">
      <c r="E522" t="s">
        <v>2612</v>
      </c>
      <c r="F522" t="s">
        <v>1764</v>
      </c>
      <c r="G522" s="72">
        <v>26</v>
      </c>
    </row>
    <row r="523" spans="5:7" x14ac:dyDescent="0.3">
      <c r="E523" t="s">
        <v>2613</v>
      </c>
      <c r="F523" t="s">
        <v>1671</v>
      </c>
      <c r="G523" s="72">
        <v>26</v>
      </c>
    </row>
    <row r="524" spans="5:7" x14ac:dyDescent="0.3">
      <c r="E524" t="s">
        <v>2608</v>
      </c>
      <c r="F524" t="s">
        <v>1751</v>
      </c>
      <c r="G524" s="72" t="s">
        <v>1890</v>
      </c>
    </row>
    <row r="525" spans="5:7" x14ac:dyDescent="0.3">
      <c r="E525" t="s">
        <v>1805</v>
      </c>
      <c r="F525" t="s">
        <v>1760</v>
      </c>
      <c r="G525" s="72" t="s">
        <v>1890</v>
      </c>
    </row>
    <row r="526" spans="5:7" x14ac:dyDescent="0.3">
      <c r="E526" t="s">
        <v>2608</v>
      </c>
      <c r="F526" t="s">
        <v>1751</v>
      </c>
      <c r="G526" s="72" t="s">
        <v>1934</v>
      </c>
    </row>
    <row r="527" spans="5:7" x14ac:dyDescent="0.3">
      <c r="E527" t="s">
        <v>1805</v>
      </c>
      <c r="F527" t="s">
        <v>1760</v>
      </c>
      <c r="G527" s="72" t="s">
        <v>1934</v>
      </c>
    </row>
    <row r="528" spans="5:7" x14ac:dyDescent="0.3">
      <c r="E528" t="s">
        <v>2582</v>
      </c>
      <c r="F528" t="s">
        <v>2057</v>
      </c>
      <c r="G528" s="72" t="s">
        <v>2082</v>
      </c>
    </row>
    <row r="529" spans="5:7" x14ac:dyDescent="0.3">
      <c r="E529" t="s">
        <v>2614</v>
      </c>
      <c r="F529" t="s">
        <v>1597</v>
      </c>
      <c r="G529" s="72" t="s">
        <v>1890</v>
      </c>
    </row>
    <row r="530" spans="5:7" x14ac:dyDescent="0.3">
      <c r="E530" t="s">
        <v>2614</v>
      </c>
      <c r="F530" t="s">
        <v>2129</v>
      </c>
      <c r="G530" s="72" t="s">
        <v>1933</v>
      </c>
    </row>
    <row r="531" spans="5:7" x14ac:dyDescent="0.3">
      <c r="E531" t="s">
        <v>2614</v>
      </c>
      <c r="F531" t="s">
        <v>1597</v>
      </c>
      <c r="G531" s="72" t="s">
        <v>1934</v>
      </c>
    </row>
    <row r="532" spans="5:7" x14ac:dyDescent="0.3">
      <c r="E532" t="s">
        <v>2615</v>
      </c>
      <c r="F532" t="s">
        <v>2091</v>
      </c>
      <c r="G532" s="72" t="s">
        <v>2083</v>
      </c>
    </row>
    <row r="533" spans="5:7" x14ac:dyDescent="0.3">
      <c r="E533" t="s">
        <v>2616</v>
      </c>
      <c r="F533" t="s">
        <v>2057</v>
      </c>
      <c r="G533" s="72" t="s">
        <v>2082</v>
      </c>
    </row>
    <row r="534" spans="5:7" x14ac:dyDescent="0.3">
      <c r="E534" t="s">
        <v>2615</v>
      </c>
      <c r="F534" t="s">
        <v>2091</v>
      </c>
      <c r="G534" s="72" t="s">
        <v>2082</v>
      </c>
    </row>
    <row r="535" spans="5:7" x14ac:dyDescent="0.3">
      <c r="E535" t="s">
        <v>2617</v>
      </c>
      <c r="F535" t="s">
        <v>1597</v>
      </c>
      <c r="G535" s="72" t="s">
        <v>1890</v>
      </c>
    </row>
    <row r="536" spans="5:7" x14ac:dyDescent="0.3">
      <c r="E536" t="s">
        <v>2617</v>
      </c>
      <c r="F536" t="s">
        <v>2129</v>
      </c>
      <c r="G536" s="72" t="s">
        <v>1933</v>
      </c>
    </row>
    <row r="537" spans="5:7" x14ac:dyDescent="0.3">
      <c r="E537" t="s">
        <v>2617</v>
      </c>
      <c r="F537" t="s">
        <v>1597</v>
      </c>
      <c r="G537" s="72" t="s">
        <v>1934</v>
      </c>
    </row>
    <row r="538" spans="5:7" x14ac:dyDescent="0.3">
      <c r="E538" t="s">
        <v>1808</v>
      </c>
      <c r="F538" t="s">
        <v>1759</v>
      </c>
      <c r="G538" s="72">
        <v>26</v>
      </c>
    </row>
    <row r="539" spans="5:7" x14ac:dyDescent="0.3">
      <c r="E539" t="s">
        <v>2612</v>
      </c>
      <c r="F539" t="s">
        <v>1764</v>
      </c>
      <c r="G539" s="72">
        <v>26</v>
      </c>
    </row>
    <row r="540" spans="5:7" x14ac:dyDescent="0.3">
      <c r="E540" t="s">
        <v>2415</v>
      </c>
      <c r="F540" t="s">
        <v>2125</v>
      </c>
      <c r="G540" s="72">
        <v>26</v>
      </c>
    </row>
    <row r="541" spans="5:7" x14ac:dyDescent="0.3">
      <c r="E541" t="s">
        <v>1794</v>
      </c>
      <c r="F541" t="s">
        <v>1446</v>
      </c>
      <c r="G541" s="72" t="s">
        <v>1890</v>
      </c>
    </row>
    <row r="542" spans="5:7" x14ac:dyDescent="0.3">
      <c r="E542" t="s">
        <v>2451</v>
      </c>
      <c r="F542" t="s">
        <v>1733</v>
      </c>
      <c r="G542" s="72" t="s">
        <v>1890</v>
      </c>
    </row>
    <row r="543" spans="5:7" x14ac:dyDescent="0.3">
      <c r="E543" t="s">
        <v>1805</v>
      </c>
      <c r="F543" t="s">
        <v>1760</v>
      </c>
      <c r="G543" s="72" t="s">
        <v>1890</v>
      </c>
    </row>
    <row r="544" spans="5:7" x14ac:dyDescent="0.3">
      <c r="E544" t="s">
        <v>1794</v>
      </c>
      <c r="F544" t="s">
        <v>1446</v>
      </c>
      <c r="G544" s="72" t="s">
        <v>1934</v>
      </c>
    </row>
    <row r="545" spans="5:7" x14ac:dyDescent="0.3">
      <c r="E545" t="s">
        <v>2451</v>
      </c>
      <c r="F545" t="s">
        <v>1733</v>
      </c>
      <c r="G545" s="72" t="s">
        <v>1934</v>
      </c>
    </row>
    <row r="546" spans="5:7" x14ac:dyDescent="0.3">
      <c r="E546" t="s">
        <v>1805</v>
      </c>
      <c r="F546" t="s">
        <v>1760</v>
      </c>
      <c r="G546" s="72" t="s">
        <v>1934</v>
      </c>
    </row>
    <row r="547" spans="5:7" x14ac:dyDescent="0.3">
      <c r="E547" t="s">
        <v>2618</v>
      </c>
      <c r="F547" t="s">
        <v>1751</v>
      </c>
      <c r="G547" s="72" t="s">
        <v>2083</v>
      </c>
    </row>
    <row r="548" spans="5:7" x14ac:dyDescent="0.3">
      <c r="E548" t="s">
        <v>2618</v>
      </c>
      <c r="F548" t="s">
        <v>1411</v>
      </c>
      <c r="G548" s="72" t="s">
        <v>2082</v>
      </c>
    </row>
    <row r="549" spans="5:7" x14ac:dyDescent="0.3">
      <c r="E549" t="s">
        <v>2587</v>
      </c>
      <c r="F549" t="s">
        <v>1775</v>
      </c>
      <c r="G549" s="72">
        <v>26</v>
      </c>
    </row>
    <row r="550" spans="5:7" x14ac:dyDescent="0.3">
      <c r="E550" t="s">
        <v>1875</v>
      </c>
      <c r="F550" t="s">
        <v>1678</v>
      </c>
      <c r="G550" s="72">
        <v>26</v>
      </c>
    </row>
    <row r="551" spans="5:7" x14ac:dyDescent="0.3">
      <c r="E551" t="s">
        <v>2619</v>
      </c>
      <c r="F551" t="s">
        <v>1438</v>
      </c>
      <c r="G551" s="72">
        <v>26</v>
      </c>
    </row>
    <row r="552" spans="5:7" x14ac:dyDescent="0.3">
      <c r="E552" t="s">
        <v>1394</v>
      </c>
      <c r="F552" t="s">
        <v>1699</v>
      </c>
      <c r="G552" s="72">
        <v>26</v>
      </c>
    </row>
    <row r="553" spans="5:7" x14ac:dyDescent="0.3">
      <c r="E553" t="s">
        <v>2470</v>
      </c>
      <c r="F553" t="s">
        <v>1780</v>
      </c>
      <c r="G553" s="72">
        <v>26</v>
      </c>
    </row>
    <row r="554" spans="5:7" x14ac:dyDescent="0.3">
      <c r="E554" t="s">
        <v>2556</v>
      </c>
      <c r="F554" t="s">
        <v>1729</v>
      </c>
      <c r="G554" s="72" t="s">
        <v>1890</v>
      </c>
    </row>
    <row r="555" spans="5:7" x14ac:dyDescent="0.3">
      <c r="E555" t="s">
        <v>2556</v>
      </c>
      <c r="F555" t="s">
        <v>1729</v>
      </c>
      <c r="G555" s="72" t="s">
        <v>1934</v>
      </c>
    </row>
    <row r="556" spans="5:7" x14ac:dyDescent="0.3">
      <c r="E556" t="s">
        <v>2610</v>
      </c>
      <c r="F556" t="s">
        <v>1754</v>
      </c>
      <c r="G556" s="72" t="s">
        <v>2083</v>
      </c>
    </row>
    <row r="557" spans="5:7" x14ac:dyDescent="0.3">
      <c r="E557" t="s">
        <v>1875</v>
      </c>
      <c r="F557" t="s">
        <v>1678</v>
      </c>
      <c r="G557" s="72">
        <v>26</v>
      </c>
    </row>
    <row r="558" spans="5:7" x14ac:dyDescent="0.3">
      <c r="E558" t="s">
        <v>2620</v>
      </c>
      <c r="F558" t="s">
        <v>1411</v>
      </c>
      <c r="G558" s="72">
        <v>26</v>
      </c>
    </row>
    <row r="559" spans="5:7" x14ac:dyDescent="0.3">
      <c r="E559" t="s">
        <v>2621</v>
      </c>
      <c r="F559" t="s">
        <v>2121</v>
      </c>
      <c r="G559" s="72">
        <v>26</v>
      </c>
    </row>
    <row r="560" spans="5:7" x14ac:dyDescent="0.3">
      <c r="E560" t="s">
        <v>2241</v>
      </c>
      <c r="F560" t="s">
        <v>1683</v>
      </c>
      <c r="G560" s="72" t="s">
        <v>2083</v>
      </c>
    </row>
    <row r="561" spans="5:7" x14ac:dyDescent="0.3">
      <c r="E561" t="s">
        <v>2622</v>
      </c>
      <c r="F561" t="s">
        <v>2056</v>
      </c>
      <c r="G561" s="72" t="s">
        <v>2082</v>
      </c>
    </row>
    <row r="562" spans="5:7" x14ac:dyDescent="0.3">
      <c r="E562" t="s">
        <v>2623</v>
      </c>
      <c r="F562" t="s">
        <v>1596</v>
      </c>
      <c r="G562" s="72" t="s">
        <v>1934</v>
      </c>
    </row>
    <row r="563" spans="5:7" x14ac:dyDescent="0.3">
      <c r="E563" t="s">
        <v>2623</v>
      </c>
      <c r="F563" t="s">
        <v>1598</v>
      </c>
      <c r="G563" s="72" t="s">
        <v>1933</v>
      </c>
    </row>
    <row r="564" spans="5:7" x14ac:dyDescent="0.3">
      <c r="E564" t="s">
        <v>2623</v>
      </c>
      <c r="F564" t="s">
        <v>1596</v>
      </c>
      <c r="G564" s="72" t="s">
        <v>1890</v>
      </c>
    </row>
    <row r="565" spans="5:7" x14ac:dyDescent="0.3">
      <c r="E565" t="s">
        <v>2622</v>
      </c>
      <c r="F565" t="s">
        <v>2056</v>
      </c>
      <c r="G565" s="72" t="s">
        <v>2083</v>
      </c>
    </row>
    <row r="566" spans="5:7" x14ac:dyDescent="0.3">
      <c r="E566" t="s">
        <v>2512</v>
      </c>
      <c r="F566" t="s">
        <v>2100</v>
      </c>
      <c r="G566" s="72" t="s">
        <v>1890</v>
      </c>
    </row>
    <row r="567" spans="5:7" x14ac:dyDescent="0.3">
      <c r="E567" t="s">
        <v>2512</v>
      </c>
      <c r="F567" t="s">
        <v>2100</v>
      </c>
      <c r="G567" s="72" t="s">
        <v>1934</v>
      </c>
    </row>
    <row r="568" spans="5:7" x14ac:dyDescent="0.3">
      <c r="E568" t="s">
        <v>2624</v>
      </c>
      <c r="F568" t="s">
        <v>1403</v>
      </c>
      <c r="G568" s="72" t="s">
        <v>2130</v>
      </c>
    </row>
    <row r="569" spans="5:7" x14ac:dyDescent="0.3">
      <c r="E569" t="s">
        <v>2625</v>
      </c>
      <c r="F569" t="s">
        <v>1407</v>
      </c>
      <c r="G569" s="72" t="s">
        <v>2130</v>
      </c>
    </row>
    <row r="570" spans="5:7" x14ac:dyDescent="0.3">
      <c r="E570" t="s">
        <v>1858</v>
      </c>
      <c r="F570" t="s">
        <v>1425</v>
      </c>
      <c r="G570" s="72" t="s">
        <v>2131</v>
      </c>
    </row>
    <row r="571" spans="5:7" x14ac:dyDescent="0.3">
      <c r="E571" t="s">
        <v>2407</v>
      </c>
      <c r="F571" t="s">
        <v>1409</v>
      </c>
      <c r="G571" s="72" t="s">
        <v>2085</v>
      </c>
    </row>
    <row r="572" spans="5:7" x14ac:dyDescent="0.3">
      <c r="E572" t="s">
        <v>2400</v>
      </c>
      <c r="F572" t="s">
        <v>1403</v>
      </c>
      <c r="G572" s="72" t="s">
        <v>2130</v>
      </c>
    </row>
    <row r="573" spans="5:7" x14ac:dyDescent="0.3">
      <c r="E573" t="s">
        <v>1894</v>
      </c>
      <c r="F573" t="s">
        <v>1403</v>
      </c>
      <c r="G573" s="72" t="s">
        <v>2130</v>
      </c>
    </row>
    <row r="574" spans="5:7" x14ac:dyDescent="0.3">
      <c r="E574" t="s">
        <v>2626</v>
      </c>
      <c r="F574" t="s">
        <v>1407</v>
      </c>
      <c r="G574" s="72" t="s">
        <v>2130</v>
      </c>
    </row>
    <row r="575" spans="5:7" x14ac:dyDescent="0.3">
      <c r="E575" t="s">
        <v>2627</v>
      </c>
      <c r="F575" t="s">
        <v>1772</v>
      </c>
      <c r="G575" s="72" t="s">
        <v>2130</v>
      </c>
    </row>
    <row r="576" spans="5:7" x14ac:dyDescent="0.3">
      <c r="E576" t="s">
        <v>1804</v>
      </c>
      <c r="F576" t="s">
        <v>1409</v>
      </c>
      <c r="G576" s="72" t="s">
        <v>2130</v>
      </c>
    </row>
    <row r="577" spans="5:7" x14ac:dyDescent="0.3">
      <c r="E577" t="s">
        <v>1812</v>
      </c>
      <c r="F577" t="s">
        <v>1404</v>
      </c>
      <c r="G577" s="72" t="s">
        <v>2130</v>
      </c>
    </row>
    <row r="578" spans="5:7" x14ac:dyDescent="0.3">
      <c r="E578" t="s">
        <v>1812</v>
      </c>
      <c r="F578" t="s">
        <v>1404</v>
      </c>
      <c r="G578" s="72" t="s">
        <v>2131</v>
      </c>
    </row>
    <row r="579" spans="5:7" x14ac:dyDescent="0.3">
      <c r="E579" t="s">
        <v>2529</v>
      </c>
      <c r="F579" t="s">
        <v>1744</v>
      </c>
      <c r="G579" s="72" t="s">
        <v>2131</v>
      </c>
    </row>
    <row r="580" spans="5:7" x14ac:dyDescent="0.3">
      <c r="E580" t="s">
        <v>2628</v>
      </c>
      <c r="F580" t="s">
        <v>1404</v>
      </c>
      <c r="G580" s="72" t="s">
        <v>2085</v>
      </c>
    </row>
    <row r="581" spans="5:7" x14ac:dyDescent="0.3">
      <c r="E581" t="s">
        <v>2629</v>
      </c>
      <c r="F581" t="s">
        <v>1401</v>
      </c>
      <c r="G581" s="72" t="s">
        <v>2085</v>
      </c>
    </row>
    <row r="582" spans="5:7" x14ac:dyDescent="0.3">
      <c r="E582" t="s">
        <v>2630</v>
      </c>
      <c r="F582" t="s">
        <v>2132</v>
      </c>
      <c r="G582" s="72" t="s">
        <v>2085</v>
      </c>
    </row>
    <row r="583" spans="5:7" x14ac:dyDescent="0.3">
      <c r="E583" t="s">
        <v>2631</v>
      </c>
      <c r="F583" t="s">
        <v>1780</v>
      </c>
      <c r="G583" s="72" t="s">
        <v>2085</v>
      </c>
    </row>
    <row r="584" spans="5:7" x14ac:dyDescent="0.3">
      <c r="E584" t="s">
        <v>2147</v>
      </c>
      <c r="F584" t="s">
        <v>1407</v>
      </c>
      <c r="G584" s="72" t="s">
        <v>2130</v>
      </c>
    </row>
    <row r="585" spans="5:7" x14ac:dyDescent="0.3">
      <c r="E585" t="s">
        <v>2632</v>
      </c>
      <c r="F585" t="s">
        <v>1772</v>
      </c>
      <c r="G585" s="72" t="s">
        <v>2130</v>
      </c>
    </row>
    <row r="586" spans="5:7" x14ac:dyDescent="0.3">
      <c r="E586" t="s">
        <v>2624</v>
      </c>
      <c r="F586" t="s">
        <v>1403</v>
      </c>
      <c r="G586" s="72" t="s">
        <v>2130</v>
      </c>
    </row>
    <row r="587" spans="5:7" x14ac:dyDescent="0.3">
      <c r="E587" t="s">
        <v>2626</v>
      </c>
      <c r="F587" t="s">
        <v>1407</v>
      </c>
      <c r="G587" s="72" t="s">
        <v>2131</v>
      </c>
    </row>
    <row r="588" spans="5:7" x14ac:dyDescent="0.3">
      <c r="E588" t="s">
        <v>2400</v>
      </c>
      <c r="F588" t="s">
        <v>1403</v>
      </c>
      <c r="G588" s="72" t="s">
        <v>2130</v>
      </c>
    </row>
    <row r="589" spans="5:7" x14ac:dyDescent="0.3">
      <c r="E589" t="s">
        <v>1894</v>
      </c>
      <c r="F589" t="s">
        <v>1403</v>
      </c>
      <c r="G589" s="72" t="s">
        <v>2130</v>
      </c>
    </row>
    <row r="590" spans="5:7" x14ac:dyDescent="0.3">
      <c r="E590" t="s">
        <v>2633</v>
      </c>
      <c r="F590" t="s">
        <v>1661</v>
      </c>
      <c r="G590" s="72" t="s">
        <v>2130</v>
      </c>
    </row>
    <row r="591" spans="5:7" x14ac:dyDescent="0.3">
      <c r="E591" t="s">
        <v>2626</v>
      </c>
      <c r="F591" t="s">
        <v>1407</v>
      </c>
      <c r="G591" s="72" t="s">
        <v>2130</v>
      </c>
    </row>
    <row r="592" spans="5:7" x14ac:dyDescent="0.3">
      <c r="E592" t="s">
        <v>2634</v>
      </c>
      <c r="F592" t="s">
        <v>1619</v>
      </c>
      <c r="G592" s="72" t="s">
        <v>2130</v>
      </c>
    </row>
    <row r="593" spans="5:7" x14ac:dyDescent="0.3">
      <c r="E593" t="s">
        <v>2627</v>
      </c>
      <c r="F593" t="s">
        <v>1772</v>
      </c>
      <c r="G593" s="72" t="s">
        <v>2130</v>
      </c>
    </row>
    <row r="594" spans="5:7" x14ac:dyDescent="0.3">
      <c r="E594" t="s">
        <v>2635</v>
      </c>
      <c r="F594" t="s">
        <v>1661</v>
      </c>
      <c r="G594" s="72" t="s">
        <v>2130</v>
      </c>
    </row>
    <row r="595" spans="5:7" x14ac:dyDescent="0.3">
      <c r="E595" t="s">
        <v>2147</v>
      </c>
      <c r="F595" t="s">
        <v>1407</v>
      </c>
      <c r="G595" s="72" t="s">
        <v>2130</v>
      </c>
    </row>
    <row r="596" spans="5:7" x14ac:dyDescent="0.3">
      <c r="E596" t="s">
        <v>2632</v>
      </c>
      <c r="F596" t="s">
        <v>1772</v>
      </c>
      <c r="G596" s="72" t="s">
        <v>2130</v>
      </c>
    </row>
    <row r="597" spans="5:7" x14ac:dyDescent="0.3">
      <c r="E597" t="s">
        <v>2636</v>
      </c>
      <c r="F597" t="s">
        <v>1668</v>
      </c>
      <c r="G597" s="72">
        <v>26</v>
      </c>
    </row>
    <row r="598" spans="5:7" x14ac:dyDescent="0.3">
      <c r="E598" t="s">
        <v>1808</v>
      </c>
      <c r="F598" t="s">
        <v>1759</v>
      </c>
      <c r="G598" s="72">
        <v>26</v>
      </c>
    </row>
    <row r="599" spans="5:7" x14ac:dyDescent="0.3">
      <c r="E599" t="s">
        <v>2462</v>
      </c>
      <c r="F599" t="s">
        <v>1710</v>
      </c>
      <c r="G599" s="72">
        <v>26</v>
      </c>
    </row>
    <row r="600" spans="5:7" x14ac:dyDescent="0.3">
      <c r="E600" t="s">
        <v>1814</v>
      </c>
      <c r="F600" t="s">
        <v>1779</v>
      </c>
      <c r="G600" s="72">
        <v>26</v>
      </c>
    </row>
    <row r="601" spans="5:7" x14ac:dyDescent="0.3">
      <c r="E601" t="s">
        <v>2620</v>
      </c>
      <c r="F601" t="s">
        <v>1411</v>
      </c>
      <c r="G601" s="72">
        <v>26</v>
      </c>
    </row>
    <row r="602" spans="5:7" x14ac:dyDescent="0.3">
      <c r="E602" t="s">
        <v>2637</v>
      </c>
      <c r="F602" t="s">
        <v>1673</v>
      </c>
      <c r="G602" s="72">
        <v>26</v>
      </c>
    </row>
    <row r="603" spans="5:7" x14ac:dyDescent="0.3">
      <c r="E603" t="s">
        <v>2569</v>
      </c>
      <c r="F603" t="s">
        <v>1401</v>
      </c>
      <c r="G603" s="72" t="s">
        <v>2082</v>
      </c>
    </row>
    <row r="604" spans="5:7" x14ac:dyDescent="0.3">
      <c r="E604" t="s">
        <v>2638</v>
      </c>
      <c r="F604" t="s">
        <v>1661</v>
      </c>
      <c r="G604" s="72" t="s">
        <v>2082</v>
      </c>
    </row>
    <row r="605" spans="5:7" x14ac:dyDescent="0.3">
      <c r="E605" t="s">
        <v>2639</v>
      </c>
      <c r="F605" t="s">
        <v>2057</v>
      </c>
      <c r="G605" s="72" t="s">
        <v>2082</v>
      </c>
    </row>
    <row r="606" spans="5:7" x14ac:dyDescent="0.3">
      <c r="E606" t="s">
        <v>2640</v>
      </c>
      <c r="F606" t="s">
        <v>2057</v>
      </c>
      <c r="G606" s="72" t="s">
        <v>2082</v>
      </c>
    </row>
    <row r="607" spans="5:7" x14ac:dyDescent="0.3">
      <c r="E607" t="s">
        <v>2111</v>
      </c>
      <c r="F607" t="s">
        <v>2108</v>
      </c>
      <c r="G607" s="72" t="s">
        <v>2111</v>
      </c>
    </row>
    <row r="608" spans="5:7" x14ac:dyDescent="0.3">
      <c r="E608" t="s">
        <v>2111</v>
      </c>
      <c r="F608" t="s">
        <v>2108</v>
      </c>
      <c r="G608" s="72" t="s">
        <v>2111</v>
      </c>
    </row>
    <row r="609" spans="5:7" x14ac:dyDescent="0.3">
      <c r="E609" t="s">
        <v>2112</v>
      </c>
      <c r="F609" t="s">
        <v>2108</v>
      </c>
      <c r="G609" s="72" t="s">
        <v>2112</v>
      </c>
    </row>
    <row r="610" spans="5:7" x14ac:dyDescent="0.3">
      <c r="E610" t="s">
        <v>2641</v>
      </c>
      <c r="F610" t="s">
        <v>1440</v>
      </c>
      <c r="G610" s="72" t="s">
        <v>1890</v>
      </c>
    </row>
    <row r="611" spans="5:7" x14ac:dyDescent="0.3">
      <c r="E611" t="s">
        <v>2641</v>
      </c>
      <c r="F611" t="s">
        <v>1440</v>
      </c>
      <c r="G611" s="72" t="s">
        <v>1934</v>
      </c>
    </row>
    <row r="612" spans="5:7" x14ac:dyDescent="0.3">
      <c r="E612" t="s">
        <v>2158</v>
      </c>
      <c r="F612" t="s">
        <v>2054</v>
      </c>
      <c r="G612" s="72" t="s">
        <v>2082</v>
      </c>
    </row>
    <row r="613" spans="5:7" x14ac:dyDescent="0.3">
      <c r="E613" t="s">
        <v>2642</v>
      </c>
      <c r="F613" t="s">
        <v>2133</v>
      </c>
      <c r="G613" s="72" t="s">
        <v>2082</v>
      </c>
    </row>
    <row r="614" spans="5:7" x14ac:dyDescent="0.3">
      <c r="E614" t="s">
        <v>2553</v>
      </c>
      <c r="F614" t="s">
        <v>1606</v>
      </c>
      <c r="G614" s="72">
        <v>26</v>
      </c>
    </row>
    <row r="615" spans="5:7" x14ac:dyDescent="0.3">
      <c r="E615" t="s">
        <v>2621</v>
      </c>
      <c r="F615" t="s">
        <v>2121</v>
      </c>
      <c r="G615" s="72">
        <v>26</v>
      </c>
    </row>
    <row r="616" spans="5:7" x14ac:dyDescent="0.3">
      <c r="E616" t="s">
        <v>2450</v>
      </c>
      <c r="F616" t="s">
        <v>1407</v>
      </c>
      <c r="G616" s="72" t="s">
        <v>2130</v>
      </c>
    </row>
    <row r="617" spans="5:7" x14ac:dyDescent="0.3">
      <c r="E617" t="s">
        <v>2457</v>
      </c>
      <c r="F617" t="s">
        <v>1403</v>
      </c>
      <c r="G617" s="72" t="s">
        <v>2130</v>
      </c>
    </row>
    <row r="618" spans="5:7" x14ac:dyDescent="0.3">
      <c r="E618" t="s">
        <v>2459</v>
      </c>
      <c r="F618" t="s">
        <v>1407</v>
      </c>
      <c r="G618" s="72" t="s">
        <v>2130</v>
      </c>
    </row>
    <row r="619" spans="5:7" x14ac:dyDescent="0.3">
      <c r="E619" t="s">
        <v>1435</v>
      </c>
      <c r="F619" t="s">
        <v>1445</v>
      </c>
      <c r="G619" s="72" t="s">
        <v>1890</v>
      </c>
    </row>
    <row r="620" spans="5:7" x14ac:dyDescent="0.3">
      <c r="E620" t="s">
        <v>2643</v>
      </c>
      <c r="F620" t="s">
        <v>1447</v>
      </c>
      <c r="G620" s="72" t="s">
        <v>1890</v>
      </c>
    </row>
    <row r="621" spans="5:7" x14ac:dyDescent="0.3">
      <c r="E621" t="s">
        <v>2643</v>
      </c>
      <c r="F621" t="s">
        <v>1447</v>
      </c>
      <c r="G621" s="72" t="s">
        <v>1934</v>
      </c>
    </row>
    <row r="622" spans="5:7" x14ac:dyDescent="0.3">
      <c r="E622" t="s">
        <v>2644</v>
      </c>
      <c r="F622" t="s">
        <v>2051</v>
      </c>
      <c r="G622" s="72" t="s">
        <v>2083</v>
      </c>
    </row>
    <row r="623" spans="5:7" x14ac:dyDescent="0.3">
      <c r="E623" t="s">
        <v>2645</v>
      </c>
      <c r="F623" t="s">
        <v>2051</v>
      </c>
      <c r="G623" s="72" t="s">
        <v>2083</v>
      </c>
    </row>
    <row r="624" spans="5:7" x14ac:dyDescent="0.3">
      <c r="E624" t="s">
        <v>2646</v>
      </c>
      <c r="F624" t="s">
        <v>1619</v>
      </c>
      <c r="G624" s="72">
        <v>26</v>
      </c>
    </row>
    <row r="625" spans="5:7" x14ac:dyDescent="0.3">
      <c r="E625" t="s">
        <v>2647</v>
      </c>
      <c r="F625" t="s">
        <v>2023</v>
      </c>
      <c r="G625" s="72">
        <v>26</v>
      </c>
    </row>
    <row r="626" spans="5:7" x14ac:dyDescent="0.3">
      <c r="E626" t="s">
        <v>2648</v>
      </c>
      <c r="F626" t="s">
        <v>2023</v>
      </c>
      <c r="G626" s="72">
        <v>26</v>
      </c>
    </row>
    <row r="627" spans="5:7" x14ac:dyDescent="0.3">
      <c r="E627" t="s">
        <v>2649</v>
      </c>
      <c r="F627" t="s">
        <v>2023</v>
      </c>
      <c r="G627" s="72">
        <v>26</v>
      </c>
    </row>
    <row r="628" spans="5:7" x14ac:dyDescent="0.3">
      <c r="E628" t="s">
        <v>2650</v>
      </c>
      <c r="F628" t="s">
        <v>2023</v>
      </c>
      <c r="G628" s="72">
        <v>26</v>
      </c>
    </row>
    <row r="629" spans="5:7" x14ac:dyDescent="0.3">
      <c r="E629" t="s">
        <v>2651</v>
      </c>
      <c r="F629" t="s">
        <v>2134</v>
      </c>
      <c r="G629" s="72" t="s">
        <v>1890</v>
      </c>
    </row>
    <row r="630" spans="5:7" x14ac:dyDescent="0.3">
      <c r="E630" t="s">
        <v>2651</v>
      </c>
      <c r="F630" t="s">
        <v>2134</v>
      </c>
      <c r="G630" s="72" t="s">
        <v>1934</v>
      </c>
    </row>
    <row r="631" spans="5:7" x14ac:dyDescent="0.3">
      <c r="E631" t="s">
        <v>2541</v>
      </c>
      <c r="F631" t="s">
        <v>2091</v>
      </c>
      <c r="G631" s="72" t="s">
        <v>2082</v>
      </c>
    </row>
    <row r="632" spans="5:7" x14ac:dyDescent="0.3">
      <c r="E632" t="s">
        <v>1871</v>
      </c>
      <c r="F632" t="s">
        <v>1678</v>
      </c>
      <c r="G632" s="72">
        <v>26</v>
      </c>
    </row>
    <row r="633" spans="5:7" x14ac:dyDescent="0.3">
      <c r="E633" t="s">
        <v>2456</v>
      </c>
      <c r="F633" t="s">
        <v>1713</v>
      </c>
      <c r="G633" s="72">
        <v>26</v>
      </c>
    </row>
    <row r="634" spans="5:7" x14ac:dyDescent="0.3">
      <c r="E634" t="s">
        <v>2647</v>
      </c>
      <c r="F634" t="s">
        <v>2023</v>
      </c>
      <c r="G634" s="72">
        <v>26</v>
      </c>
    </row>
    <row r="635" spans="5:7" x14ac:dyDescent="0.3">
      <c r="E635" t="s">
        <v>2648</v>
      </c>
      <c r="F635" t="s">
        <v>2023</v>
      </c>
      <c r="G635" s="72">
        <v>26</v>
      </c>
    </row>
    <row r="636" spans="5:7" x14ac:dyDescent="0.3">
      <c r="E636" t="s">
        <v>2649</v>
      </c>
      <c r="F636" t="s">
        <v>2023</v>
      </c>
      <c r="G636" s="72">
        <v>26</v>
      </c>
    </row>
    <row r="637" spans="5:7" x14ac:dyDescent="0.3">
      <c r="E637" t="s">
        <v>2650</v>
      </c>
      <c r="F637" t="s">
        <v>2023</v>
      </c>
      <c r="G637" s="72">
        <v>26</v>
      </c>
    </row>
    <row r="638" spans="5:7" x14ac:dyDescent="0.3">
      <c r="E638" t="s">
        <v>2574</v>
      </c>
      <c r="F638" t="s">
        <v>2119</v>
      </c>
      <c r="G638" s="72">
        <v>26</v>
      </c>
    </row>
    <row r="639" spans="5:7" x14ac:dyDescent="0.3">
      <c r="E639" t="s">
        <v>2450</v>
      </c>
      <c r="F639" t="s">
        <v>1407</v>
      </c>
      <c r="G639" s="72" t="s">
        <v>2130</v>
      </c>
    </row>
    <row r="640" spans="5:7" x14ac:dyDescent="0.3">
      <c r="E640" t="s">
        <v>2457</v>
      </c>
      <c r="F640" t="s">
        <v>1403</v>
      </c>
      <c r="G640" s="72" t="s">
        <v>2130</v>
      </c>
    </row>
    <row r="641" spans="5:7" x14ac:dyDescent="0.3">
      <c r="E641" t="s">
        <v>2459</v>
      </c>
      <c r="F641" t="s">
        <v>1407</v>
      </c>
      <c r="G641" s="72" t="s">
        <v>2130</v>
      </c>
    </row>
    <row r="642" spans="5:7" x14ac:dyDescent="0.3">
      <c r="E642" t="s">
        <v>1795</v>
      </c>
      <c r="F642" t="s">
        <v>2135</v>
      </c>
      <c r="G642" s="72" t="s">
        <v>1890</v>
      </c>
    </row>
    <row r="643" spans="5:7" x14ac:dyDescent="0.3">
      <c r="E643" t="s">
        <v>1795</v>
      </c>
      <c r="F643" t="s">
        <v>2135</v>
      </c>
      <c r="G643" s="72" t="s">
        <v>1934</v>
      </c>
    </row>
    <row r="644" spans="5:7" x14ac:dyDescent="0.3">
      <c r="E644" t="s">
        <v>2652</v>
      </c>
      <c r="F644" t="s">
        <v>2051</v>
      </c>
      <c r="G644" s="72" t="s">
        <v>2083</v>
      </c>
    </row>
    <row r="645" spans="5:7" x14ac:dyDescent="0.3">
      <c r="E645" t="s">
        <v>2548</v>
      </c>
      <c r="F645" t="s">
        <v>2091</v>
      </c>
      <c r="G645" s="72" t="s">
        <v>2083</v>
      </c>
    </row>
    <row r="646" spans="5:7" x14ac:dyDescent="0.3">
      <c r="E646" t="s">
        <v>2652</v>
      </c>
      <c r="F646" t="s">
        <v>2057</v>
      </c>
      <c r="G646" s="72" t="s">
        <v>2082</v>
      </c>
    </row>
    <row r="647" spans="5:7" x14ac:dyDescent="0.3">
      <c r="E647" t="s">
        <v>2653</v>
      </c>
      <c r="F647" t="s">
        <v>2057</v>
      </c>
      <c r="G647" s="72" t="s">
        <v>2082</v>
      </c>
    </row>
    <row r="648" spans="5:7" x14ac:dyDescent="0.3">
      <c r="E648" t="s">
        <v>2654</v>
      </c>
      <c r="F648" t="s">
        <v>1407</v>
      </c>
      <c r="G648" s="72" t="s">
        <v>2130</v>
      </c>
    </row>
    <row r="649" spans="5:7" x14ac:dyDescent="0.3">
      <c r="E649" t="s">
        <v>2655</v>
      </c>
      <c r="F649" t="s">
        <v>1407</v>
      </c>
      <c r="G649" s="72" t="s">
        <v>2130</v>
      </c>
    </row>
    <row r="650" spans="5:7" x14ac:dyDescent="0.3">
      <c r="E650" t="s">
        <v>2656</v>
      </c>
      <c r="F650" t="s">
        <v>1407</v>
      </c>
      <c r="G650" s="72" t="s">
        <v>2130</v>
      </c>
    </row>
    <row r="651" spans="5:7" x14ac:dyDescent="0.3">
      <c r="E651" t="s">
        <v>2657</v>
      </c>
      <c r="F651" t="s">
        <v>1407</v>
      </c>
      <c r="G651" s="72" t="s">
        <v>2130</v>
      </c>
    </row>
    <row r="652" spans="5:7" x14ac:dyDescent="0.3">
      <c r="E652" t="s">
        <v>2658</v>
      </c>
      <c r="F652" t="s">
        <v>1407</v>
      </c>
      <c r="G652" s="72" t="s">
        <v>2130</v>
      </c>
    </row>
    <row r="653" spans="5:7" x14ac:dyDescent="0.3">
      <c r="E653" t="s">
        <v>2659</v>
      </c>
      <c r="F653" t="s">
        <v>2088</v>
      </c>
      <c r="G653" s="72">
        <v>26</v>
      </c>
    </row>
    <row r="654" spans="5:7" x14ac:dyDescent="0.3">
      <c r="E654" t="s">
        <v>2660</v>
      </c>
      <c r="F654" t="s">
        <v>2088</v>
      </c>
      <c r="G654" s="72">
        <v>26</v>
      </c>
    </row>
    <row r="655" spans="5:7" x14ac:dyDescent="0.3">
      <c r="E655" t="s">
        <v>2661</v>
      </c>
      <c r="F655" t="s">
        <v>2088</v>
      </c>
      <c r="G655" s="72">
        <v>26</v>
      </c>
    </row>
    <row r="656" spans="5:7" x14ac:dyDescent="0.3">
      <c r="E656" t="s">
        <v>2662</v>
      </c>
      <c r="F656" t="s">
        <v>2088</v>
      </c>
      <c r="G656" s="72">
        <v>26</v>
      </c>
    </row>
    <row r="657" spans="5:7" x14ac:dyDescent="0.3">
      <c r="E657" t="s">
        <v>2659</v>
      </c>
      <c r="F657" t="s">
        <v>2088</v>
      </c>
      <c r="G657" s="72">
        <v>26</v>
      </c>
    </row>
    <row r="658" spans="5:7" x14ac:dyDescent="0.3">
      <c r="E658" t="s">
        <v>2660</v>
      </c>
      <c r="F658" t="s">
        <v>2088</v>
      </c>
      <c r="G658" s="72">
        <v>26</v>
      </c>
    </row>
    <row r="659" spans="5:7" x14ac:dyDescent="0.3">
      <c r="E659" t="s">
        <v>2661</v>
      </c>
      <c r="F659" t="s">
        <v>2088</v>
      </c>
      <c r="G659" s="72">
        <v>26</v>
      </c>
    </row>
    <row r="660" spans="5:7" x14ac:dyDescent="0.3">
      <c r="E660" t="s">
        <v>2662</v>
      </c>
      <c r="F660" t="s">
        <v>2088</v>
      </c>
      <c r="G660" s="72">
        <v>26</v>
      </c>
    </row>
    <row r="661" spans="5:7" x14ac:dyDescent="0.3">
      <c r="E661" t="s">
        <v>2663</v>
      </c>
      <c r="F661" t="s">
        <v>1403</v>
      </c>
      <c r="G661" s="72" t="s">
        <v>2130</v>
      </c>
    </row>
    <row r="662" spans="5:7" x14ac:dyDescent="0.3">
      <c r="E662" t="s">
        <v>2664</v>
      </c>
      <c r="F662" t="s">
        <v>1407</v>
      </c>
      <c r="G662" s="72" t="s">
        <v>2130</v>
      </c>
    </row>
    <row r="663" spans="5:7" x14ac:dyDescent="0.3">
      <c r="E663" t="s">
        <v>2655</v>
      </c>
      <c r="F663" t="s">
        <v>1407</v>
      </c>
      <c r="G663" s="72" t="s">
        <v>2130</v>
      </c>
    </row>
    <row r="664" spans="5:7" x14ac:dyDescent="0.3">
      <c r="E664" t="s">
        <v>2633</v>
      </c>
      <c r="F664" t="s">
        <v>1661</v>
      </c>
      <c r="G664" s="72" t="s">
        <v>2130</v>
      </c>
    </row>
    <row r="665" spans="5:7" x14ac:dyDescent="0.3">
      <c r="E665" t="s">
        <v>2657</v>
      </c>
      <c r="F665" t="s">
        <v>1407</v>
      </c>
      <c r="G665" s="72" t="s">
        <v>2130</v>
      </c>
    </row>
    <row r="666" spans="5:7" x14ac:dyDescent="0.3">
      <c r="E666" t="s">
        <v>2658</v>
      </c>
      <c r="F666" t="s">
        <v>1407</v>
      </c>
      <c r="G666" s="72" t="s">
        <v>2130</v>
      </c>
    </row>
    <row r="667" spans="5:7" x14ac:dyDescent="0.3">
      <c r="E667" t="s">
        <v>2635</v>
      </c>
      <c r="F667" t="s">
        <v>1661</v>
      </c>
      <c r="G667" s="72" t="s">
        <v>2130</v>
      </c>
    </row>
    <row r="668" spans="5:7" x14ac:dyDescent="0.3">
      <c r="E668" t="s">
        <v>2665</v>
      </c>
      <c r="F668" t="s">
        <v>2091</v>
      </c>
      <c r="G668" s="72" t="s">
        <v>2082</v>
      </c>
    </row>
    <row r="669" spans="5:7" x14ac:dyDescent="0.3">
      <c r="E669" t="s">
        <v>2618</v>
      </c>
      <c r="F669" t="s">
        <v>1751</v>
      </c>
      <c r="G669" s="72" t="s">
        <v>2083</v>
      </c>
    </row>
    <row r="670" spans="5:7" x14ac:dyDescent="0.3">
      <c r="E670" t="s">
        <v>2618</v>
      </c>
      <c r="F670" t="s">
        <v>1411</v>
      </c>
      <c r="G670" s="72" t="s">
        <v>2082</v>
      </c>
    </row>
    <row r="671" spans="5:7" x14ac:dyDescent="0.3">
      <c r="E671" t="s">
        <v>1679</v>
      </c>
      <c r="F671" t="s">
        <v>1679</v>
      </c>
      <c r="G671" s="72">
        <v>26</v>
      </c>
    </row>
    <row r="672" spans="5:7" x14ac:dyDescent="0.3">
      <c r="E672" t="s">
        <v>1676</v>
      </c>
      <c r="F672" t="s">
        <v>1676</v>
      </c>
      <c r="G672" s="72">
        <v>26</v>
      </c>
    </row>
    <row r="673" spans="5:7" x14ac:dyDescent="0.3">
      <c r="E673" t="s">
        <v>2666</v>
      </c>
      <c r="F673" t="s">
        <v>1556</v>
      </c>
      <c r="G673" s="72" t="s">
        <v>2082</v>
      </c>
    </row>
    <row r="674" spans="5:7" x14ac:dyDescent="0.3">
      <c r="E674" t="s">
        <v>2667</v>
      </c>
      <c r="F674" t="s">
        <v>1621</v>
      </c>
      <c r="G674" s="72" t="s">
        <v>1934</v>
      </c>
    </row>
    <row r="675" spans="5:7" x14ac:dyDescent="0.3">
      <c r="E675" t="s">
        <v>2667</v>
      </c>
      <c r="F675" t="s">
        <v>1621</v>
      </c>
      <c r="G675" s="72" t="s">
        <v>1890</v>
      </c>
    </row>
    <row r="676" spans="5:7" x14ac:dyDescent="0.3">
      <c r="E676" t="s">
        <v>2668</v>
      </c>
      <c r="F676" t="s">
        <v>1744</v>
      </c>
      <c r="G676" s="72">
        <v>26</v>
      </c>
    </row>
    <row r="677" spans="5:7" x14ac:dyDescent="0.3">
      <c r="E677" t="s">
        <v>2669</v>
      </c>
      <c r="F677" t="s">
        <v>1621</v>
      </c>
      <c r="G677" s="72" t="s">
        <v>1890</v>
      </c>
    </row>
    <row r="678" spans="5:7" x14ac:dyDescent="0.3">
      <c r="E678" t="s">
        <v>2669</v>
      </c>
      <c r="F678" t="s">
        <v>1602</v>
      </c>
      <c r="G678" s="72" t="s">
        <v>1933</v>
      </c>
    </row>
    <row r="679" spans="5:7" x14ac:dyDescent="0.3">
      <c r="E679" t="s">
        <v>2455</v>
      </c>
      <c r="F679" t="s">
        <v>1621</v>
      </c>
      <c r="G679" s="72" t="s">
        <v>1934</v>
      </c>
    </row>
    <row r="680" spans="5:7" x14ac:dyDescent="0.3">
      <c r="E680" t="s">
        <v>2669</v>
      </c>
      <c r="F680" t="s">
        <v>1621</v>
      </c>
      <c r="G680" s="72" t="s">
        <v>1934</v>
      </c>
    </row>
    <row r="681" spans="5:7" x14ac:dyDescent="0.3">
      <c r="E681" t="s">
        <v>2670</v>
      </c>
      <c r="F681" t="s">
        <v>1391</v>
      </c>
      <c r="G681" s="72" t="s">
        <v>2083</v>
      </c>
    </row>
    <row r="682" spans="5:7" x14ac:dyDescent="0.3">
      <c r="E682" t="s">
        <v>2670</v>
      </c>
      <c r="F682" t="s">
        <v>1391</v>
      </c>
      <c r="G682" s="72" t="s">
        <v>2082</v>
      </c>
    </row>
    <row r="683" spans="5:7" x14ac:dyDescent="0.3">
      <c r="E683" t="s">
        <v>1804</v>
      </c>
      <c r="F683" t="s">
        <v>1409</v>
      </c>
      <c r="G683" s="72" t="s">
        <v>1933</v>
      </c>
    </row>
    <row r="684" spans="5:7" x14ac:dyDescent="0.3">
      <c r="E684" t="s">
        <v>2601</v>
      </c>
      <c r="F684" t="s">
        <v>2101</v>
      </c>
      <c r="G684" s="72" t="s">
        <v>1934</v>
      </c>
    </row>
    <row r="685" spans="5:7" x14ac:dyDescent="0.3">
      <c r="E685" t="s">
        <v>2671</v>
      </c>
      <c r="F685" t="s">
        <v>2057</v>
      </c>
      <c r="G685" s="72" t="s">
        <v>2082</v>
      </c>
    </row>
    <row r="686" spans="5:7" x14ac:dyDescent="0.3">
      <c r="E686" t="s">
        <v>2601</v>
      </c>
      <c r="F686" t="s">
        <v>2101</v>
      </c>
      <c r="G686" s="72" t="s">
        <v>1890</v>
      </c>
    </row>
    <row r="687" spans="5:7" x14ac:dyDescent="0.3">
      <c r="E687" t="s">
        <v>2455</v>
      </c>
      <c r="F687" t="s">
        <v>1621</v>
      </c>
      <c r="G687" s="72" t="s">
        <v>1890</v>
      </c>
    </row>
    <row r="688" spans="5:7" x14ac:dyDescent="0.3">
      <c r="E688" t="s">
        <v>2672</v>
      </c>
      <c r="F688" t="s">
        <v>1618</v>
      </c>
      <c r="G688" s="72">
        <v>26</v>
      </c>
    </row>
    <row r="689" spans="5:7" x14ac:dyDescent="0.3">
      <c r="E689" t="s">
        <v>2673</v>
      </c>
      <c r="F689" t="s">
        <v>2121</v>
      </c>
      <c r="G689" s="72">
        <v>26</v>
      </c>
    </row>
    <row r="690" spans="5:7" x14ac:dyDescent="0.3">
      <c r="E690" t="s">
        <v>2674</v>
      </c>
      <c r="F690" t="s">
        <v>1751</v>
      </c>
      <c r="G690" s="72" t="s">
        <v>1890</v>
      </c>
    </row>
    <row r="691" spans="5:7" x14ac:dyDescent="0.3">
      <c r="E691" t="s">
        <v>2400</v>
      </c>
      <c r="F691" t="s">
        <v>1451</v>
      </c>
      <c r="G691" s="72" t="s">
        <v>1890</v>
      </c>
    </row>
    <row r="692" spans="5:7" x14ac:dyDescent="0.3">
      <c r="E692" t="s">
        <v>2486</v>
      </c>
      <c r="F692" t="s">
        <v>1429</v>
      </c>
      <c r="G692" s="72" t="s">
        <v>2131</v>
      </c>
    </row>
    <row r="693" spans="5:7" x14ac:dyDescent="0.3">
      <c r="E693" t="s">
        <v>2675</v>
      </c>
      <c r="F693" t="s">
        <v>1735</v>
      </c>
      <c r="G693" s="72" t="s">
        <v>1890</v>
      </c>
    </row>
    <row r="694" spans="5:7" x14ac:dyDescent="0.3">
      <c r="E694" t="s">
        <v>2676</v>
      </c>
      <c r="F694" t="s">
        <v>1450</v>
      </c>
      <c r="G694" s="72" t="s">
        <v>1890</v>
      </c>
    </row>
    <row r="695" spans="5:7" x14ac:dyDescent="0.3">
      <c r="E695" t="s">
        <v>2676</v>
      </c>
      <c r="F695" t="s">
        <v>1408</v>
      </c>
      <c r="G695" s="72" t="s">
        <v>1933</v>
      </c>
    </row>
    <row r="696" spans="5:7" x14ac:dyDescent="0.3">
      <c r="E696" t="s">
        <v>2674</v>
      </c>
      <c r="F696" t="s">
        <v>1751</v>
      </c>
      <c r="G696" s="72" t="s">
        <v>1934</v>
      </c>
    </row>
    <row r="697" spans="5:7" x14ac:dyDescent="0.3">
      <c r="E697" t="s">
        <v>2400</v>
      </c>
      <c r="F697" t="s">
        <v>1451</v>
      </c>
      <c r="G697" s="72" t="s">
        <v>1934</v>
      </c>
    </row>
    <row r="698" spans="5:7" x14ac:dyDescent="0.3">
      <c r="E698" t="s">
        <v>2675</v>
      </c>
      <c r="F698" t="s">
        <v>1735</v>
      </c>
      <c r="G698" s="72" t="s">
        <v>1934</v>
      </c>
    </row>
    <row r="699" spans="5:7" x14ac:dyDescent="0.3">
      <c r="E699" t="s">
        <v>2676</v>
      </c>
      <c r="F699" t="s">
        <v>1450</v>
      </c>
      <c r="G699" s="72" t="s">
        <v>1934</v>
      </c>
    </row>
    <row r="700" spans="5:7" x14ac:dyDescent="0.3">
      <c r="E700" t="s">
        <v>2677</v>
      </c>
      <c r="F700" t="s">
        <v>2057</v>
      </c>
      <c r="G700" s="72" t="s">
        <v>2082</v>
      </c>
    </row>
    <row r="701" spans="5:7" x14ac:dyDescent="0.3">
      <c r="E701" t="s">
        <v>2678</v>
      </c>
      <c r="F701" t="s">
        <v>1735</v>
      </c>
      <c r="G701" s="72" t="s">
        <v>1890</v>
      </c>
    </row>
    <row r="702" spans="5:7" x14ac:dyDescent="0.3">
      <c r="E702" t="s">
        <v>2678</v>
      </c>
      <c r="F702" t="s">
        <v>1735</v>
      </c>
      <c r="G702" s="72" t="s">
        <v>1934</v>
      </c>
    </row>
    <row r="703" spans="5:7" x14ac:dyDescent="0.3">
      <c r="E703" t="s">
        <v>2627</v>
      </c>
      <c r="F703" t="s">
        <v>2103</v>
      </c>
      <c r="G703" s="72" t="s">
        <v>1890</v>
      </c>
    </row>
    <row r="704" spans="5:7" x14ac:dyDescent="0.3">
      <c r="E704" t="s">
        <v>2533</v>
      </c>
      <c r="F704" t="s">
        <v>2104</v>
      </c>
      <c r="G704" s="72" t="s">
        <v>1890</v>
      </c>
    </row>
    <row r="705" spans="5:7" x14ac:dyDescent="0.3">
      <c r="E705" t="s">
        <v>2679</v>
      </c>
      <c r="F705" t="s">
        <v>2051</v>
      </c>
      <c r="G705" s="72" t="s">
        <v>2083</v>
      </c>
    </row>
    <row r="706" spans="5:7" x14ac:dyDescent="0.3">
      <c r="E706" t="s">
        <v>2578</v>
      </c>
      <c r="F706" t="s">
        <v>2051</v>
      </c>
      <c r="G706" s="72" t="s">
        <v>2083</v>
      </c>
    </row>
    <row r="707" spans="5:7" x14ac:dyDescent="0.3">
      <c r="E707" t="s">
        <v>2680</v>
      </c>
      <c r="F707" t="s">
        <v>2057</v>
      </c>
      <c r="G707" s="72" t="s">
        <v>2082</v>
      </c>
    </row>
    <row r="708" spans="5:7" x14ac:dyDescent="0.3">
      <c r="E708" t="s">
        <v>2679</v>
      </c>
      <c r="F708" t="s">
        <v>2057</v>
      </c>
      <c r="G708" s="72" t="s">
        <v>2082</v>
      </c>
    </row>
    <row r="709" spans="5:7" x14ac:dyDescent="0.3">
      <c r="E709" t="s">
        <v>2681</v>
      </c>
      <c r="F709" t="s">
        <v>2057</v>
      </c>
      <c r="G709" s="72" t="s">
        <v>2082</v>
      </c>
    </row>
    <row r="710" spans="5:7" x14ac:dyDescent="0.3">
      <c r="E710" t="s">
        <v>1655</v>
      </c>
      <c r="F710" t="s">
        <v>1655</v>
      </c>
      <c r="G710" s="72">
        <v>26</v>
      </c>
    </row>
    <row r="711" spans="5:7" x14ac:dyDescent="0.3">
      <c r="E711" t="s">
        <v>2551</v>
      </c>
      <c r="F711" t="s">
        <v>1676</v>
      </c>
      <c r="G711" s="72">
        <v>26</v>
      </c>
    </row>
    <row r="712" spans="5:7" x14ac:dyDescent="0.3">
      <c r="E712" t="s">
        <v>2433</v>
      </c>
      <c r="F712" t="s">
        <v>2101</v>
      </c>
      <c r="G712" s="72" t="s">
        <v>1934</v>
      </c>
    </row>
    <row r="713" spans="5:7" x14ac:dyDescent="0.3">
      <c r="E713" t="s">
        <v>2682</v>
      </c>
      <c r="F713" t="s">
        <v>1744</v>
      </c>
      <c r="G713" s="72">
        <v>26</v>
      </c>
    </row>
    <row r="714" spans="5:7" x14ac:dyDescent="0.3">
      <c r="E714" t="s">
        <v>2683</v>
      </c>
      <c r="F714" t="s">
        <v>2091</v>
      </c>
      <c r="G714" s="72">
        <v>26</v>
      </c>
    </row>
    <row r="715" spans="5:7" x14ac:dyDescent="0.3">
      <c r="E715" t="s">
        <v>2684</v>
      </c>
      <c r="F715" t="s">
        <v>2019</v>
      </c>
      <c r="G715" s="72">
        <v>26</v>
      </c>
    </row>
    <row r="716" spans="5:7" x14ac:dyDescent="0.3">
      <c r="E716" t="s">
        <v>2685</v>
      </c>
      <c r="F716" t="s">
        <v>1735</v>
      </c>
      <c r="G716" s="72" t="s">
        <v>1890</v>
      </c>
    </row>
    <row r="717" spans="5:7" x14ac:dyDescent="0.3">
      <c r="E717" t="s">
        <v>2451</v>
      </c>
      <c r="F717" t="s">
        <v>1749</v>
      </c>
      <c r="G717" s="72" t="s">
        <v>1933</v>
      </c>
    </row>
    <row r="718" spans="5:7" x14ac:dyDescent="0.3">
      <c r="E718" t="s">
        <v>2452</v>
      </c>
      <c r="F718" t="s">
        <v>1749</v>
      </c>
      <c r="G718" s="72" t="s">
        <v>1933</v>
      </c>
    </row>
    <row r="719" spans="5:7" x14ac:dyDescent="0.3">
      <c r="E719" t="s">
        <v>2685</v>
      </c>
      <c r="F719" t="s">
        <v>1748</v>
      </c>
      <c r="G719" s="72" t="s">
        <v>1933</v>
      </c>
    </row>
    <row r="720" spans="5:7" x14ac:dyDescent="0.3">
      <c r="E720" t="s">
        <v>2685</v>
      </c>
      <c r="F720" t="s">
        <v>1735</v>
      </c>
      <c r="G720" s="72" t="s">
        <v>1934</v>
      </c>
    </row>
    <row r="721" spans="5:7" x14ac:dyDescent="0.3">
      <c r="E721" t="s">
        <v>2547</v>
      </c>
      <c r="F721" t="s">
        <v>2057</v>
      </c>
      <c r="G721" s="72" t="s">
        <v>2083</v>
      </c>
    </row>
    <row r="722" spans="5:7" x14ac:dyDescent="0.3">
      <c r="E722" t="s">
        <v>2677</v>
      </c>
      <c r="F722" t="s">
        <v>2051</v>
      </c>
      <c r="G722" s="72" t="s">
        <v>2083</v>
      </c>
    </row>
    <row r="723" spans="5:7" x14ac:dyDescent="0.3">
      <c r="E723" t="s">
        <v>2640</v>
      </c>
      <c r="F723" t="s">
        <v>2057</v>
      </c>
      <c r="G723" s="72" t="s">
        <v>2082</v>
      </c>
    </row>
    <row r="724" spans="5:7" x14ac:dyDescent="0.3">
      <c r="E724" t="s">
        <v>2684</v>
      </c>
      <c r="F724" t="s">
        <v>2019</v>
      </c>
      <c r="G724" s="72">
        <v>26</v>
      </c>
    </row>
    <row r="725" spans="5:7" x14ac:dyDescent="0.3">
      <c r="E725" t="s">
        <v>2453</v>
      </c>
      <c r="F725" t="s">
        <v>1713</v>
      </c>
      <c r="G725" s="72">
        <v>26</v>
      </c>
    </row>
    <row r="726" spans="5:7" x14ac:dyDescent="0.3">
      <c r="E726" t="s">
        <v>1892</v>
      </c>
      <c r="F726" t="s">
        <v>1419</v>
      </c>
      <c r="G726" s="72">
        <v>26</v>
      </c>
    </row>
    <row r="727" spans="5:7" x14ac:dyDescent="0.3">
      <c r="E727" t="s">
        <v>2466</v>
      </c>
      <c r="F727" t="s">
        <v>1401</v>
      </c>
      <c r="G727" s="72">
        <v>26</v>
      </c>
    </row>
    <row r="728" spans="5:7" x14ac:dyDescent="0.3">
      <c r="E728" t="s">
        <v>2686</v>
      </c>
      <c r="F728" t="s">
        <v>1450</v>
      </c>
      <c r="G728" s="72" t="s">
        <v>1890</v>
      </c>
    </row>
    <row r="729" spans="5:7" x14ac:dyDescent="0.3">
      <c r="E729" t="s">
        <v>2686</v>
      </c>
      <c r="F729" t="s">
        <v>1450</v>
      </c>
      <c r="G729" s="72" t="s">
        <v>1934</v>
      </c>
    </row>
    <row r="730" spans="5:7" x14ac:dyDescent="0.3">
      <c r="E730" t="s">
        <v>2686</v>
      </c>
      <c r="F730" t="s">
        <v>1408</v>
      </c>
      <c r="G730" s="72" t="s">
        <v>1933</v>
      </c>
    </row>
    <row r="731" spans="5:7" x14ac:dyDescent="0.3">
      <c r="E731" t="s">
        <v>2687</v>
      </c>
      <c r="F731" t="s">
        <v>2053</v>
      </c>
      <c r="G731" s="72" t="s">
        <v>2083</v>
      </c>
    </row>
    <row r="732" spans="5:7" x14ac:dyDescent="0.3">
      <c r="E732" t="s">
        <v>2683</v>
      </c>
      <c r="F732" t="s">
        <v>2101</v>
      </c>
      <c r="G732" s="72" t="s">
        <v>1890</v>
      </c>
    </row>
    <row r="733" spans="5:7" x14ac:dyDescent="0.3">
      <c r="E733" t="s">
        <v>2683</v>
      </c>
      <c r="F733" t="s">
        <v>2101</v>
      </c>
      <c r="G733" s="72" t="s">
        <v>1934</v>
      </c>
    </row>
    <row r="734" spans="5:7" x14ac:dyDescent="0.3">
      <c r="E734" t="s">
        <v>2221</v>
      </c>
      <c r="F734" t="s">
        <v>2051</v>
      </c>
      <c r="G734" s="72" t="s">
        <v>2083</v>
      </c>
    </row>
    <row r="735" spans="5:7" x14ac:dyDescent="0.3">
      <c r="E735" t="s">
        <v>2448</v>
      </c>
      <c r="F735" t="s">
        <v>1700</v>
      </c>
      <c r="G735" s="72">
        <v>26</v>
      </c>
    </row>
    <row r="736" spans="5:7" x14ac:dyDescent="0.3">
      <c r="E736" t="s">
        <v>2619</v>
      </c>
      <c r="F736" t="s">
        <v>1438</v>
      </c>
      <c r="G736" s="72">
        <v>26</v>
      </c>
    </row>
    <row r="737" spans="5:7" x14ac:dyDescent="0.3">
      <c r="E737" t="s">
        <v>1814</v>
      </c>
      <c r="F737" t="s">
        <v>1779</v>
      </c>
      <c r="G737" s="72">
        <v>26</v>
      </c>
    </row>
    <row r="738" spans="5:7" x14ac:dyDescent="0.3">
      <c r="E738" t="s">
        <v>1841</v>
      </c>
      <c r="F738" t="s">
        <v>1438</v>
      </c>
      <c r="G738" s="72">
        <v>26</v>
      </c>
    </row>
    <row r="739" spans="5:7" x14ac:dyDescent="0.3">
      <c r="E739" t="s">
        <v>1842</v>
      </c>
      <c r="F739" t="s">
        <v>1438</v>
      </c>
      <c r="G739" s="72">
        <v>26</v>
      </c>
    </row>
    <row r="740" spans="5:7" x14ac:dyDescent="0.3">
      <c r="E740" t="s">
        <v>1843</v>
      </c>
      <c r="F740" t="s">
        <v>1438</v>
      </c>
      <c r="G740" s="72">
        <v>26</v>
      </c>
    </row>
    <row r="741" spans="5:7" x14ac:dyDescent="0.3">
      <c r="E741" t="s">
        <v>1845</v>
      </c>
      <c r="F741" t="s">
        <v>1438</v>
      </c>
      <c r="G741" s="72">
        <v>26</v>
      </c>
    </row>
    <row r="742" spans="5:7" x14ac:dyDescent="0.3">
      <c r="E742" t="s">
        <v>2688</v>
      </c>
      <c r="F742" t="s">
        <v>1661</v>
      </c>
      <c r="G742" s="72">
        <v>26</v>
      </c>
    </row>
    <row r="743" spans="5:7" x14ac:dyDescent="0.3">
      <c r="E743" t="s">
        <v>2689</v>
      </c>
      <c r="F743" t="s">
        <v>1661</v>
      </c>
      <c r="G743" s="72">
        <v>26</v>
      </c>
    </row>
    <row r="744" spans="5:7" x14ac:dyDescent="0.3">
      <c r="E744" t="s">
        <v>1698</v>
      </c>
      <c r="F744" t="s">
        <v>1698</v>
      </c>
      <c r="G744" s="72">
        <v>26</v>
      </c>
    </row>
    <row r="745" spans="5:7" x14ac:dyDescent="0.3">
      <c r="E745" t="s">
        <v>1663</v>
      </c>
      <c r="F745" t="s">
        <v>1663</v>
      </c>
      <c r="G745" s="72">
        <v>26</v>
      </c>
    </row>
    <row r="746" spans="5:7" x14ac:dyDescent="0.3">
      <c r="E746" t="s">
        <v>1860</v>
      </c>
      <c r="F746" t="s">
        <v>1421</v>
      </c>
      <c r="G746" s="72">
        <v>26</v>
      </c>
    </row>
    <row r="747" spans="5:7" x14ac:dyDescent="0.3">
      <c r="E747" t="s">
        <v>2690</v>
      </c>
      <c r="F747" t="s">
        <v>2088</v>
      </c>
      <c r="G747" s="72">
        <v>26</v>
      </c>
    </row>
    <row r="748" spans="5:7" x14ac:dyDescent="0.3">
      <c r="E748" t="s">
        <v>2691</v>
      </c>
      <c r="F748" t="s">
        <v>1449</v>
      </c>
      <c r="G748" s="72" t="s">
        <v>1890</v>
      </c>
    </row>
    <row r="749" spans="5:7" x14ac:dyDescent="0.3">
      <c r="E749" t="s">
        <v>2691</v>
      </c>
      <c r="F749" t="s">
        <v>1449</v>
      </c>
      <c r="G749" s="72" t="s">
        <v>1934</v>
      </c>
    </row>
    <row r="750" spans="5:7" x14ac:dyDescent="0.3">
      <c r="E750" t="s">
        <v>2481</v>
      </c>
      <c r="F750" t="s">
        <v>1735</v>
      </c>
      <c r="G750" s="72" t="s">
        <v>1890</v>
      </c>
    </row>
    <row r="751" spans="5:7" x14ac:dyDescent="0.3">
      <c r="E751" t="s">
        <v>2488</v>
      </c>
      <c r="F751" t="s">
        <v>1735</v>
      </c>
      <c r="G751" s="72" t="s">
        <v>1890</v>
      </c>
    </row>
    <row r="752" spans="5:7" x14ac:dyDescent="0.3">
      <c r="E752" t="s">
        <v>2493</v>
      </c>
      <c r="F752" t="s">
        <v>1735</v>
      </c>
      <c r="G752" s="72" t="s">
        <v>1890</v>
      </c>
    </row>
    <row r="753" spans="5:7" x14ac:dyDescent="0.3">
      <c r="E753" t="s">
        <v>2481</v>
      </c>
      <c r="F753" t="s">
        <v>1735</v>
      </c>
      <c r="G753" s="72" t="s">
        <v>1934</v>
      </c>
    </row>
    <row r="754" spans="5:7" x14ac:dyDescent="0.3">
      <c r="E754" t="s">
        <v>2488</v>
      </c>
      <c r="F754" t="s">
        <v>1735</v>
      </c>
      <c r="G754" s="72" t="s">
        <v>1934</v>
      </c>
    </row>
    <row r="755" spans="5:7" x14ac:dyDescent="0.3">
      <c r="E755" t="s">
        <v>2493</v>
      </c>
      <c r="F755" t="s">
        <v>1735</v>
      </c>
      <c r="G755" s="72" t="s">
        <v>1934</v>
      </c>
    </row>
    <row r="756" spans="5:7" x14ac:dyDescent="0.3">
      <c r="E756" t="s">
        <v>2431</v>
      </c>
      <c r="F756" t="s">
        <v>1737</v>
      </c>
      <c r="G756" s="72" t="s">
        <v>1890</v>
      </c>
    </row>
    <row r="757" spans="5:7" x14ac:dyDescent="0.3">
      <c r="E757" t="s">
        <v>2431</v>
      </c>
      <c r="F757" t="s">
        <v>1737</v>
      </c>
      <c r="G757" s="72" t="s">
        <v>1934</v>
      </c>
    </row>
    <row r="758" spans="5:7" x14ac:dyDescent="0.3">
      <c r="E758" t="s">
        <v>1664</v>
      </c>
      <c r="F758" t="s">
        <v>1664</v>
      </c>
      <c r="G758" s="72">
        <v>26</v>
      </c>
    </row>
    <row r="759" spans="5:7" x14ac:dyDescent="0.3">
      <c r="E759" t="s">
        <v>1666</v>
      </c>
      <c r="F759" t="s">
        <v>1666</v>
      </c>
      <c r="G759" s="72">
        <v>26</v>
      </c>
    </row>
    <row r="760" spans="5:7" x14ac:dyDescent="0.3">
      <c r="E760" t="s">
        <v>1809</v>
      </c>
      <c r="F760" t="s">
        <v>1411</v>
      </c>
      <c r="G760" s="72">
        <v>26</v>
      </c>
    </row>
    <row r="761" spans="5:7" x14ac:dyDescent="0.3">
      <c r="E761" t="s">
        <v>2688</v>
      </c>
      <c r="F761" t="s">
        <v>1661</v>
      </c>
      <c r="G761" s="72">
        <v>26</v>
      </c>
    </row>
    <row r="762" spans="5:7" x14ac:dyDescent="0.3">
      <c r="E762" t="s">
        <v>2488</v>
      </c>
      <c r="F762" t="s">
        <v>2095</v>
      </c>
      <c r="G762" s="72">
        <v>26</v>
      </c>
    </row>
    <row r="763" spans="5:7" x14ac:dyDescent="0.3">
      <c r="E763" t="s">
        <v>2489</v>
      </c>
      <c r="F763" t="s">
        <v>1711</v>
      </c>
      <c r="G763" s="72">
        <v>26</v>
      </c>
    </row>
    <row r="764" spans="5:7" x14ac:dyDescent="0.3">
      <c r="E764" t="s">
        <v>2490</v>
      </c>
      <c r="F764" t="s">
        <v>1408</v>
      </c>
      <c r="G764" s="72">
        <v>26</v>
      </c>
    </row>
    <row r="765" spans="5:7" x14ac:dyDescent="0.3">
      <c r="E765" t="s">
        <v>2575</v>
      </c>
      <c r="F765" t="s">
        <v>1602</v>
      </c>
      <c r="G765" s="72">
        <v>26</v>
      </c>
    </row>
    <row r="766" spans="5:7" x14ac:dyDescent="0.3">
      <c r="E766" t="s">
        <v>2491</v>
      </c>
      <c r="F766" t="s">
        <v>1778</v>
      </c>
      <c r="G766" s="72">
        <v>26</v>
      </c>
    </row>
    <row r="767" spans="5:7" x14ac:dyDescent="0.3">
      <c r="E767" t="s">
        <v>1698</v>
      </c>
      <c r="F767" t="s">
        <v>1698</v>
      </c>
      <c r="G767" s="72">
        <v>26</v>
      </c>
    </row>
    <row r="768" spans="5:7" x14ac:dyDescent="0.3">
      <c r="E768" t="s">
        <v>1860</v>
      </c>
      <c r="F768" t="s">
        <v>1421</v>
      </c>
      <c r="G768" s="72">
        <v>26</v>
      </c>
    </row>
    <row r="769" spans="5:7" x14ac:dyDescent="0.3">
      <c r="E769" t="s">
        <v>2692</v>
      </c>
      <c r="G769" s="72">
        <v>26</v>
      </c>
    </row>
    <row r="770" spans="5:7" x14ac:dyDescent="0.3">
      <c r="E770" t="s">
        <v>1663</v>
      </c>
      <c r="F770" t="s">
        <v>1663</v>
      </c>
      <c r="G770" s="72">
        <v>26</v>
      </c>
    </row>
    <row r="771" spans="5:7" x14ac:dyDescent="0.3">
      <c r="E771" t="s">
        <v>2691</v>
      </c>
      <c r="F771" t="s">
        <v>1449</v>
      </c>
      <c r="G771" s="72" t="s">
        <v>1890</v>
      </c>
    </row>
    <row r="772" spans="5:7" x14ac:dyDescent="0.3">
      <c r="E772" t="s">
        <v>2400</v>
      </c>
      <c r="F772" t="s">
        <v>1451</v>
      </c>
      <c r="G772" s="72" t="s">
        <v>1890</v>
      </c>
    </row>
    <row r="773" spans="5:7" x14ac:dyDescent="0.3">
      <c r="E773" t="s">
        <v>2691</v>
      </c>
      <c r="F773" t="s">
        <v>1449</v>
      </c>
      <c r="G773" s="72" t="s">
        <v>1934</v>
      </c>
    </row>
    <row r="774" spans="5:7" x14ac:dyDescent="0.3">
      <c r="E774" t="s">
        <v>2400</v>
      </c>
      <c r="F774" t="s">
        <v>1451</v>
      </c>
      <c r="G774" s="72" t="s">
        <v>1934</v>
      </c>
    </row>
    <row r="775" spans="5:7" x14ac:dyDescent="0.3">
      <c r="E775" t="s">
        <v>1957</v>
      </c>
      <c r="F775" t="s">
        <v>2056</v>
      </c>
      <c r="G775" s="72" t="s">
        <v>2083</v>
      </c>
    </row>
    <row r="776" spans="5:7" x14ac:dyDescent="0.3">
      <c r="E776" t="s">
        <v>2537</v>
      </c>
      <c r="F776" t="s">
        <v>2055</v>
      </c>
      <c r="G776" s="72" t="s">
        <v>2083</v>
      </c>
    </row>
    <row r="777" spans="5:7" x14ac:dyDescent="0.3">
      <c r="E777" t="s">
        <v>2687</v>
      </c>
      <c r="F777" t="s">
        <v>2053</v>
      </c>
      <c r="G777" s="72" t="s">
        <v>2083</v>
      </c>
    </row>
    <row r="778" spans="5:7" x14ac:dyDescent="0.3">
      <c r="E778" t="s">
        <v>2665</v>
      </c>
      <c r="F778" t="s">
        <v>2091</v>
      </c>
      <c r="G778" s="72" t="s">
        <v>2083</v>
      </c>
    </row>
    <row r="779" spans="5:7" x14ac:dyDescent="0.3">
      <c r="E779" t="s">
        <v>1957</v>
      </c>
      <c r="F779" t="s">
        <v>2056</v>
      </c>
      <c r="G779" s="72" t="s">
        <v>2082</v>
      </c>
    </row>
    <row r="780" spans="5:7" x14ac:dyDescent="0.3">
      <c r="E780" t="s">
        <v>2602</v>
      </c>
      <c r="F780" t="s">
        <v>1556</v>
      </c>
      <c r="G780" s="72" t="s">
        <v>2082</v>
      </c>
    </row>
    <row r="781" spans="5:7" x14ac:dyDescent="0.3">
      <c r="E781" t="s">
        <v>1841</v>
      </c>
      <c r="F781" t="s">
        <v>1438</v>
      </c>
      <c r="G781" s="72">
        <v>26</v>
      </c>
    </row>
    <row r="782" spans="5:7" x14ac:dyDescent="0.3">
      <c r="E782" t="s">
        <v>1842</v>
      </c>
      <c r="F782" t="s">
        <v>1438</v>
      </c>
      <c r="G782" s="72">
        <v>26</v>
      </c>
    </row>
    <row r="783" spans="5:7" x14ac:dyDescent="0.3">
      <c r="E783" t="s">
        <v>1843</v>
      </c>
      <c r="F783" t="s">
        <v>1438</v>
      </c>
      <c r="G783" s="72">
        <v>26</v>
      </c>
    </row>
    <row r="784" spans="5:7" x14ac:dyDescent="0.3">
      <c r="E784" t="s">
        <v>1845</v>
      </c>
      <c r="F784" t="s">
        <v>1438</v>
      </c>
      <c r="G784" s="72">
        <v>26</v>
      </c>
    </row>
    <row r="785" spans="5:7" x14ac:dyDescent="0.3">
      <c r="E785" t="s">
        <v>2687</v>
      </c>
      <c r="F785" t="s">
        <v>2053</v>
      </c>
      <c r="G785" s="72" t="s">
        <v>2083</v>
      </c>
    </row>
    <row r="786" spans="5:7" x14ac:dyDescent="0.3">
      <c r="E786" t="s">
        <v>2136</v>
      </c>
      <c r="F786" t="s">
        <v>2136</v>
      </c>
      <c r="G786" s="72">
        <v>26</v>
      </c>
    </row>
    <row r="787" spans="5:7" x14ac:dyDescent="0.3">
      <c r="E787" t="s">
        <v>1664</v>
      </c>
      <c r="F787" t="s">
        <v>1664</v>
      </c>
      <c r="G787" s="72">
        <v>26</v>
      </c>
    </row>
    <row r="788" spans="5:7" x14ac:dyDescent="0.3">
      <c r="E788" t="s">
        <v>2552</v>
      </c>
      <c r="F788" t="s">
        <v>1676</v>
      </c>
      <c r="G788" s="72">
        <v>26</v>
      </c>
    </row>
    <row r="789" spans="5:7" x14ac:dyDescent="0.3">
      <c r="E789" t="s">
        <v>2693</v>
      </c>
      <c r="F789" t="s">
        <v>2137</v>
      </c>
      <c r="G789" s="72">
        <v>26</v>
      </c>
    </row>
    <row r="790" spans="5:7" x14ac:dyDescent="0.3">
      <c r="E790" t="s">
        <v>2694</v>
      </c>
      <c r="F790" t="s">
        <v>1451</v>
      </c>
      <c r="G790" s="72" t="s">
        <v>1890</v>
      </c>
    </row>
    <row r="791" spans="5:7" x14ac:dyDescent="0.3">
      <c r="E791" t="s">
        <v>2694</v>
      </c>
      <c r="F791" t="s">
        <v>1451</v>
      </c>
      <c r="G791" s="72" t="s">
        <v>1934</v>
      </c>
    </row>
    <row r="792" spans="5:7" x14ac:dyDescent="0.3">
      <c r="E792" t="s">
        <v>1668</v>
      </c>
      <c r="F792" t="s">
        <v>1668</v>
      </c>
      <c r="G792" s="72">
        <v>26</v>
      </c>
    </row>
    <row r="793" spans="5:7" x14ac:dyDescent="0.3">
      <c r="E793" t="s">
        <v>2676</v>
      </c>
      <c r="F793" t="s">
        <v>1450</v>
      </c>
      <c r="G793" s="72" t="s">
        <v>1890</v>
      </c>
    </row>
    <row r="794" spans="5:7" x14ac:dyDescent="0.3">
      <c r="E794" t="s">
        <v>2676</v>
      </c>
      <c r="F794" t="s">
        <v>1408</v>
      </c>
      <c r="G794" s="72" t="s">
        <v>1933</v>
      </c>
    </row>
    <row r="795" spans="5:7" x14ac:dyDescent="0.3">
      <c r="E795" t="s">
        <v>2676</v>
      </c>
      <c r="F795" t="s">
        <v>1450</v>
      </c>
      <c r="G795" s="72" t="s">
        <v>1934</v>
      </c>
    </row>
    <row r="796" spans="5:7" x14ac:dyDescent="0.3">
      <c r="E796" t="s">
        <v>2547</v>
      </c>
      <c r="F796" t="s">
        <v>2051</v>
      </c>
      <c r="G796" s="72" t="s">
        <v>2083</v>
      </c>
    </row>
    <row r="797" spans="5:7" x14ac:dyDescent="0.3">
      <c r="E797" t="s">
        <v>2547</v>
      </c>
      <c r="F797" t="s">
        <v>2057</v>
      </c>
      <c r="G797" s="72" t="s">
        <v>2082</v>
      </c>
    </row>
    <row r="798" spans="5:7" x14ac:dyDescent="0.3">
      <c r="E798" t="s">
        <v>2447</v>
      </c>
      <c r="F798" t="s">
        <v>1759</v>
      </c>
      <c r="G798" s="72">
        <v>26</v>
      </c>
    </row>
    <row r="799" spans="5:7" x14ac:dyDescent="0.3">
      <c r="E799" t="s">
        <v>2695</v>
      </c>
      <c r="F799" t="s">
        <v>2136</v>
      </c>
      <c r="G799" s="72">
        <v>26</v>
      </c>
    </row>
    <row r="800" spans="5:7" x14ac:dyDescent="0.3">
      <c r="E800" t="s">
        <v>2696</v>
      </c>
      <c r="F800" t="s">
        <v>2136</v>
      </c>
      <c r="G800" s="72">
        <v>26</v>
      </c>
    </row>
    <row r="801" spans="5:7" x14ac:dyDescent="0.3">
      <c r="E801" t="s">
        <v>2697</v>
      </c>
      <c r="F801" t="s">
        <v>2136</v>
      </c>
      <c r="G801" s="72">
        <v>26</v>
      </c>
    </row>
    <row r="802" spans="5:7" x14ac:dyDescent="0.3">
      <c r="E802" t="s">
        <v>2698</v>
      </c>
      <c r="F802" t="s">
        <v>2136</v>
      </c>
      <c r="G802" s="72">
        <v>26</v>
      </c>
    </row>
    <row r="803" spans="5:7" x14ac:dyDescent="0.3">
      <c r="E803" t="s">
        <v>2693</v>
      </c>
      <c r="F803" t="s">
        <v>2137</v>
      </c>
      <c r="G803" s="72">
        <v>26</v>
      </c>
    </row>
    <row r="804" spans="5:7" x14ac:dyDescent="0.3">
      <c r="E804" t="s">
        <v>2623</v>
      </c>
      <c r="F804" t="s">
        <v>1596</v>
      </c>
      <c r="G804" s="72" t="s">
        <v>1890</v>
      </c>
    </row>
    <row r="805" spans="5:7" x14ac:dyDescent="0.3">
      <c r="E805" t="s">
        <v>2623</v>
      </c>
      <c r="F805" t="s">
        <v>1596</v>
      </c>
      <c r="G805" s="72" t="s">
        <v>1934</v>
      </c>
    </row>
    <row r="806" spans="5:7" x14ac:dyDescent="0.3">
      <c r="E806" t="s">
        <v>2645</v>
      </c>
      <c r="F806" t="s">
        <v>2057</v>
      </c>
      <c r="G806" s="72" t="s">
        <v>2082</v>
      </c>
    </row>
    <row r="807" spans="5:7" x14ac:dyDescent="0.3">
      <c r="E807" t="s">
        <v>2289</v>
      </c>
      <c r="F807" t="s">
        <v>1438</v>
      </c>
      <c r="G807" s="72">
        <v>26</v>
      </c>
    </row>
    <row r="808" spans="5:7" x14ac:dyDescent="0.3">
      <c r="E808" t="s">
        <v>2137</v>
      </c>
      <c r="F808" t="s">
        <v>2137</v>
      </c>
      <c r="G808" s="72">
        <v>26</v>
      </c>
    </row>
    <row r="809" spans="5:7" x14ac:dyDescent="0.3">
      <c r="E809" t="s">
        <v>2645</v>
      </c>
      <c r="F809" t="s">
        <v>2057</v>
      </c>
      <c r="G809" s="72" t="s">
        <v>2082</v>
      </c>
    </row>
    <row r="810" spans="5:7" x14ac:dyDescent="0.3">
      <c r="E810" t="s">
        <v>2623</v>
      </c>
      <c r="F810" t="s">
        <v>1598</v>
      </c>
      <c r="G810" s="72" t="s">
        <v>1933</v>
      </c>
    </row>
    <row r="811" spans="5:7" x14ac:dyDescent="0.3">
      <c r="E811" t="s">
        <v>2699</v>
      </c>
      <c r="F811" t="s">
        <v>1747</v>
      </c>
      <c r="G811" s="72" t="s">
        <v>1933</v>
      </c>
    </row>
    <row r="812" spans="5:7" x14ac:dyDescent="0.3">
      <c r="E812" t="s">
        <v>2699</v>
      </c>
      <c r="F812" t="s">
        <v>1735</v>
      </c>
      <c r="G812" s="72" t="s">
        <v>1890</v>
      </c>
    </row>
    <row r="813" spans="5:7" x14ac:dyDescent="0.3">
      <c r="E813" t="s">
        <v>1871</v>
      </c>
      <c r="F813" t="s">
        <v>1678</v>
      </c>
      <c r="G813" s="72">
        <v>26</v>
      </c>
    </row>
    <row r="814" spans="5:7" x14ac:dyDescent="0.3">
      <c r="E814" t="s">
        <v>2699</v>
      </c>
      <c r="F814" t="s">
        <v>1735</v>
      </c>
      <c r="G814" s="72" t="s">
        <v>1934</v>
      </c>
    </row>
    <row r="815" spans="5:7" x14ac:dyDescent="0.3">
      <c r="E815" t="s">
        <v>2599</v>
      </c>
      <c r="F815" t="s">
        <v>1735</v>
      </c>
      <c r="G815" s="72" t="s">
        <v>1890</v>
      </c>
    </row>
    <row r="816" spans="5:7" x14ac:dyDescent="0.3">
      <c r="E816" t="s">
        <v>2481</v>
      </c>
      <c r="F816" t="s">
        <v>1735</v>
      </c>
      <c r="G816" s="72" t="s">
        <v>1890</v>
      </c>
    </row>
    <row r="817" spans="5:7" x14ac:dyDescent="0.3">
      <c r="E817" t="s">
        <v>2599</v>
      </c>
      <c r="F817" t="s">
        <v>1735</v>
      </c>
      <c r="G817" s="72" t="s">
        <v>1934</v>
      </c>
    </row>
    <row r="818" spans="5:7" x14ac:dyDescent="0.3">
      <c r="E818" t="s">
        <v>2481</v>
      </c>
      <c r="F818" t="s">
        <v>1735</v>
      </c>
      <c r="G818" s="72" t="s">
        <v>1934</v>
      </c>
    </row>
    <row r="819" spans="5:7" x14ac:dyDescent="0.3">
      <c r="E819" t="s">
        <v>1396</v>
      </c>
      <c r="F819" t="s">
        <v>2057</v>
      </c>
      <c r="G819" s="72" t="s">
        <v>2082</v>
      </c>
    </row>
    <row r="820" spans="5:7" x14ac:dyDescent="0.3">
      <c r="E820" t="s">
        <v>2700</v>
      </c>
      <c r="F820" t="s">
        <v>1614</v>
      </c>
      <c r="G820" s="72">
        <v>26</v>
      </c>
    </row>
    <row r="821" spans="5:7" x14ac:dyDescent="0.3">
      <c r="E821" t="s">
        <v>1666</v>
      </c>
      <c r="F821" t="s">
        <v>1666</v>
      </c>
      <c r="G821" s="72">
        <v>26</v>
      </c>
    </row>
    <row r="822" spans="5:7" x14ac:dyDescent="0.3">
      <c r="E822" t="s">
        <v>2701</v>
      </c>
      <c r="F822" t="s">
        <v>1711</v>
      </c>
      <c r="G822" s="72">
        <v>26</v>
      </c>
    </row>
    <row r="823" spans="5:7" x14ac:dyDescent="0.3">
      <c r="E823" t="s">
        <v>2702</v>
      </c>
      <c r="F823" t="s">
        <v>1621</v>
      </c>
      <c r="G823" s="72" t="s">
        <v>1890</v>
      </c>
    </row>
    <row r="824" spans="5:7" x14ac:dyDescent="0.3">
      <c r="E824" t="s">
        <v>2702</v>
      </c>
      <c r="F824" t="s">
        <v>1621</v>
      </c>
      <c r="G824" s="72" t="s">
        <v>1934</v>
      </c>
    </row>
    <row r="825" spans="5:7" x14ac:dyDescent="0.3">
      <c r="E825" t="s">
        <v>2703</v>
      </c>
      <c r="F825" t="s">
        <v>1411</v>
      </c>
      <c r="G825" s="72">
        <v>26</v>
      </c>
    </row>
    <row r="826" spans="5:7" x14ac:dyDescent="0.3">
      <c r="E826" t="s">
        <v>2645</v>
      </c>
      <c r="F826" t="s">
        <v>2051</v>
      </c>
      <c r="G826" s="72" t="s">
        <v>2083</v>
      </c>
    </row>
    <row r="827" spans="5:7" x14ac:dyDescent="0.3">
      <c r="E827" t="s">
        <v>1809</v>
      </c>
      <c r="F827" t="s">
        <v>1411</v>
      </c>
      <c r="G827" s="72">
        <v>26</v>
      </c>
    </row>
    <row r="828" spans="5:7" x14ac:dyDescent="0.3">
      <c r="E828" t="s">
        <v>2704</v>
      </c>
      <c r="F828" t="s">
        <v>1614</v>
      </c>
      <c r="G828" s="72">
        <v>26</v>
      </c>
    </row>
    <row r="829" spans="5:7" x14ac:dyDescent="0.3">
      <c r="E829" t="s">
        <v>2695</v>
      </c>
      <c r="F829" t="s">
        <v>2136</v>
      </c>
      <c r="G829" s="72">
        <v>26</v>
      </c>
    </row>
    <row r="830" spans="5:7" x14ac:dyDescent="0.3">
      <c r="E830" t="s">
        <v>2696</v>
      </c>
      <c r="F830" t="s">
        <v>2136</v>
      </c>
      <c r="G830" s="72">
        <v>26</v>
      </c>
    </row>
    <row r="831" spans="5:7" x14ac:dyDescent="0.3">
      <c r="E831" t="s">
        <v>2697</v>
      </c>
      <c r="F831" t="s">
        <v>2136</v>
      </c>
      <c r="G831" s="72">
        <v>26</v>
      </c>
    </row>
    <row r="832" spans="5:7" x14ac:dyDescent="0.3">
      <c r="E832" t="s">
        <v>2698</v>
      </c>
      <c r="F832" t="s">
        <v>2136</v>
      </c>
      <c r="G832" s="72">
        <v>26</v>
      </c>
    </row>
    <row r="833" spans="5:7" x14ac:dyDescent="0.3">
      <c r="E833" t="s">
        <v>2705</v>
      </c>
      <c r="F833" t="s">
        <v>1408</v>
      </c>
      <c r="G833" s="72">
        <v>26</v>
      </c>
    </row>
    <row r="834" spans="5:7" x14ac:dyDescent="0.3">
      <c r="E834" t="s">
        <v>2706</v>
      </c>
      <c r="F834" t="s">
        <v>1602</v>
      </c>
      <c r="G834" s="72">
        <v>26</v>
      </c>
    </row>
    <row r="835" spans="5:7" x14ac:dyDescent="0.3">
      <c r="E835" t="s">
        <v>2529</v>
      </c>
      <c r="F835" t="s">
        <v>1730</v>
      </c>
      <c r="G835" s="72" t="s">
        <v>1890</v>
      </c>
    </row>
    <row r="836" spans="5:7" x14ac:dyDescent="0.3">
      <c r="E836" t="s">
        <v>2529</v>
      </c>
      <c r="F836" t="s">
        <v>1730</v>
      </c>
      <c r="G836" s="72" t="s">
        <v>1934</v>
      </c>
    </row>
    <row r="837" spans="5:7" x14ac:dyDescent="0.3">
      <c r="E837" t="s">
        <v>2707</v>
      </c>
      <c r="F837" t="s">
        <v>1661</v>
      </c>
      <c r="G837" s="72">
        <v>26</v>
      </c>
    </row>
    <row r="838" spans="5:7" x14ac:dyDescent="0.3">
      <c r="E838" t="s">
        <v>2708</v>
      </c>
      <c r="F838" t="s">
        <v>1692</v>
      </c>
      <c r="G838" s="72">
        <v>26</v>
      </c>
    </row>
    <row r="839" spans="5:7" x14ac:dyDescent="0.3">
      <c r="E839" t="s">
        <v>2597</v>
      </c>
      <c r="F839" t="s">
        <v>1419</v>
      </c>
      <c r="G839" s="72">
        <v>26</v>
      </c>
    </row>
    <row r="840" spans="5:7" x14ac:dyDescent="0.3">
      <c r="E840" t="s">
        <v>2709</v>
      </c>
      <c r="F840" t="s">
        <v>1616</v>
      </c>
      <c r="G840" s="72">
        <v>26</v>
      </c>
    </row>
    <row r="841" spans="5:7" x14ac:dyDescent="0.3">
      <c r="E841" t="s">
        <v>2710</v>
      </c>
      <c r="F841" t="s">
        <v>1606</v>
      </c>
      <c r="G841" s="72">
        <v>26</v>
      </c>
    </row>
    <row r="842" spans="5:7" x14ac:dyDescent="0.3">
      <c r="E842" t="s">
        <v>2711</v>
      </c>
      <c r="F842" t="s">
        <v>1740</v>
      </c>
      <c r="G842" s="72">
        <v>26</v>
      </c>
    </row>
    <row r="843" spans="5:7" x14ac:dyDescent="0.3">
      <c r="E843" t="s">
        <v>2712</v>
      </c>
      <c r="F843" t="s">
        <v>1401</v>
      </c>
      <c r="G843" s="72">
        <v>26</v>
      </c>
    </row>
    <row r="844" spans="5:7" x14ac:dyDescent="0.3">
      <c r="E844" t="s">
        <v>2713</v>
      </c>
      <c r="F844" t="s">
        <v>1615</v>
      </c>
      <c r="G844" s="72">
        <v>26</v>
      </c>
    </row>
    <row r="845" spans="5:7" x14ac:dyDescent="0.3">
      <c r="E845" t="s">
        <v>2714</v>
      </c>
      <c r="F845" t="s">
        <v>1780</v>
      </c>
      <c r="G845" s="72">
        <v>26</v>
      </c>
    </row>
    <row r="846" spans="5:7" x14ac:dyDescent="0.3">
      <c r="E846" t="s">
        <v>2708</v>
      </c>
      <c r="F846" t="s">
        <v>1692</v>
      </c>
      <c r="G846" s="72">
        <v>26</v>
      </c>
    </row>
    <row r="847" spans="5:7" x14ac:dyDescent="0.3">
      <c r="E847" t="s">
        <v>2709</v>
      </c>
      <c r="F847" t="s">
        <v>1616</v>
      </c>
      <c r="G847" s="72">
        <v>26</v>
      </c>
    </row>
    <row r="848" spans="5:7" x14ac:dyDescent="0.3">
      <c r="E848" t="s">
        <v>2704</v>
      </c>
      <c r="F848" t="s">
        <v>1614</v>
      </c>
      <c r="G848" s="72">
        <v>26</v>
      </c>
    </row>
    <row r="849" spans="5:7" x14ac:dyDescent="0.3">
      <c r="E849" t="s">
        <v>2712</v>
      </c>
      <c r="F849" t="s">
        <v>1401</v>
      </c>
      <c r="G849" s="72">
        <v>26</v>
      </c>
    </row>
    <row r="850" spans="5:7" x14ac:dyDescent="0.3">
      <c r="E850" t="s">
        <v>2714</v>
      </c>
      <c r="F850" t="s">
        <v>1780</v>
      </c>
      <c r="G850" s="72">
        <v>26</v>
      </c>
    </row>
    <row r="851" spans="5:7" x14ac:dyDescent="0.3">
      <c r="E851" t="s">
        <v>2715</v>
      </c>
      <c r="F851" t="s">
        <v>1614</v>
      </c>
      <c r="G851" s="72">
        <v>26</v>
      </c>
    </row>
    <row r="852" spans="5:7" x14ac:dyDescent="0.3">
      <c r="E852" t="s">
        <v>2716</v>
      </c>
      <c r="F852" t="s">
        <v>1740</v>
      </c>
      <c r="G852" s="72">
        <v>26</v>
      </c>
    </row>
    <row r="853" spans="5:7" x14ac:dyDescent="0.3">
      <c r="E853" t="s">
        <v>2717</v>
      </c>
      <c r="F853" t="s">
        <v>1596</v>
      </c>
      <c r="G853" s="72" t="s">
        <v>1890</v>
      </c>
    </row>
    <row r="854" spans="5:7" x14ac:dyDescent="0.3">
      <c r="E854" t="s">
        <v>2717</v>
      </c>
      <c r="F854" t="s">
        <v>1598</v>
      </c>
      <c r="G854" s="72" t="s">
        <v>1933</v>
      </c>
    </row>
    <row r="855" spans="5:7" x14ac:dyDescent="0.3">
      <c r="E855" t="s">
        <v>2717</v>
      </c>
      <c r="F855" t="s">
        <v>1596</v>
      </c>
      <c r="G855" s="72" t="s">
        <v>1934</v>
      </c>
    </row>
    <row r="856" spans="5:7" x14ac:dyDescent="0.3">
      <c r="E856" t="s">
        <v>2718</v>
      </c>
      <c r="F856" t="s">
        <v>2057</v>
      </c>
      <c r="G856" s="72" t="s">
        <v>2082</v>
      </c>
    </row>
    <row r="857" spans="5:7" x14ac:dyDescent="0.3">
      <c r="E857" t="s">
        <v>2719</v>
      </c>
      <c r="F857" t="s">
        <v>1616</v>
      </c>
      <c r="G857" s="72">
        <v>26</v>
      </c>
    </row>
    <row r="858" spans="5:7" x14ac:dyDescent="0.3">
      <c r="E858" t="s">
        <v>2713</v>
      </c>
      <c r="F858" t="s">
        <v>1615</v>
      </c>
      <c r="G858" s="72">
        <v>26</v>
      </c>
    </row>
    <row r="859" spans="5:7" x14ac:dyDescent="0.3">
      <c r="E859" t="s">
        <v>2600</v>
      </c>
      <c r="F859" t="s">
        <v>1450</v>
      </c>
      <c r="G859" s="72" t="s">
        <v>1890</v>
      </c>
    </row>
    <row r="860" spans="5:7" x14ac:dyDescent="0.3">
      <c r="E860" t="s">
        <v>2600</v>
      </c>
      <c r="F860" t="s">
        <v>1450</v>
      </c>
      <c r="G860" s="72" t="s">
        <v>1934</v>
      </c>
    </row>
    <row r="861" spans="5:7" x14ac:dyDescent="0.3">
      <c r="E861" t="s">
        <v>2677</v>
      </c>
      <c r="F861" t="s">
        <v>2051</v>
      </c>
      <c r="G861" s="72" t="s">
        <v>2083</v>
      </c>
    </row>
    <row r="862" spans="5:7" x14ac:dyDescent="0.3">
      <c r="E862" t="s">
        <v>2718</v>
      </c>
      <c r="F862" t="s">
        <v>2051</v>
      </c>
      <c r="G862" s="72" t="s">
        <v>2083</v>
      </c>
    </row>
    <row r="863" spans="5:7" x14ac:dyDescent="0.3">
      <c r="E863" t="s">
        <v>2677</v>
      </c>
      <c r="F863" t="s">
        <v>2057</v>
      </c>
      <c r="G863" s="72" t="s">
        <v>2082</v>
      </c>
    </row>
    <row r="864" spans="5:7" x14ac:dyDescent="0.3">
      <c r="E864" t="s">
        <v>2718</v>
      </c>
      <c r="F864" t="s">
        <v>2057</v>
      </c>
      <c r="G864" s="72" t="s">
        <v>2082</v>
      </c>
    </row>
    <row r="865" spans="5:7" x14ac:dyDescent="0.3">
      <c r="E865" t="s">
        <v>2720</v>
      </c>
      <c r="F865" t="s">
        <v>2138</v>
      </c>
      <c r="G865" s="72">
        <v>26</v>
      </c>
    </row>
    <row r="866" spans="5:7" x14ac:dyDescent="0.3">
      <c r="E866" t="s">
        <v>2721</v>
      </c>
      <c r="F866" t="s">
        <v>1614</v>
      </c>
      <c r="G866" s="72">
        <v>26</v>
      </c>
    </row>
    <row r="867" spans="5:7" x14ac:dyDescent="0.3">
      <c r="E867" t="s">
        <v>2722</v>
      </c>
      <c r="F867" t="s">
        <v>1758</v>
      </c>
      <c r="G867" s="72" t="s">
        <v>2130</v>
      </c>
    </row>
    <row r="868" spans="5:7" x14ac:dyDescent="0.3">
      <c r="E868" t="s">
        <v>2723</v>
      </c>
      <c r="F868" t="s">
        <v>1619</v>
      </c>
      <c r="G868" s="72" t="s">
        <v>2130</v>
      </c>
    </row>
    <row r="869" spans="5:7" x14ac:dyDescent="0.3">
      <c r="E869" t="s">
        <v>2724</v>
      </c>
      <c r="F869" t="s">
        <v>1758</v>
      </c>
      <c r="G869" s="72" t="s">
        <v>2130</v>
      </c>
    </row>
    <row r="870" spans="5:7" x14ac:dyDescent="0.3">
      <c r="E870" t="s">
        <v>2718</v>
      </c>
      <c r="F870" t="s">
        <v>2051</v>
      </c>
      <c r="G870" s="72" t="s">
        <v>2083</v>
      </c>
    </row>
    <row r="871" spans="5:7" x14ac:dyDescent="0.3">
      <c r="E871" t="s">
        <v>2455</v>
      </c>
      <c r="F871" t="s">
        <v>1621</v>
      </c>
      <c r="G871" s="72" t="s">
        <v>1890</v>
      </c>
    </row>
    <row r="872" spans="5:7" x14ac:dyDescent="0.3">
      <c r="E872" t="s">
        <v>2455</v>
      </c>
      <c r="F872" t="s">
        <v>1621</v>
      </c>
      <c r="G872" s="72" t="s">
        <v>1934</v>
      </c>
    </row>
    <row r="873" spans="5:7" x14ac:dyDescent="0.3">
      <c r="E873" t="s">
        <v>2725</v>
      </c>
      <c r="F873" t="s">
        <v>2138</v>
      </c>
      <c r="G873" s="72">
        <v>26</v>
      </c>
    </row>
    <row r="874" spans="5:7" x14ac:dyDescent="0.3">
      <c r="E874" t="s">
        <v>2139</v>
      </c>
      <c r="F874" t="s">
        <v>2139</v>
      </c>
      <c r="G874" s="72">
        <v>26</v>
      </c>
    </row>
    <row r="875" spans="5:7" x14ac:dyDescent="0.3">
      <c r="E875" t="s">
        <v>2132</v>
      </c>
      <c r="F875" t="s">
        <v>2132</v>
      </c>
      <c r="G875" s="72">
        <v>26</v>
      </c>
    </row>
    <row r="876" spans="5:7" x14ac:dyDescent="0.3">
      <c r="E876" t="s">
        <v>2726</v>
      </c>
      <c r="F876" t="s">
        <v>1757</v>
      </c>
      <c r="G876" s="72" t="s">
        <v>2130</v>
      </c>
    </row>
    <row r="877" spans="5:7" x14ac:dyDescent="0.3">
      <c r="E877" t="s">
        <v>2727</v>
      </c>
      <c r="F877" t="s">
        <v>1619</v>
      </c>
      <c r="G877" s="72" t="s">
        <v>2130</v>
      </c>
    </row>
    <row r="878" spans="5:7" x14ac:dyDescent="0.3">
      <c r="E878" t="s">
        <v>2726</v>
      </c>
      <c r="F878" t="s">
        <v>1750</v>
      </c>
      <c r="G878" s="72" t="s">
        <v>1890</v>
      </c>
    </row>
    <row r="879" spans="5:7" x14ac:dyDescent="0.3">
      <c r="E879" t="s">
        <v>2726</v>
      </c>
      <c r="F879" t="s">
        <v>1750</v>
      </c>
      <c r="G879" s="72" t="s">
        <v>1934</v>
      </c>
    </row>
    <row r="880" spans="5:7" x14ac:dyDescent="0.3">
      <c r="E880" t="s">
        <v>2727</v>
      </c>
      <c r="F880" t="s">
        <v>1619</v>
      </c>
      <c r="G880" s="72" t="s">
        <v>2130</v>
      </c>
    </row>
    <row r="881" spans="5:7" x14ac:dyDescent="0.3">
      <c r="E881" t="s">
        <v>2728</v>
      </c>
      <c r="F881" t="s">
        <v>2137</v>
      </c>
      <c r="G881" s="72">
        <v>26</v>
      </c>
    </row>
    <row r="882" spans="5:7" x14ac:dyDescent="0.3">
      <c r="E882" t="s">
        <v>2729</v>
      </c>
      <c r="F882" t="s">
        <v>2051</v>
      </c>
      <c r="G882" s="72" t="s">
        <v>2083</v>
      </c>
    </row>
    <row r="883" spans="5:7" x14ac:dyDescent="0.3">
      <c r="E883" t="s">
        <v>2729</v>
      </c>
      <c r="F883" t="s">
        <v>2057</v>
      </c>
      <c r="G883" s="72" t="s">
        <v>2082</v>
      </c>
    </row>
    <row r="884" spans="5:7" x14ac:dyDescent="0.3">
      <c r="E884" t="s">
        <v>2729</v>
      </c>
      <c r="F884" t="s">
        <v>2051</v>
      </c>
      <c r="G884" s="72" t="s">
        <v>2083</v>
      </c>
    </row>
    <row r="885" spans="5:7" x14ac:dyDescent="0.3">
      <c r="E885" t="s">
        <v>2729</v>
      </c>
      <c r="F885" t="s">
        <v>2057</v>
      </c>
      <c r="G885" s="72" t="s">
        <v>2082</v>
      </c>
    </row>
    <row r="886" spans="5:7" x14ac:dyDescent="0.3">
      <c r="E886" t="s">
        <v>2730</v>
      </c>
      <c r="F886" t="s">
        <v>2057</v>
      </c>
      <c r="G886" s="72" t="s">
        <v>2082</v>
      </c>
    </row>
    <row r="887" spans="5:7" x14ac:dyDescent="0.3">
      <c r="E887" t="s">
        <v>2731</v>
      </c>
      <c r="F887" t="s">
        <v>2140</v>
      </c>
      <c r="G887" s="72">
        <v>26</v>
      </c>
    </row>
    <row r="888" spans="5:7" x14ac:dyDescent="0.3">
      <c r="E888" t="s">
        <v>2732</v>
      </c>
      <c r="F888" t="s">
        <v>1662</v>
      </c>
      <c r="G888" s="72">
        <v>26</v>
      </c>
    </row>
    <row r="889" spans="5:7" x14ac:dyDescent="0.3">
      <c r="E889" t="s">
        <v>2556</v>
      </c>
      <c r="F889" t="s">
        <v>1738</v>
      </c>
      <c r="G889" s="72">
        <v>26</v>
      </c>
    </row>
    <row r="890" spans="5:7" x14ac:dyDescent="0.3">
      <c r="E890" t="s">
        <v>2733</v>
      </c>
      <c r="F890" t="s">
        <v>2137</v>
      </c>
      <c r="G890" s="72">
        <v>26</v>
      </c>
    </row>
    <row r="891" spans="5:7" x14ac:dyDescent="0.3">
      <c r="E891" t="s">
        <v>2723</v>
      </c>
      <c r="F891" t="s">
        <v>1619</v>
      </c>
      <c r="G891" s="72" t="s">
        <v>2130</v>
      </c>
    </row>
    <row r="892" spans="5:7" x14ac:dyDescent="0.3">
      <c r="E892" t="s">
        <v>2734</v>
      </c>
      <c r="F892" t="s">
        <v>2138</v>
      </c>
      <c r="G892" s="72">
        <v>26</v>
      </c>
    </row>
    <row r="893" spans="5:7" x14ac:dyDescent="0.3">
      <c r="E893" t="s">
        <v>2493</v>
      </c>
      <c r="F893" t="s">
        <v>1748</v>
      </c>
      <c r="G893" s="72" t="s">
        <v>1933</v>
      </c>
    </row>
    <row r="894" spans="5:7" x14ac:dyDescent="0.3">
      <c r="E894" t="s">
        <v>2735</v>
      </c>
      <c r="F894" t="s">
        <v>2051</v>
      </c>
      <c r="G894" s="72" t="s">
        <v>2083</v>
      </c>
    </row>
    <row r="895" spans="5:7" x14ac:dyDescent="0.3">
      <c r="E895" t="s">
        <v>2736</v>
      </c>
      <c r="F895" t="s">
        <v>2057</v>
      </c>
      <c r="G895" s="72" t="s">
        <v>2082</v>
      </c>
    </row>
    <row r="896" spans="5:7" x14ac:dyDescent="0.3">
      <c r="E896" t="s">
        <v>2522</v>
      </c>
      <c r="F896" t="s">
        <v>2103</v>
      </c>
      <c r="G896" s="72" t="s">
        <v>1890</v>
      </c>
    </row>
    <row r="897" spans="5:7" x14ac:dyDescent="0.3">
      <c r="E897" t="s">
        <v>2522</v>
      </c>
      <c r="F897" t="s">
        <v>2103</v>
      </c>
      <c r="G897" s="72" t="s">
        <v>1934</v>
      </c>
    </row>
    <row r="898" spans="5:7" x14ac:dyDescent="0.3">
      <c r="E898" t="s">
        <v>2588</v>
      </c>
      <c r="F898" t="s">
        <v>1740</v>
      </c>
      <c r="G898" s="72">
        <v>26</v>
      </c>
    </row>
    <row r="899" spans="5:7" x14ac:dyDescent="0.3">
      <c r="E899" t="s">
        <v>2522</v>
      </c>
      <c r="F899" t="s">
        <v>1740</v>
      </c>
      <c r="G899" s="72">
        <v>26</v>
      </c>
    </row>
    <row r="900" spans="5:7" x14ac:dyDescent="0.3">
      <c r="E900" t="s">
        <v>1838</v>
      </c>
      <c r="F900" t="s">
        <v>1401</v>
      </c>
      <c r="G900" s="72">
        <v>26</v>
      </c>
    </row>
    <row r="901" spans="5:7" x14ac:dyDescent="0.3">
      <c r="E901" t="s">
        <v>2737</v>
      </c>
      <c r="F901" t="s">
        <v>2132</v>
      </c>
      <c r="G901" s="72">
        <v>26</v>
      </c>
    </row>
    <row r="902" spans="5:7" x14ac:dyDescent="0.3">
      <c r="E902" t="s">
        <v>2738</v>
      </c>
      <c r="F902" t="s">
        <v>1615</v>
      </c>
      <c r="G902" s="72">
        <v>26</v>
      </c>
    </row>
    <row r="903" spans="5:7" x14ac:dyDescent="0.3">
      <c r="E903" t="s">
        <v>2631</v>
      </c>
      <c r="F903" t="s">
        <v>1780</v>
      </c>
      <c r="G903" s="72">
        <v>26</v>
      </c>
    </row>
    <row r="904" spans="5:7" x14ac:dyDescent="0.3">
      <c r="E904" t="s">
        <v>2599</v>
      </c>
      <c r="F904" t="s">
        <v>1748</v>
      </c>
      <c r="G904" s="72">
        <v>26</v>
      </c>
    </row>
    <row r="905" spans="5:7" x14ac:dyDescent="0.3">
      <c r="E905" t="s">
        <v>2739</v>
      </c>
      <c r="F905" t="s">
        <v>1711</v>
      </c>
      <c r="G905" s="72">
        <v>26</v>
      </c>
    </row>
    <row r="906" spans="5:7" x14ac:dyDescent="0.3">
      <c r="E906" t="s">
        <v>2600</v>
      </c>
      <c r="F906" t="s">
        <v>1408</v>
      </c>
      <c r="G906" s="72">
        <v>26</v>
      </c>
    </row>
    <row r="907" spans="5:7" x14ac:dyDescent="0.3">
      <c r="E907" t="s">
        <v>2740</v>
      </c>
      <c r="F907" t="s">
        <v>2140</v>
      </c>
      <c r="G907" s="72">
        <v>26</v>
      </c>
    </row>
    <row r="908" spans="5:7" x14ac:dyDescent="0.3">
      <c r="E908" t="s">
        <v>2741</v>
      </c>
      <c r="F908" t="s">
        <v>1778</v>
      </c>
      <c r="G908" s="72">
        <v>26</v>
      </c>
    </row>
    <row r="909" spans="5:7" x14ac:dyDescent="0.3">
      <c r="E909" t="s">
        <v>2742</v>
      </c>
      <c r="F909" t="s">
        <v>2096</v>
      </c>
      <c r="G909" s="72">
        <v>26</v>
      </c>
    </row>
    <row r="910" spans="5:7" x14ac:dyDescent="0.3">
      <c r="E910" t="s">
        <v>1743</v>
      </c>
      <c r="F910" t="s">
        <v>2096</v>
      </c>
      <c r="G910" s="72">
        <v>26</v>
      </c>
    </row>
    <row r="911" spans="5:7" x14ac:dyDescent="0.3">
      <c r="E911" t="s">
        <v>1849</v>
      </c>
      <c r="F911" t="s">
        <v>1408</v>
      </c>
      <c r="G911" s="72">
        <v>26</v>
      </c>
    </row>
    <row r="912" spans="5:7" x14ac:dyDescent="0.3">
      <c r="E912" t="s">
        <v>2743</v>
      </c>
      <c r="F912" t="s">
        <v>1602</v>
      </c>
      <c r="G912" s="72">
        <v>26</v>
      </c>
    </row>
    <row r="913" spans="5:7" x14ac:dyDescent="0.3">
      <c r="E913" t="s">
        <v>1770</v>
      </c>
      <c r="F913" t="s">
        <v>1778</v>
      </c>
      <c r="G913" s="72">
        <v>26</v>
      </c>
    </row>
    <row r="914" spans="5:7" x14ac:dyDescent="0.3">
      <c r="E914" t="s">
        <v>2744</v>
      </c>
      <c r="F914" t="s">
        <v>2097</v>
      </c>
      <c r="G914" s="72">
        <v>26</v>
      </c>
    </row>
    <row r="915" spans="5:7" x14ac:dyDescent="0.3">
      <c r="E915" t="s">
        <v>2528</v>
      </c>
      <c r="F915" t="s">
        <v>1744</v>
      </c>
      <c r="G915" s="72">
        <v>26</v>
      </c>
    </row>
    <row r="916" spans="5:7" x14ac:dyDescent="0.3">
      <c r="E916" t="s">
        <v>2529</v>
      </c>
      <c r="F916" t="s">
        <v>1744</v>
      </c>
      <c r="G916" s="72">
        <v>26</v>
      </c>
    </row>
    <row r="917" spans="5:7" x14ac:dyDescent="0.3">
      <c r="E917" t="s">
        <v>1886</v>
      </c>
      <c r="F917" t="s">
        <v>1661</v>
      </c>
      <c r="G917" s="72">
        <v>26</v>
      </c>
    </row>
    <row r="918" spans="5:7" x14ac:dyDescent="0.3">
      <c r="E918" t="s">
        <v>1854</v>
      </c>
      <c r="F918" t="s">
        <v>1402</v>
      </c>
      <c r="G918" s="72">
        <v>26</v>
      </c>
    </row>
    <row r="919" spans="5:7" x14ac:dyDescent="0.3">
      <c r="E919" t="s">
        <v>2745</v>
      </c>
      <c r="F919" t="s">
        <v>1617</v>
      </c>
      <c r="G919" s="72">
        <v>26</v>
      </c>
    </row>
    <row r="920" spans="5:7" x14ac:dyDescent="0.3">
      <c r="E920" t="s">
        <v>1856</v>
      </c>
      <c r="F920" t="s">
        <v>1776</v>
      </c>
      <c r="G920" s="72">
        <v>26</v>
      </c>
    </row>
    <row r="921" spans="5:7" x14ac:dyDescent="0.3">
      <c r="E921" t="s">
        <v>2560</v>
      </c>
      <c r="F921" t="s">
        <v>1745</v>
      </c>
      <c r="G921" s="72">
        <v>26</v>
      </c>
    </row>
    <row r="922" spans="5:7" x14ac:dyDescent="0.3">
      <c r="E922" t="s">
        <v>2531</v>
      </c>
      <c r="F922" t="s">
        <v>1745</v>
      </c>
      <c r="G922" s="72">
        <v>26</v>
      </c>
    </row>
    <row r="923" spans="5:7" x14ac:dyDescent="0.3">
      <c r="E923" t="s">
        <v>1858</v>
      </c>
      <c r="F923" t="s">
        <v>1425</v>
      </c>
      <c r="G923" s="72">
        <v>26</v>
      </c>
    </row>
    <row r="924" spans="5:7" x14ac:dyDescent="0.3">
      <c r="E924" t="s">
        <v>2746</v>
      </c>
      <c r="F924" t="s">
        <v>2138</v>
      </c>
      <c r="G924" s="72">
        <v>26</v>
      </c>
    </row>
    <row r="925" spans="5:7" x14ac:dyDescent="0.3">
      <c r="E925" t="s">
        <v>2747</v>
      </c>
      <c r="F925" t="s">
        <v>1610</v>
      </c>
      <c r="G925" s="72">
        <v>26</v>
      </c>
    </row>
    <row r="926" spans="5:7" x14ac:dyDescent="0.3">
      <c r="E926" t="s">
        <v>1859</v>
      </c>
      <c r="F926" t="s">
        <v>1777</v>
      </c>
      <c r="G926" s="72">
        <v>26</v>
      </c>
    </row>
    <row r="927" spans="5:7" x14ac:dyDescent="0.3">
      <c r="E927" t="s">
        <v>2492</v>
      </c>
      <c r="F927" t="s">
        <v>1735</v>
      </c>
      <c r="G927" s="72" t="s">
        <v>1890</v>
      </c>
    </row>
    <row r="928" spans="5:7" x14ac:dyDescent="0.3">
      <c r="E928" t="s">
        <v>1851</v>
      </c>
      <c r="F928" t="s">
        <v>2790</v>
      </c>
      <c r="G928" s="72" t="s">
        <v>1890</v>
      </c>
    </row>
    <row r="929" spans="5:7" x14ac:dyDescent="0.3">
      <c r="E929" t="s">
        <v>2731</v>
      </c>
      <c r="F929" t="s">
        <v>1750</v>
      </c>
      <c r="G929" s="72" t="s">
        <v>1890</v>
      </c>
    </row>
    <row r="930" spans="5:7" x14ac:dyDescent="0.3">
      <c r="E930" t="s">
        <v>2492</v>
      </c>
      <c r="F930" t="s">
        <v>1747</v>
      </c>
      <c r="G930" s="72" t="s">
        <v>1933</v>
      </c>
    </row>
    <row r="931" spans="5:7" x14ac:dyDescent="0.3">
      <c r="E931" t="s">
        <v>1851</v>
      </c>
      <c r="F931" t="s">
        <v>1408</v>
      </c>
      <c r="G931" s="72" t="s">
        <v>1933</v>
      </c>
    </row>
    <row r="932" spans="5:7" x14ac:dyDescent="0.3">
      <c r="E932" t="s">
        <v>2731</v>
      </c>
      <c r="F932" t="s">
        <v>2140</v>
      </c>
      <c r="G932" s="72" t="s">
        <v>1933</v>
      </c>
    </row>
    <row r="933" spans="5:7" x14ac:dyDescent="0.3">
      <c r="E933" t="s">
        <v>2492</v>
      </c>
      <c r="F933" t="s">
        <v>1735</v>
      </c>
      <c r="G933" s="72" t="s">
        <v>1934</v>
      </c>
    </row>
    <row r="934" spans="5:7" x14ac:dyDescent="0.3">
      <c r="E934" t="s">
        <v>1851</v>
      </c>
      <c r="F934" t="s">
        <v>2790</v>
      </c>
      <c r="G934" s="72" t="s">
        <v>1934</v>
      </c>
    </row>
    <row r="935" spans="5:7" x14ac:dyDescent="0.3">
      <c r="E935" t="s">
        <v>2731</v>
      </c>
      <c r="F935" t="s">
        <v>1750</v>
      </c>
      <c r="G935" s="72" t="s">
        <v>1934</v>
      </c>
    </row>
    <row r="936" spans="5:7" x14ac:dyDescent="0.3">
      <c r="E936" t="s">
        <v>1838</v>
      </c>
      <c r="F936" t="s">
        <v>1401</v>
      </c>
      <c r="G936" s="72">
        <v>26</v>
      </c>
    </row>
    <row r="937" spans="5:7" x14ac:dyDescent="0.3">
      <c r="E937" t="s">
        <v>2738</v>
      </c>
      <c r="F937" t="s">
        <v>1615</v>
      </c>
      <c r="G937" s="72">
        <v>26</v>
      </c>
    </row>
    <row r="938" spans="5:7" x14ac:dyDescent="0.3">
      <c r="E938" t="s">
        <v>2631</v>
      </c>
      <c r="F938" t="s">
        <v>1780</v>
      </c>
      <c r="G938" s="72">
        <v>26</v>
      </c>
    </row>
    <row r="939" spans="5:7" x14ac:dyDescent="0.3">
      <c r="E939" t="s">
        <v>2600</v>
      </c>
      <c r="F939" t="s">
        <v>1408</v>
      </c>
      <c r="G939" s="72">
        <v>26</v>
      </c>
    </row>
    <row r="940" spans="5:7" x14ac:dyDescent="0.3">
      <c r="E940" t="s">
        <v>1743</v>
      </c>
      <c r="F940" t="s">
        <v>2096</v>
      </c>
      <c r="G940" s="72">
        <v>26</v>
      </c>
    </row>
    <row r="941" spans="5:7" x14ac:dyDescent="0.3">
      <c r="E941" t="s">
        <v>1849</v>
      </c>
      <c r="F941" t="s">
        <v>1408</v>
      </c>
      <c r="G941" s="72">
        <v>26</v>
      </c>
    </row>
    <row r="942" spans="5:7" x14ac:dyDescent="0.3">
      <c r="E942" t="s">
        <v>2743</v>
      </c>
      <c r="F942" t="s">
        <v>1602</v>
      </c>
      <c r="G942" s="72">
        <v>26</v>
      </c>
    </row>
    <row r="943" spans="5:7" x14ac:dyDescent="0.3">
      <c r="E943" t="s">
        <v>1770</v>
      </c>
      <c r="F943" t="s">
        <v>1778</v>
      </c>
      <c r="G943" s="72">
        <v>26</v>
      </c>
    </row>
    <row r="944" spans="5:7" x14ac:dyDescent="0.3">
      <c r="E944" t="s">
        <v>1854</v>
      </c>
      <c r="F944" t="s">
        <v>1402</v>
      </c>
      <c r="G944" s="72">
        <v>26</v>
      </c>
    </row>
    <row r="945" spans="5:7" x14ac:dyDescent="0.3">
      <c r="E945" t="s">
        <v>2745</v>
      </c>
      <c r="F945" t="s">
        <v>1617</v>
      </c>
      <c r="G945" s="72">
        <v>26</v>
      </c>
    </row>
    <row r="946" spans="5:7" x14ac:dyDescent="0.3">
      <c r="E946" t="s">
        <v>1856</v>
      </c>
      <c r="F946" t="s">
        <v>1776</v>
      </c>
      <c r="G946" s="72">
        <v>26</v>
      </c>
    </row>
    <row r="947" spans="5:7" x14ac:dyDescent="0.3">
      <c r="E947" t="s">
        <v>1858</v>
      </c>
      <c r="F947" t="s">
        <v>1425</v>
      </c>
      <c r="G947" s="72">
        <v>26</v>
      </c>
    </row>
    <row r="948" spans="5:7" x14ac:dyDescent="0.3">
      <c r="E948" t="s">
        <v>2747</v>
      </c>
      <c r="F948" t="s">
        <v>1610</v>
      </c>
      <c r="G948" s="72">
        <v>26</v>
      </c>
    </row>
    <row r="949" spans="5:7" x14ac:dyDescent="0.3">
      <c r="E949" t="s">
        <v>1859</v>
      </c>
      <c r="F949" t="s">
        <v>1777</v>
      </c>
      <c r="G949" s="72">
        <v>26</v>
      </c>
    </row>
    <row r="950" spans="5:7" x14ac:dyDescent="0.3">
      <c r="E950" t="s">
        <v>1851</v>
      </c>
      <c r="F950" t="s">
        <v>2790</v>
      </c>
      <c r="G950" s="72" t="s">
        <v>1890</v>
      </c>
    </row>
    <row r="951" spans="5:7" x14ac:dyDescent="0.3">
      <c r="E951" t="s">
        <v>1851</v>
      </c>
      <c r="F951" t="s">
        <v>1408</v>
      </c>
      <c r="G951" s="72" t="s">
        <v>1933</v>
      </c>
    </row>
    <row r="952" spans="5:7" x14ac:dyDescent="0.3">
      <c r="E952" t="s">
        <v>1851</v>
      </c>
      <c r="F952" t="s">
        <v>2790</v>
      </c>
      <c r="G952" s="72" t="s">
        <v>1934</v>
      </c>
    </row>
    <row r="953" spans="5:7" x14ac:dyDescent="0.3">
      <c r="E953" t="s">
        <v>2738</v>
      </c>
      <c r="F953" t="s">
        <v>1621</v>
      </c>
      <c r="G953" s="72" t="s">
        <v>1890</v>
      </c>
    </row>
    <row r="954" spans="5:7" x14ac:dyDescent="0.3">
      <c r="E954" t="s">
        <v>2738</v>
      </c>
      <c r="F954" t="s">
        <v>1621</v>
      </c>
      <c r="G954" s="72" t="s">
        <v>1934</v>
      </c>
    </row>
    <row r="955" spans="5:7" x14ac:dyDescent="0.3">
      <c r="E955" t="s">
        <v>1792</v>
      </c>
      <c r="F955" t="s">
        <v>1616</v>
      </c>
      <c r="G955" s="72">
        <v>26</v>
      </c>
    </row>
    <row r="956" spans="5:7" x14ac:dyDescent="0.3">
      <c r="E956" t="s">
        <v>2399</v>
      </c>
      <c r="F956" t="s">
        <v>1618</v>
      </c>
      <c r="G956" s="72">
        <v>26</v>
      </c>
    </row>
    <row r="957" spans="5:7" x14ac:dyDescent="0.3">
      <c r="E957" t="s">
        <v>2748</v>
      </c>
      <c r="F957" t="s">
        <v>1606</v>
      </c>
      <c r="G957" s="72">
        <v>26</v>
      </c>
    </row>
    <row r="958" spans="5:7" x14ac:dyDescent="0.3">
      <c r="E958" t="s">
        <v>2749</v>
      </c>
      <c r="F958" t="s">
        <v>1614</v>
      </c>
      <c r="G958" s="72">
        <v>26</v>
      </c>
    </row>
    <row r="959" spans="5:7" x14ac:dyDescent="0.3">
      <c r="E959" t="s">
        <v>1813</v>
      </c>
      <c r="F959" t="s">
        <v>1599</v>
      </c>
      <c r="G959" s="72">
        <v>26</v>
      </c>
    </row>
    <row r="960" spans="5:7" x14ac:dyDescent="0.3">
      <c r="E960" t="s">
        <v>2146</v>
      </c>
      <c r="F960" t="s">
        <v>1602</v>
      </c>
      <c r="G960" s="72">
        <v>26</v>
      </c>
    </row>
    <row r="961" spans="5:7" x14ac:dyDescent="0.3">
      <c r="E961" t="s">
        <v>2634</v>
      </c>
      <c r="F961" t="s">
        <v>1619</v>
      </c>
      <c r="G961" s="72" t="s">
        <v>2130</v>
      </c>
    </row>
    <row r="962" spans="5:7" x14ac:dyDescent="0.3">
      <c r="E962" t="s">
        <v>2750</v>
      </c>
      <c r="F962" t="s">
        <v>1619</v>
      </c>
      <c r="G962" s="72" t="s">
        <v>2130</v>
      </c>
    </row>
    <row r="963" spans="5:7" x14ac:dyDescent="0.3">
      <c r="E963" t="s">
        <v>2399</v>
      </c>
      <c r="F963" t="s">
        <v>1621</v>
      </c>
      <c r="G963" s="72" t="s">
        <v>1890</v>
      </c>
    </row>
    <row r="964" spans="5:7" x14ac:dyDescent="0.3">
      <c r="E964" t="s">
        <v>1839</v>
      </c>
      <c r="F964" t="s">
        <v>1621</v>
      </c>
      <c r="G964" s="72" t="s">
        <v>1890</v>
      </c>
    </row>
    <row r="965" spans="5:7" x14ac:dyDescent="0.3">
      <c r="E965" t="s">
        <v>2751</v>
      </c>
      <c r="F965" t="s">
        <v>1621</v>
      </c>
      <c r="G965" s="72" t="s">
        <v>1890</v>
      </c>
    </row>
    <row r="966" spans="5:7" x14ac:dyDescent="0.3">
      <c r="E966" t="s">
        <v>2752</v>
      </c>
      <c r="F966" t="s">
        <v>1621</v>
      </c>
      <c r="G966" s="72" t="s">
        <v>1890</v>
      </c>
    </row>
    <row r="967" spans="5:7" x14ac:dyDescent="0.3">
      <c r="E967" t="s">
        <v>2751</v>
      </c>
      <c r="F967" t="s">
        <v>1602</v>
      </c>
      <c r="G967" s="72" t="s">
        <v>1933</v>
      </c>
    </row>
    <row r="968" spans="5:7" x14ac:dyDescent="0.3">
      <c r="E968" t="s">
        <v>2399</v>
      </c>
      <c r="F968" t="s">
        <v>1621</v>
      </c>
      <c r="G968" s="72" t="s">
        <v>1934</v>
      </c>
    </row>
    <row r="969" spans="5:7" x14ac:dyDescent="0.3">
      <c r="E969" t="s">
        <v>1839</v>
      </c>
      <c r="F969" t="s">
        <v>1621</v>
      </c>
      <c r="G969" s="72" t="s">
        <v>1934</v>
      </c>
    </row>
    <row r="970" spans="5:7" x14ac:dyDescent="0.3">
      <c r="E970" t="s">
        <v>2751</v>
      </c>
      <c r="F970" t="s">
        <v>1621</v>
      </c>
      <c r="G970" s="72" t="s">
        <v>1934</v>
      </c>
    </row>
    <row r="971" spans="5:7" x14ac:dyDescent="0.3">
      <c r="E971" t="s">
        <v>2752</v>
      </c>
      <c r="F971" t="s">
        <v>1621</v>
      </c>
      <c r="G971" s="72" t="s">
        <v>1934</v>
      </c>
    </row>
    <row r="972" spans="5:7" x14ac:dyDescent="0.3">
      <c r="E972" t="s">
        <v>1792</v>
      </c>
      <c r="F972" t="s">
        <v>1616</v>
      </c>
      <c r="G972" s="72">
        <v>26</v>
      </c>
    </row>
    <row r="973" spans="5:7" x14ac:dyDescent="0.3">
      <c r="E973" t="s">
        <v>2399</v>
      </c>
      <c r="F973" t="s">
        <v>1618</v>
      </c>
      <c r="G973" s="72">
        <v>26</v>
      </c>
    </row>
    <row r="974" spans="5:7" x14ac:dyDescent="0.3">
      <c r="E974" t="s">
        <v>2753</v>
      </c>
      <c r="F974" t="s">
        <v>1616</v>
      </c>
      <c r="G974" s="72">
        <v>26</v>
      </c>
    </row>
    <row r="975" spans="5:7" x14ac:dyDescent="0.3">
      <c r="E975" t="s">
        <v>2749</v>
      </c>
      <c r="F975" t="s">
        <v>1614</v>
      </c>
      <c r="G975" s="72">
        <v>26</v>
      </c>
    </row>
    <row r="976" spans="5:7" x14ac:dyDescent="0.3">
      <c r="E976" t="s">
        <v>2754</v>
      </c>
      <c r="F976" t="s">
        <v>2123</v>
      </c>
      <c r="G976" s="72">
        <v>26</v>
      </c>
    </row>
    <row r="977" spans="5:7" x14ac:dyDescent="0.3">
      <c r="E977" t="s">
        <v>2755</v>
      </c>
      <c r="F977" t="s">
        <v>1614</v>
      </c>
      <c r="G977" s="72">
        <v>26</v>
      </c>
    </row>
    <row r="978" spans="5:7" x14ac:dyDescent="0.3">
      <c r="E978" t="s">
        <v>2750</v>
      </c>
      <c r="F978" t="s">
        <v>1619</v>
      </c>
      <c r="G978" s="72" t="s">
        <v>2130</v>
      </c>
    </row>
    <row r="979" spans="5:7" x14ac:dyDescent="0.3">
      <c r="E979" t="s">
        <v>2399</v>
      </c>
      <c r="F979" t="s">
        <v>1621</v>
      </c>
      <c r="G979" s="72" t="s">
        <v>1890</v>
      </c>
    </row>
    <row r="980" spans="5:7" x14ac:dyDescent="0.3">
      <c r="E980" t="s">
        <v>2399</v>
      </c>
      <c r="F980" t="s">
        <v>1621</v>
      </c>
      <c r="G980" s="72" t="s">
        <v>1934</v>
      </c>
    </row>
    <row r="981" spans="5:7" x14ac:dyDescent="0.3">
      <c r="E981" t="s">
        <v>2608</v>
      </c>
      <c r="F981" t="s">
        <v>1411</v>
      </c>
      <c r="G981" s="72">
        <v>26</v>
      </c>
    </row>
    <row r="982" spans="5:7" x14ac:dyDescent="0.3">
      <c r="E982" t="s">
        <v>1870</v>
      </c>
      <c r="F982" t="s">
        <v>1713</v>
      </c>
      <c r="G982" s="72">
        <v>26</v>
      </c>
    </row>
    <row r="983" spans="5:7" x14ac:dyDescent="0.3">
      <c r="E983" t="s">
        <v>1887</v>
      </c>
      <c r="F983" t="s">
        <v>1712</v>
      </c>
      <c r="G983" s="72">
        <v>26</v>
      </c>
    </row>
    <row r="984" spans="5:7" x14ac:dyDescent="0.3">
      <c r="E984" t="s">
        <v>2663</v>
      </c>
      <c r="F984" t="s">
        <v>1451</v>
      </c>
      <c r="G984" s="72" t="s">
        <v>1890</v>
      </c>
    </row>
    <row r="985" spans="5:7" x14ac:dyDescent="0.3">
      <c r="E985" t="s">
        <v>2673</v>
      </c>
      <c r="F985" t="s">
        <v>2141</v>
      </c>
      <c r="G985" s="72" t="s">
        <v>1890</v>
      </c>
    </row>
    <row r="986" spans="5:7" x14ac:dyDescent="0.3">
      <c r="E986" t="s">
        <v>2402</v>
      </c>
      <c r="F986" t="s">
        <v>1761</v>
      </c>
      <c r="G986" s="72" t="s">
        <v>1890</v>
      </c>
    </row>
    <row r="987" spans="5:7" x14ac:dyDescent="0.3">
      <c r="E987" t="s">
        <v>2663</v>
      </c>
      <c r="F987" t="s">
        <v>1451</v>
      </c>
      <c r="G987" s="72" t="s">
        <v>1934</v>
      </c>
    </row>
    <row r="988" spans="5:7" x14ac:dyDescent="0.3">
      <c r="E988" t="s">
        <v>2673</v>
      </c>
      <c r="F988" t="s">
        <v>2141</v>
      </c>
      <c r="G988" s="72" t="s">
        <v>1934</v>
      </c>
    </row>
    <row r="989" spans="5:7" x14ac:dyDescent="0.3">
      <c r="E989" t="s">
        <v>2402</v>
      </c>
      <c r="F989" t="s">
        <v>1761</v>
      </c>
      <c r="G989" s="72" t="s">
        <v>1934</v>
      </c>
    </row>
    <row r="990" spans="5:7" x14ac:dyDescent="0.3">
      <c r="E990" t="s">
        <v>1870</v>
      </c>
      <c r="F990" t="s">
        <v>1713</v>
      </c>
      <c r="G990" s="72">
        <v>26</v>
      </c>
    </row>
    <row r="991" spans="5:7" x14ac:dyDescent="0.3">
      <c r="E991" t="s">
        <v>1887</v>
      </c>
      <c r="F991" t="s">
        <v>1712</v>
      </c>
      <c r="G991" s="72">
        <v>26</v>
      </c>
    </row>
    <row r="992" spans="5:7" x14ac:dyDescent="0.3">
      <c r="E992" t="s">
        <v>2402</v>
      </c>
      <c r="F992" t="s">
        <v>1761</v>
      </c>
      <c r="G992" s="72" t="s">
        <v>1890</v>
      </c>
    </row>
    <row r="993" spans="5:7" x14ac:dyDescent="0.3">
      <c r="E993" t="s">
        <v>2402</v>
      </c>
      <c r="F993" t="s">
        <v>1761</v>
      </c>
      <c r="G993" s="72" t="s">
        <v>1934</v>
      </c>
    </row>
    <row r="994" spans="5:7" x14ac:dyDescent="0.3">
      <c r="E994" t="s">
        <v>2445</v>
      </c>
      <c r="F994" t="s">
        <v>1749</v>
      </c>
      <c r="G994" s="72" t="s">
        <v>2131</v>
      </c>
    </row>
    <row r="995" spans="5:7" x14ac:dyDescent="0.3">
      <c r="E995" t="s">
        <v>2452</v>
      </c>
      <c r="F995" t="s">
        <v>1749</v>
      </c>
      <c r="G995" s="72" t="s">
        <v>2131</v>
      </c>
    </row>
    <row r="996" spans="5:7" x14ac:dyDescent="0.3">
      <c r="E996" t="s">
        <v>1804</v>
      </c>
      <c r="F996" t="s">
        <v>1409</v>
      </c>
      <c r="G996" s="72" t="s">
        <v>2131</v>
      </c>
    </row>
    <row r="997" spans="5:7" x14ac:dyDescent="0.3">
      <c r="E997" t="s">
        <v>2673</v>
      </c>
      <c r="F997" t="s">
        <v>2121</v>
      </c>
      <c r="G997" s="72" t="s">
        <v>2131</v>
      </c>
    </row>
    <row r="998" spans="5:7" x14ac:dyDescent="0.3">
      <c r="E998" t="s">
        <v>2408</v>
      </c>
      <c r="F998" t="s">
        <v>1739</v>
      </c>
      <c r="G998" s="72" t="s">
        <v>2131</v>
      </c>
    </row>
    <row r="999" spans="5:7" x14ac:dyDescent="0.3">
      <c r="E999" t="s">
        <v>2599</v>
      </c>
      <c r="F999" t="s">
        <v>1747</v>
      </c>
      <c r="G999" s="72" t="s">
        <v>2131</v>
      </c>
    </row>
    <row r="1000" spans="5:7" x14ac:dyDescent="0.3">
      <c r="E1000" t="s">
        <v>2493</v>
      </c>
      <c r="F1000" t="s">
        <v>1748</v>
      </c>
      <c r="G1000" s="72" t="s">
        <v>2131</v>
      </c>
    </row>
    <row r="1001" spans="5:7" x14ac:dyDescent="0.3">
      <c r="E1001" t="s">
        <v>2531</v>
      </c>
      <c r="F1001" t="s">
        <v>1745</v>
      </c>
      <c r="G1001" s="72" t="s">
        <v>2131</v>
      </c>
    </row>
    <row r="1002" spans="5:7" x14ac:dyDescent="0.3">
      <c r="E1002" t="s">
        <v>2608</v>
      </c>
      <c r="F1002" t="s">
        <v>1411</v>
      </c>
      <c r="G1002" s="72" t="s">
        <v>2085</v>
      </c>
    </row>
    <row r="1003" spans="5:7" x14ac:dyDescent="0.3">
      <c r="E1003" t="s">
        <v>1892</v>
      </c>
      <c r="F1003" t="s">
        <v>1419</v>
      </c>
      <c r="G1003" s="72" t="s">
        <v>2085</v>
      </c>
    </row>
    <row r="1004" spans="5:7" x14ac:dyDescent="0.3">
      <c r="E1004" t="s">
        <v>2556</v>
      </c>
      <c r="F1004" t="s">
        <v>1738</v>
      </c>
      <c r="G1004" s="72" t="s">
        <v>2085</v>
      </c>
    </row>
    <row r="1005" spans="5:7" x14ac:dyDescent="0.3">
      <c r="E1005" t="s">
        <v>2440</v>
      </c>
      <c r="F1005" t="s">
        <v>1738</v>
      </c>
      <c r="G1005" s="72" t="s">
        <v>2085</v>
      </c>
    </row>
    <row r="1006" spans="5:7" x14ac:dyDescent="0.3">
      <c r="E1006" t="s">
        <v>2401</v>
      </c>
      <c r="F1006" t="s">
        <v>1429</v>
      </c>
      <c r="G1006" s="72" t="s">
        <v>2085</v>
      </c>
    </row>
    <row r="1007" spans="5:7" x14ac:dyDescent="0.3">
      <c r="E1007" t="s">
        <v>1793</v>
      </c>
      <c r="F1007" t="s">
        <v>1766</v>
      </c>
      <c r="G1007" s="72" t="s">
        <v>2085</v>
      </c>
    </row>
    <row r="1008" spans="5:7" x14ac:dyDescent="0.3">
      <c r="E1008" t="s">
        <v>2756</v>
      </c>
      <c r="F1008" t="s">
        <v>1409</v>
      </c>
      <c r="G1008" s="72" t="s">
        <v>2085</v>
      </c>
    </row>
    <row r="1009" spans="5:7" x14ac:dyDescent="0.3">
      <c r="E1009" t="s">
        <v>1794</v>
      </c>
      <c r="F1009" t="s">
        <v>1409</v>
      </c>
      <c r="G1009" s="72" t="s">
        <v>2085</v>
      </c>
    </row>
    <row r="1010" spans="5:7" x14ac:dyDescent="0.3">
      <c r="E1010" t="s">
        <v>2757</v>
      </c>
      <c r="F1010" t="s">
        <v>2138</v>
      </c>
      <c r="G1010" s="72" t="s">
        <v>2085</v>
      </c>
    </row>
    <row r="1011" spans="5:7" x14ac:dyDescent="0.3">
      <c r="E1011" t="s">
        <v>1795</v>
      </c>
      <c r="F1011" t="s">
        <v>1618</v>
      </c>
      <c r="G1011" s="72" t="s">
        <v>2085</v>
      </c>
    </row>
    <row r="1012" spans="5:7" x14ac:dyDescent="0.3">
      <c r="E1012" t="s">
        <v>2445</v>
      </c>
      <c r="F1012" t="s">
        <v>1749</v>
      </c>
      <c r="G1012" s="72" t="s">
        <v>2085</v>
      </c>
    </row>
    <row r="1013" spans="5:7" x14ac:dyDescent="0.3">
      <c r="E1013" t="s">
        <v>2452</v>
      </c>
      <c r="F1013" t="s">
        <v>1749</v>
      </c>
      <c r="G1013" s="72" t="s">
        <v>2085</v>
      </c>
    </row>
    <row r="1014" spans="5:7" x14ac:dyDescent="0.3">
      <c r="E1014" t="s">
        <v>2758</v>
      </c>
      <c r="F1014" t="s">
        <v>1409</v>
      </c>
      <c r="G1014" s="72" t="s">
        <v>2085</v>
      </c>
    </row>
    <row r="1015" spans="5:7" x14ac:dyDescent="0.3">
      <c r="E1015" t="s">
        <v>1804</v>
      </c>
      <c r="F1015" t="s">
        <v>1409</v>
      </c>
      <c r="G1015" s="72" t="s">
        <v>2085</v>
      </c>
    </row>
    <row r="1016" spans="5:7" x14ac:dyDescent="0.3">
      <c r="E1016" t="s">
        <v>2399</v>
      </c>
      <c r="F1016" t="s">
        <v>1618</v>
      </c>
      <c r="G1016" s="72" t="s">
        <v>2085</v>
      </c>
    </row>
    <row r="1017" spans="5:7" x14ac:dyDescent="0.3">
      <c r="E1017" t="s">
        <v>1805</v>
      </c>
      <c r="F1017" t="s">
        <v>1764</v>
      </c>
      <c r="G1017" s="72" t="s">
        <v>2085</v>
      </c>
    </row>
    <row r="1018" spans="5:7" x14ac:dyDescent="0.3">
      <c r="E1018" t="s">
        <v>2619</v>
      </c>
      <c r="F1018" t="s">
        <v>1438</v>
      </c>
      <c r="G1018" s="72" t="s">
        <v>2085</v>
      </c>
    </row>
    <row r="1019" spans="5:7" x14ac:dyDescent="0.3">
      <c r="E1019" t="s">
        <v>2759</v>
      </c>
      <c r="F1019" t="s">
        <v>1438</v>
      </c>
      <c r="G1019" s="72" t="s">
        <v>2085</v>
      </c>
    </row>
    <row r="1020" spans="5:7" x14ac:dyDescent="0.3">
      <c r="E1020" t="s">
        <v>1812</v>
      </c>
      <c r="F1020" t="s">
        <v>1404</v>
      </c>
      <c r="G1020" s="72" t="s">
        <v>2085</v>
      </c>
    </row>
    <row r="1021" spans="5:7" x14ac:dyDescent="0.3">
      <c r="E1021" t="s">
        <v>2522</v>
      </c>
      <c r="F1021" t="s">
        <v>1740</v>
      </c>
      <c r="G1021" s="72" t="s">
        <v>2085</v>
      </c>
    </row>
    <row r="1022" spans="5:7" x14ac:dyDescent="0.3">
      <c r="E1022" t="s">
        <v>1838</v>
      </c>
      <c r="F1022" t="s">
        <v>1401</v>
      </c>
      <c r="G1022" s="72" t="s">
        <v>2085</v>
      </c>
    </row>
    <row r="1023" spans="5:7" x14ac:dyDescent="0.3">
      <c r="E1023" t="s">
        <v>2472</v>
      </c>
      <c r="F1023" t="s">
        <v>1420</v>
      </c>
      <c r="G1023" s="72" t="s">
        <v>2085</v>
      </c>
    </row>
    <row r="1024" spans="5:7" x14ac:dyDescent="0.3">
      <c r="E1024" t="s">
        <v>2402</v>
      </c>
      <c r="F1024" t="s">
        <v>1763</v>
      </c>
      <c r="G1024" s="72" t="s">
        <v>2085</v>
      </c>
    </row>
    <row r="1025" spans="5:7" x14ac:dyDescent="0.3">
      <c r="E1025" t="s">
        <v>2599</v>
      </c>
      <c r="F1025" t="s">
        <v>1747</v>
      </c>
      <c r="G1025" s="72" t="s">
        <v>2085</v>
      </c>
    </row>
    <row r="1026" spans="5:7" x14ac:dyDescent="0.3">
      <c r="E1026" t="s">
        <v>2760</v>
      </c>
      <c r="F1026" t="s">
        <v>1408</v>
      </c>
      <c r="G1026" s="72" t="s">
        <v>2085</v>
      </c>
    </row>
    <row r="1027" spans="5:7" x14ac:dyDescent="0.3">
      <c r="E1027" t="s">
        <v>2600</v>
      </c>
      <c r="F1027" t="s">
        <v>1426</v>
      </c>
      <c r="G1027" s="72" t="s">
        <v>2085</v>
      </c>
    </row>
    <row r="1028" spans="5:7" x14ac:dyDescent="0.3">
      <c r="E1028" t="s">
        <v>1851</v>
      </c>
      <c r="F1028" t="s">
        <v>1408</v>
      </c>
      <c r="G1028" s="72" t="s">
        <v>2085</v>
      </c>
    </row>
    <row r="1029" spans="5:7" x14ac:dyDescent="0.3">
      <c r="E1029" t="s">
        <v>2529</v>
      </c>
      <c r="F1029" t="s">
        <v>1744</v>
      </c>
      <c r="G1029" s="72" t="s">
        <v>2085</v>
      </c>
    </row>
    <row r="1030" spans="5:7" x14ac:dyDescent="0.3">
      <c r="E1030" t="s">
        <v>1854</v>
      </c>
      <c r="F1030" t="s">
        <v>1402</v>
      </c>
      <c r="G1030" s="72" t="s">
        <v>2085</v>
      </c>
    </row>
    <row r="1031" spans="5:7" x14ac:dyDescent="0.3">
      <c r="E1031" t="s">
        <v>1855</v>
      </c>
      <c r="F1031" t="s">
        <v>1617</v>
      </c>
      <c r="G1031" s="72" t="s">
        <v>2085</v>
      </c>
    </row>
    <row r="1032" spans="5:7" x14ac:dyDescent="0.3">
      <c r="E1032" t="s">
        <v>2560</v>
      </c>
      <c r="F1032" t="s">
        <v>1745</v>
      </c>
      <c r="G1032" s="72" t="s">
        <v>2085</v>
      </c>
    </row>
    <row r="1033" spans="5:7" x14ac:dyDescent="0.3">
      <c r="E1033" t="s">
        <v>2531</v>
      </c>
      <c r="F1033" t="s">
        <v>1745</v>
      </c>
      <c r="G1033" s="72" t="s">
        <v>2085</v>
      </c>
    </row>
    <row r="1034" spans="5:7" x14ac:dyDescent="0.3">
      <c r="E1034" t="s">
        <v>1858</v>
      </c>
      <c r="F1034" t="s">
        <v>1425</v>
      </c>
      <c r="G1034" s="72" t="s">
        <v>2085</v>
      </c>
    </row>
    <row r="1035" spans="5:7" x14ac:dyDescent="0.3">
      <c r="E1035" t="s">
        <v>2761</v>
      </c>
      <c r="F1035" t="s">
        <v>1610</v>
      </c>
      <c r="G1035" s="72" t="s">
        <v>2085</v>
      </c>
    </row>
    <row r="1036" spans="5:7" x14ac:dyDescent="0.3">
      <c r="E1036" t="s">
        <v>2452</v>
      </c>
      <c r="F1036" t="s">
        <v>1749</v>
      </c>
      <c r="G1036" s="72" t="s">
        <v>2131</v>
      </c>
    </row>
    <row r="1037" spans="5:7" x14ac:dyDescent="0.3">
      <c r="E1037" t="s">
        <v>1804</v>
      </c>
      <c r="F1037" t="s">
        <v>1409</v>
      </c>
      <c r="G1037" s="72" t="s">
        <v>2131</v>
      </c>
    </row>
    <row r="1038" spans="5:7" x14ac:dyDescent="0.3">
      <c r="E1038" t="s">
        <v>1812</v>
      </c>
      <c r="F1038" t="s">
        <v>1404</v>
      </c>
      <c r="G1038" s="72" t="s">
        <v>2131</v>
      </c>
    </row>
    <row r="1039" spans="5:7" x14ac:dyDescent="0.3">
      <c r="E1039" t="s">
        <v>2600</v>
      </c>
      <c r="F1039" t="s">
        <v>1408</v>
      </c>
      <c r="G1039" s="72" t="s">
        <v>2131</v>
      </c>
    </row>
    <row r="1040" spans="5:7" x14ac:dyDescent="0.3">
      <c r="E1040" t="s">
        <v>1851</v>
      </c>
      <c r="F1040" t="s">
        <v>1408</v>
      </c>
      <c r="G1040" s="72" t="s">
        <v>2131</v>
      </c>
    </row>
    <row r="1041" spans="5:7" x14ac:dyDescent="0.3">
      <c r="E1041" t="s">
        <v>1854</v>
      </c>
      <c r="F1041" t="s">
        <v>1402</v>
      </c>
      <c r="G1041" s="72" t="s">
        <v>2131</v>
      </c>
    </row>
    <row r="1042" spans="5:7" x14ac:dyDescent="0.3">
      <c r="E1042" t="s">
        <v>2401</v>
      </c>
      <c r="F1042" t="s">
        <v>1429</v>
      </c>
      <c r="G1042" s="72" t="s">
        <v>2085</v>
      </c>
    </row>
    <row r="1043" spans="5:7" x14ac:dyDescent="0.3">
      <c r="E1043" t="s">
        <v>2756</v>
      </c>
      <c r="F1043" t="s">
        <v>1409</v>
      </c>
      <c r="G1043" s="72" t="s">
        <v>2085</v>
      </c>
    </row>
    <row r="1044" spans="5:7" x14ac:dyDescent="0.3">
      <c r="E1044" t="s">
        <v>1794</v>
      </c>
      <c r="F1044" t="s">
        <v>1409</v>
      </c>
      <c r="G1044" s="72" t="s">
        <v>2085</v>
      </c>
    </row>
    <row r="1045" spans="5:7" x14ac:dyDescent="0.3">
      <c r="E1045" t="s">
        <v>1795</v>
      </c>
      <c r="F1045" t="s">
        <v>1618</v>
      </c>
      <c r="G1045" s="72" t="s">
        <v>2085</v>
      </c>
    </row>
    <row r="1046" spans="5:7" x14ac:dyDescent="0.3">
      <c r="E1046" t="s">
        <v>1804</v>
      </c>
      <c r="F1046" t="s">
        <v>1409</v>
      </c>
      <c r="G1046" s="72" t="s">
        <v>2085</v>
      </c>
    </row>
    <row r="1047" spans="5:7" x14ac:dyDescent="0.3">
      <c r="E1047" t="s">
        <v>1805</v>
      </c>
      <c r="F1047" t="s">
        <v>1764</v>
      </c>
      <c r="G1047" s="72" t="s">
        <v>2085</v>
      </c>
    </row>
    <row r="1048" spans="5:7" x14ac:dyDescent="0.3">
      <c r="E1048" t="s">
        <v>2762</v>
      </c>
      <c r="F1048" t="s">
        <v>1438</v>
      </c>
      <c r="G1048" s="72" t="s">
        <v>2085</v>
      </c>
    </row>
    <row r="1049" spans="5:7" x14ac:dyDescent="0.3">
      <c r="E1049" t="s">
        <v>2759</v>
      </c>
      <c r="F1049" t="s">
        <v>1438</v>
      </c>
      <c r="G1049" s="72" t="s">
        <v>2085</v>
      </c>
    </row>
    <row r="1050" spans="5:7" x14ac:dyDescent="0.3">
      <c r="E1050" t="s">
        <v>1812</v>
      </c>
      <c r="F1050" t="s">
        <v>1404</v>
      </c>
      <c r="G1050" s="72" t="s">
        <v>2085</v>
      </c>
    </row>
    <row r="1051" spans="5:7" x14ac:dyDescent="0.3">
      <c r="E1051" t="s">
        <v>2402</v>
      </c>
      <c r="F1051" t="s">
        <v>1763</v>
      </c>
      <c r="G1051" s="72" t="s">
        <v>2085</v>
      </c>
    </row>
    <row r="1052" spans="5:7" x14ac:dyDescent="0.3">
      <c r="E1052" t="s">
        <v>2600</v>
      </c>
      <c r="F1052" t="s">
        <v>1426</v>
      </c>
      <c r="G1052" s="72" t="s">
        <v>2085</v>
      </c>
    </row>
    <row r="1053" spans="5:7" x14ac:dyDescent="0.3">
      <c r="E1053" t="s">
        <v>1858</v>
      </c>
      <c r="F1053" t="s">
        <v>1425</v>
      </c>
      <c r="G1053" s="72" t="s">
        <v>2085</v>
      </c>
    </row>
    <row r="1054" spans="5:7" x14ac:dyDescent="0.3">
      <c r="E1054" t="s">
        <v>2761</v>
      </c>
      <c r="F1054" t="s">
        <v>1610</v>
      </c>
      <c r="G1054" s="72" t="s">
        <v>2085</v>
      </c>
    </row>
    <row r="1055" spans="5:7" x14ac:dyDescent="0.3">
      <c r="E1055" t="s">
        <v>1859</v>
      </c>
      <c r="F1055" t="s">
        <v>1777</v>
      </c>
      <c r="G1055" s="72" t="s">
        <v>2085</v>
      </c>
    </row>
    <row r="1056" spans="5:7" x14ac:dyDescent="0.3">
      <c r="E1056" t="s">
        <v>2761</v>
      </c>
      <c r="F1056" t="s">
        <v>1610</v>
      </c>
      <c r="G1056" s="72" t="s">
        <v>2085</v>
      </c>
    </row>
    <row r="1057" spans="5:7" x14ac:dyDescent="0.3">
      <c r="E1057" t="s">
        <v>1839</v>
      </c>
      <c r="F1057" t="s">
        <v>1615</v>
      </c>
      <c r="G1057" s="72" t="s">
        <v>2085</v>
      </c>
    </row>
    <row r="1058" spans="5:7" x14ac:dyDescent="0.3">
      <c r="E1058" t="s">
        <v>2763</v>
      </c>
      <c r="F1058" t="s">
        <v>1402</v>
      </c>
      <c r="G1058" s="72" t="s">
        <v>2085</v>
      </c>
    </row>
    <row r="1059" spans="5:7" x14ac:dyDescent="0.3">
      <c r="E1059" t="s">
        <v>1859</v>
      </c>
      <c r="F1059" t="s">
        <v>1777</v>
      </c>
      <c r="G1059" s="72" t="s">
        <v>2085</v>
      </c>
    </row>
    <row r="1060" spans="5:7" x14ac:dyDescent="0.3">
      <c r="E1060" t="s">
        <v>1894</v>
      </c>
      <c r="F1060" t="s">
        <v>1761</v>
      </c>
      <c r="G1060" s="72" t="s">
        <v>1890</v>
      </c>
    </row>
    <row r="1061" spans="5:7" x14ac:dyDescent="0.3">
      <c r="E1061" t="s">
        <v>1894</v>
      </c>
      <c r="F1061" t="s">
        <v>1761</v>
      </c>
      <c r="G1061" s="72" t="s">
        <v>1934</v>
      </c>
    </row>
    <row r="1062" spans="5:7" x14ac:dyDescent="0.3">
      <c r="E1062" t="s">
        <v>2149</v>
      </c>
      <c r="F1062" t="s">
        <v>1407</v>
      </c>
      <c r="G1062" s="72" t="s">
        <v>2083</v>
      </c>
    </row>
    <row r="1063" spans="5:7" x14ac:dyDescent="0.3">
      <c r="E1063" t="s">
        <v>2730</v>
      </c>
      <c r="F1063" t="s">
        <v>2051</v>
      </c>
      <c r="G1063" s="72" t="s">
        <v>2083</v>
      </c>
    </row>
    <row r="1064" spans="5:7" x14ac:dyDescent="0.3">
      <c r="E1064" t="s">
        <v>2440</v>
      </c>
      <c r="F1064" t="s">
        <v>1738</v>
      </c>
      <c r="G1064" s="72" t="s">
        <v>2085</v>
      </c>
    </row>
    <row r="1065" spans="5:7" x14ac:dyDescent="0.3">
      <c r="E1065" t="s">
        <v>1793</v>
      </c>
      <c r="F1065" t="s">
        <v>1766</v>
      </c>
      <c r="G1065" s="72" t="s">
        <v>2085</v>
      </c>
    </row>
    <row r="1066" spans="5:7" x14ac:dyDescent="0.3">
      <c r="E1066" t="s">
        <v>1838</v>
      </c>
      <c r="F1066" t="s">
        <v>1401</v>
      </c>
      <c r="G1066" s="72" t="s">
        <v>2085</v>
      </c>
    </row>
    <row r="1067" spans="5:7" x14ac:dyDescent="0.3">
      <c r="E1067" t="s">
        <v>1839</v>
      </c>
      <c r="F1067" t="s">
        <v>1615</v>
      </c>
      <c r="G1067" s="72" t="s">
        <v>2085</v>
      </c>
    </row>
    <row r="1068" spans="5:7" x14ac:dyDescent="0.3">
      <c r="E1068" t="s">
        <v>2631</v>
      </c>
      <c r="F1068" t="s">
        <v>1780</v>
      </c>
      <c r="G1068" s="72" t="s">
        <v>2085</v>
      </c>
    </row>
    <row r="1069" spans="5:7" x14ac:dyDescent="0.3">
      <c r="E1069" t="s">
        <v>1435</v>
      </c>
      <c r="F1069" t="s">
        <v>1445</v>
      </c>
      <c r="G1069" s="72" t="s">
        <v>1890</v>
      </c>
    </row>
    <row r="1070" spans="5:7" x14ac:dyDescent="0.3">
      <c r="E1070" t="s">
        <v>2764</v>
      </c>
      <c r="F1070" t="s">
        <v>1443</v>
      </c>
      <c r="G1070" s="72" t="s">
        <v>1890</v>
      </c>
    </row>
    <row r="1071" spans="5:7" x14ac:dyDescent="0.3">
      <c r="E1071" t="s">
        <v>2663</v>
      </c>
      <c r="F1071" t="s">
        <v>1451</v>
      </c>
      <c r="G1071" s="72" t="s">
        <v>1890</v>
      </c>
    </row>
    <row r="1072" spans="5:7" x14ac:dyDescent="0.3">
      <c r="E1072" t="s">
        <v>2764</v>
      </c>
      <c r="F1072" t="s">
        <v>1443</v>
      </c>
      <c r="G1072" s="72" t="s">
        <v>1934</v>
      </c>
    </row>
    <row r="1073" spans="5:7" x14ac:dyDescent="0.3">
      <c r="E1073" t="s">
        <v>2663</v>
      </c>
      <c r="F1073" t="s">
        <v>1451</v>
      </c>
      <c r="G1073" s="72" t="s">
        <v>1934</v>
      </c>
    </row>
    <row r="1074" spans="5:7" x14ac:dyDescent="0.3">
      <c r="E1074" t="s">
        <v>2440</v>
      </c>
      <c r="F1074" t="s">
        <v>1738</v>
      </c>
      <c r="G1074" s="72" t="s">
        <v>2131</v>
      </c>
    </row>
    <row r="1075" spans="5:7" x14ac:dyDescent="0.3">
      <c r="E1075" t="s">
        <v>2401</v>
      </c>
      <c r="F1075" t="s">
        <v>1429</v>
      </c>
      <c r="G1075" s="72" t="s">
        <v>2131</v>
      </c>
    </row>
    <row r="1076" spans="5:7" x14ac:dyDescent="0.3">
      <c r="E1076" t="s">
        <v>1793</v>
      </c>
      <c r="F1076" t="s">
        <v>1766</v>
      </c>
      <c r="G1076" s="72" t="s">
        <v>2131</v>
      </c>
    </row>
    <row r="1077" spans="5:7" x14ac:dyDescent="0.3">
      <c r="E1077" t="s">
        <v>2600</v>
      </c>
      <c r="F1077" t="s">
        <v>1408</v>
      </c>
      <c r="G1077" s="72" t="s">
        <v>2131</v>
      </c>
    </row>
    <row r="1078" spans="5:7" x14ac:dyDescent="0.3">
      <c r="E1078" t="s">
        <v>1851</v>
      </c>
      <c r="F1078" t="s">
        <v>1408</v>
      </c>
      <c r="G1078" s="72" t="s">
        <v>2131</v>
      </c>
    </row>
    <row r="1079" spans="5:7" x14ac:dyDescent="0.3">
      <c r="E1079" t="s">
        <v>2691</v>
      </c>
      <c r="F1079" t="s">
        <v>1438</v>
      </c>
      <c r="G1079" s="72" t="s">
        <v>2085</v>
      </c>
    </row>
    <row r="1080" spans="5:7" x14ac:dyDescent="0.3">
      <c r="E1080" t="s">
        <v>2765</v>
      </c>
      <c r="F1080" t="s">
        <v>1409</v>
      </c>
      <c r="G1080" s="72" t="s">
        <v>2085</v>
      </c>
    </row>
    <row r="1081" spans="5:7" x14ac:dyDescent="0.3">
      <c r="E1081" t="s">
        <v>1796</v>
      </c>
      <c r="F1081" t="s">
        <v>1409</v>
      </c>
      <c r="G1081" s="72" t="s">
        <v>2085</v>
      </c>
    </row>
    <row r="1082" spans="5:7" x14ac:dyDescent="0.3">
      <c r="E1082" t="s">
        <v>2406</v>
      </c>
      <c r="F1082" t="s">
        <v>1764</v>
      </c>
      <c r="G1082" s="72" t="s">
        <v>2085</v>
      </c>
    </row>
    <row r="1083" spans="5:7" x14ac:dyDescent="0.3">
      <c r="E1083" t="s">
        <v>1809</v>
      </c>
      <c r="F1083" t="s">
        <v>1411</v>
      </c>
      <c r="G1083" s="72" t="s">
        <v>2085</v>
      </c>
    </row>
    <row r="1084" spans="5:7" x14ac:dyDescent="0.3">
      <c r="E1084" t="s">
        <v>2762</v>
      </c>
      <c r="F1084" t="s">
        <v>1438</v>
      </c>
      <c r="G1084" s="72" t="s">
        <v>2085</v>
      </c>
    </row>
    <row r="1085" spans="5:7" x14ac:dyDescent="0.3">
      <c r="E1085" t="s">
        <v>2091</v>
      </c>
      <c r="F1085" t="s">
        <v>2091</v>
      </c>
      <c r="G1085" s="72" t="s">
        <v>2085</v>
      </c>
    </row>
    <row r="1086" spans="5:7" x14ac:dyDescent="0.3">
      <c r="E1086" t="s">
        <v>2408</v>
      </c>
      <c r="F1086" t="s">
        <v>1739</v>
      </c>
      <c r="G1086" s="72" t="s">
        <v>2085</v>
      </c>
    </row>
    <row r="1087" spans="5:7" x14ac:dyDescent="0.3">
      <c r="E1087" t="s">
        <v>2740</v>
      </c>
      <c r="F1087" t="s">
        <v>2140</v>
      </c>
      <c r="G1087" s="72" t="s">
        <v>2085</v>
      </c>
    </row>
    <row r="1088" spans="5:7" x14ac:dyDescent="0.3">
      <c r="E1088" t="s">
        <v>2751</v>
      </c>
      <c r="F1088" t="s">
        <v>1602</v>
      </c>
      <c r="G1088" s="72" t="s">
        <v>2085</v>
      </c>
    </row>
    <row r="1089" spans="5:7" x14ac:dyDescent="0.3">
      <c r="E1089" t="s">
        <v>2741</v>
      </c>
      <c r="F1089" t="s">
        <v>1778</v>
      </c>
      <c r="G1089" s="72" t="s">
        <v>2085</v>
      </c>
    </row>
    <row r="1090" spans="5:7" x14ac:dyDescent="0.3">
      <c r="E1090" t="s">
        <v>1856</v>
      </c>
      <c r="F1090" t="s">
        <v>1776</v>
      </c>
      <c r="G1090" s="72" t="s">
        <v>2085</v>
      </c>
    </row>
    <row r="1091" spans="5:7" x14ac:dyDescent="0.3">
      <c r="E1091" t="s">
        <v>2766</v>
      </c>
      <c r="F1091" t="s">
        <v>1425</v>
      </c>
      <c r="G1091" s="72" t="s">
        <v>2085</v>
      </c>
    </row>
    <row r="1092" spans="5:7" x14ac:dyDescent="0.3">
      <c r="E1092" t="s">
        <v>2621</v>
      </c>
      <c r="F1092" t="s">
        <v>2121</v>
      </c>
      <c r="G1092" s="72" t="s">
        <v>2085</v>
      </c>
    </row>
    <row r="1093" spans="5:7" x14ac:dyDescent="0.3">
      <c r="E1093" t="s">
        <v>1860</v>
      </c>
      <c r="F1093" t="s">
        <v>1421</v>
      </c>
      <c r="G1093" s="72" t="s">
        <v>2085</v>
      </c>
    </row>
    <row r="1094" spans="5:7" x14ac:dyDescent="0.3">
      <c r="E1094" t="s">
        <v>2767</v>
      </c>
      <c r="F1094" t="s">
        <v>1741</v>
      </c>
      <c r="G1094" s="72" t="s">
        <v>2085</v>
      </c>
    </row>
    <row r="1095" spans="5:7" x14ac:dyDescent="0.3">
      <c r="E1095" t="s">
        <v>2768</v>
      </c>
      <c r="F1095" t="s">
        <v>1614</v>
      </c>
      <c r="G1095" s="72" t="s">
        <v>2085</v>
      </c>
    </row>
    <row r="1096" spans="5:7" x14ac:dyDescent="0.3">
      <c r="E1096" t="s">
        <v>2769</v>
      </c>
      <c r="F1096" t="s">
        <v>1741</v>
      </c>
      <c r="G1096" s="72" t="s">
        <v>2085</v>
      </c>
    </row>
    <row r="1097" spans="5:7" x14ac:dyDescent="0.3">
      <c r="E1097" t="s">
        <v>2401</v>
      </c>
      <c r="F1097" t="s">
        <v>1429</v>
      </c>
      <c r="G1097" s="72" t="s">
        <v>2131</v>
      </c>
    </row>
    <row r="1098" spans="5:7" x14ac:dyDescent="0.3">
      <c r="E1098" t="s">
        <v>2599</v>
      </c>
      <c r="F1098" t="s">
        <v>1747</v>
      </c>
      <c r="G1098" s="72" t="s">
        <v>2131</v>
      </c>
    </row>
    <row r="1099" spans="5:7" x14ac:dyDescent="0.3">
      <c r="E1099" t="s">
        <v>1858</v>
      </c>
      <c r="F1099" t="s">
        <v>1425</v>
      </c>
      <c r="G1099" s="72" t="s">
        <v>2131</v>
      </c>
    </row>
    <row r="1100" spans="5:7" x14ac:dyDescent="0.3">
      <c r="E1100" t="s">
        <v>2758</v>
      </c>
      <c r="F1100" t="s">
        <v>1409</v>
      </c>
      <c r="G1100" s="72" t="s">
        <v>2085</v>
      </c>
    </row>
    <row r="1101" spans="5:7" x14ac:dyDescent="0.3">
      <c r="E1101" t="s">
        <v>1809</v>
      </c>
      <c r="F1101" t="s">
        <v>1411</v>
      </c>
      <c r="G1101" s="72" t="s">
        <v>2085</v>
      </c>
    </row>
    <row r="1102" spans="5:7" x14ac:dyDescent="0.3">
      <c r="E1102" t="s">
        <v>2091</v>
      </c>
      <c r="F1102" t="s">
        <v>2091</v>
      </c>
      <c r="G1102" s="72" t="s">
        <v>2085</v>
      </c>
    </row>
    <row r="1103" spans="5:7" x14ac:dyDescent="0.3">
      <c r="E1103" t="s">
        <v>2471</v>
      </c>
      <c r="F1103" t="s">
        <v>2093</v>
      </c>
      <c r="G1103" s="72" t="s">
        <v>2085</v>
      </c>
    </row>
    <row r="1104" spans="5:7" x14ac:dyDescent="0.3">
      <c r="E1104" t="s">
        <v>2760</v>
      </c>
      <c r="F1104" t="s">
        <v>1408</v>
      </c>
      <c r="G1104" s="72" t="s">
        <v>2085</v>
      </c>
    </row>
    <row r="1105" spans="5:7" x14ac:dyDescent="0.3">
      <c r="E1105" t="s">
        <v>2741</v>
      </c>
      <c r="F1105" t="s">
        <v>1778</v>
      </c>
      <c r="G1105" s="72" t="s">
        <v>2085</v>
      </c>
    </row>
    <row r="1106" spans="5:7" x14ac:dyDescent="0.3">
      <c r="E1106" t="s">
        <v>1851</v>
      </c>
      <c r="F1106" t="s">
        <v>1408</v>
      </c>
      <c r="G1106" s="72" t="s">
        <v>2085</v>
      </c>
    </row>
    <row r="1107" spans="5:7" x14ac:dyDescent="0.3">
      <c r="E1107" t="s">
        <v>1894</v>
      </c>
      <c r="F1107" t="s">
        <v>1761</v>
      </c>
      <c r="G1107" s="72" t="s">
        <v>1890</v>
      </c>
    </row>
    <row r="1108" spans="5:7" x14ac:dyDescent="0.3">
      <c r="E1108" t="s">
        <v>2488</v>
      </c>
      <c r="F1108" t="s">
        <v>1735</v>
      </c>
      <c r="G1108" s="72" t="s">
        <v>1890</v>
      </c>
    </row>
    <row r="1109" spans="5:7" x14ac:dyDescent="0.3">
      <c r="E1109" t="s">
        <v>1894</v>
      </c>
      <c r="F1109" t="s">
        <v>1761</v>
      </c>
      <c r="G1109" s="72" t="s">
        <v>1934</v>
      </c>
    </row>
    <row r="1110" spans="5:7" x14ac:dyDescent="0.3">
      <c r="E1110" t="s">
        <v>2488</v>
      </c>
      <c r="F1110" t="s">
        <v>1735</v>
      </c>
      <c r="G1110" s="72" t="s">
        <v>1934</v>
      </c>
    </row>
    <row r="1111" spans="5:7" x14ac:dyDescent="0.3">
      <c r="E1111" t="s">
        <v>2758</v>
      </c>
      <c r="F1111" t="s">
        <v>1409</v>
      </c>
      <c r="G1111" s="72" t="s">
        <v>2131</v>
      </c>
    </row>
    <row r="1112" spans="5:7" x14ac:dyDescent="0.3">
      <c r="E1112" t="s">
        <v>2770</v>
      </c>
      <c r="F1112" t="s">
        <v>2138</v>
      </c>
      <c r="G1112" s="72" t="s">
        <v>2085</v>
      </c>
    </row>
    <row r="1113" spans="5:7" x14ac:dyDescent="0.3">
      <c r="E1113" t="s">
        <v>2691</v>
      </c>
      <c r="F1113" t="s">
        <v>1438</v>
      </c>
      <c r="G1113" s="72" t="s">
        <v>2085</v>
      </c>
    </row>
    <row r="1114" spans="5:7" x14ac:dyDescent="0.3">
      <c r="E1114" t="s">
        <v>2771</v>
      </c>
      <c r="F1114" t="s">
        <v>1420</v>
      </c>
      <c r="G1114" s="72" t="s">
        <v>2085</v>
      </c>
    </row>
    <row r="1115" spans="5:7" x14ac:dyDescent="0.3">
      <c r="E1115" t="s">
        <v>2751</v>
      </c>
      <c r="F1115" t="s">
        <v>1602</v>
      </c>
      <c r="G1115" s="72" t="s">
        <v>2085</v>
      </c>
    </row>
    <row r="1116" spans="5:7" x14ac:dyDescent="0.3">
      <c r="E1116" t="s">
        <v>2529</v>
      </c>
      <c r="F1116" t="s">
        <v>1744</v>
      </c>
      <c r="G1116" s="72" t="s">
        <v>2085</v>
      </c>
    </row>
    <row r="1117" spans="5:7" x14ac:dyDescent="0.3">
      <c r="E1117" t="s">
        <v>1854</v>
      </c>
      <c r="F1117" t="s">
        <v>1402</v>
      </c>
      <c r="G1117" s="72" t="s">
        <v>2085</v>
      </c>
    </row>
    <row r="1118" spans="5:7" x14ac:dyDescent="0.3">
      <c r="E1118" t="s">
        <v>1856</v>
      </c>
      <c r="F1118" t="s">
        <v>1776</v>
      </c>
      <c r="G1118" s="72" t="s">
        <v>2085</v>
      </c>
    </row>
    <row r="1119" spans="5:7" x14ac:dyDescent="0.3">
      <c r="E1119" t="s">
        <v>1860</v>
      </c>
      <c r="F1119" t="s">
        <v>1421</v>
      </c>
      <c r="G1119" s="72" t="s">
        <v>2085</v>
      </c>
    </row>
    <row r="1120" spans="5:7" x14ac:dyDescent="0.3">
      <c r="E1120" t="s">
        <v>2759</v>
      </c>
      <c r="F1120" t="s">
        <v>1449</v>
      </c>
      <c r="G1120" s="72" t="s">
        <v>1890</v>
      </c>
    </row>
    <row r="1121" spans="5:7" x14ac:dyDescent="0.3">
      <c r="E1121" t="s">
        <v>2759</v>
      </c>
      <c r="F1121" t="s">
        <v>1449</v>
      </c>
      <c r="G1121" s="72" t="s">
        <v>1934</v>
      </c>
    </row>
    <row r="1122" spans="5:7" x14ac:dyDescent="0.3">
      <c r="E1122" t="s">
        <v>2289</v>
      </c>
      <c r="F1122" t="s">
        <v>1438</v>
      </c>
      <c r="G1122" s="72">
        <v>26</v>
      </c>
    </row>
    <row r="1123" spans="5:7" x14ac:dyDescent="0.3">
      <c r="E1123" t="s">
        <v>2486</v>
      </c>
      <c r="F1123" t="s">
        <v>1429</v>
      </c>
      <c r="G1123" s="72" t="s">
        <v>2131</v>
      </c>
    </row>
    <row r="1124" spans="5:7" x14ac:dyDescent="0.3">
      <c r="E1124" t="s">
        <v>2766</v>
      </c>
      <c r="F1124" t="s">
        <v>1425</v>
      </c>
      <c r="G1124" s="72" t="s">
        <v>2131</v>
      </c>
    </row>
    <row r="1125" spans="5:7" x14ac:dyDescent="0.3">
      <c r="E1125" t="s">
        <v>2486</v>
      </c>
      <c r="F1125" t="s">
        <v>1429</v>
      </c>
      <c r="G1125" s="72" t="s">
        <v>2085</v>
      </c>
    </row>
    <row r="1126" spans="5:7" x14ac:dyDescent="0.3">
      <c r="E1126" t="s">
        <v>1792</v>
      </c>
      <c r="F1126" t="s">
        <v>1616</v>
      </c>
      <c r="G1126" s="72" t="s">
        <v>2085</v>
      </c>
    </row>
    <row r="1127" spans="5:7" x14ac:dyDescent="0.3">
      <c r="E1127" t="s">
        <v>1813</v>
      </c>
      <c r="F1127" t="s">
        <v>1599</v>
      </c>
      <c r="G1127" s="72" t="s">
        <v>2085</v>
      </c>
    </row>
    <row r="1128" spans="5:7" x14ac:dyDescent="0.3">
      <c r="E1128" t="s">
        <v>1814</v>
      </c>
      <c r="F1128" t="s">
        <v>1779</v>
      </c>
      <c r="G1128" s="72" t="s">
        <v>2085</v>
      </c>
    </row>
    <row r="1129" spans="5:7" x14ac:dyDescent="0.3">
      <c r="E1129" t="s">
        <v>1856</v>
      </c>
      <c r="F1129" t="s">
        <v>1756</v>
      </c>
      <c r="G1129" s="72" t="s">
        <v>1890</v>
      </c>
    </row>
    <row r="1130" spans="5:7" x14ac:dyDescent="0.3">
      <c r="E1130" t="s">
        <v>1856</v>
      </c>
      <c r="F1130" t="s">
        <v>1756</v>
      </c>
      <c r="G1130" s="72" t="s">
        <v>1934</v>
      </c>
    </row>
    <row r="1131" spans="5:7" x14ac:dyDescent="0.3">
      <c r="E1131" t="s">
        <v>2399</v>
      </c>
      <c r="F1131" t="s">
        <v>1618</v>
      </c>
      <c r="G1131" s="72" t="s">
        <v>2085</v>
      </c>
    </row>
    <row r="1132" spans="5:7" x14ac:dyDescent="0.3">
      <c r="E1132" t="s">
        <v>1814</v>
      </c>
      <c r="F1132" t="s">
        <v>1779</v>
      </c>
      <c r="G1132" s="72" t="s">
        <v>2085</v>
      </c>
    </row>
    <row r="1133" spans="5:7" x14ac:dyDescent="0.3">
      <c r="E1133" t="s">
        <v>2763</v>
      </c>
      <c r="F1133" t="s">
        <v>1402</v>
      </c>
      <c r="G1133" s="72" t="s">
        <v>2085</v>
      </c>
    </row>
    <row r="1134" spans="5:7" x14ac:dyDescent="0.3">
      <c r="E1134" t="s">
        <v>2763</v>
      </c>
      <c r="F1134" t="s">
        <v>1977</v>
      </c>
      <c r="G1134" s="72" t="s">
        <v>1890</v>
      </c>
    </row>
    <row r="1135" spans="5:7" x14ac:dyDescent="0.3">
      <c r="E1135" t="s">
        <v>2763</v>
      </c>
      <c r="F1135" t="s">
        <v>1977</v>
      </c>
      <c r="G1135" s="72" t="s">
        <v>1934</v>
      </c>
    </row>
    <row r="1136" spans="5:7" x14ac:dyDescent="0.3">
      <c r="E1136" t="s">
        <v>1399</v>
      </c>
      <c r="F1136" t="s">
        <v>1437</v>
      </c>
      <c r="G1136" s="72" t="s">
        <v>2085</v>
      </c>
    </row>
    <row r="1137" spans="5:7" x14ac:dyDescent="0.3">
      <c r="E1137" t="s">
        <v>1854</v>
      </c>
      <c r="F1137" t="s">
        <v>1402</v>
      </c>
      <c r="G1137" s="72" t="s">
        <v>2131</v>
      </c>
    </row>
    <row r="1138" spans="5:7" x14ac:dyDescent="0.3">
      <c r="E1138" t="s">
        <v>2708</v>
      </c>
      <c r="F1138" t="s">
        <v>1692</v>
      </c>
      <c r="G1138" s="72" t="s">
        <v>2085</v>
      </c>
    </row>
    <row r="1139" spans="5:7" x14ac:dyDescent="0.3">
      <c r="E1139" t="s">
        <v>2771</v>
      </c>
      <c r="F1139" t="s">
        <v>1420</v>
      </c>
      <c r="G1139" s="72" t="s">
        <v>2085</v>
      </c>
    </row>
    <row r="1140" spans="5:7" x14ac:dyDescent="0.3">
      <c r="E1140" t="s">
        <v>2143</v>
      </c>
      <c r="F1140" t="s">
        <v>1408</v>
      </c>
      <c r="G1140" s="72" t="s">
        <v>2085</v>
      </c>
    </row>
    <row r="1141" spans="5:7" x14ac:dyDescent="0.3">
      <c r="E1141" t="s">
        <v>2772</v>
      </c>
      <c r="F1141" t="s">
        <v>1445</v>
      </c>
      <c r="G1141" s="72" t="s">
        <v>1890</v>
      </c>
    </row>
    <row r="1142" spans="5:7" x14ac:dyDescent="0.3">
      <c r="E1142" t="s">
        <v>2759</v>
      </c>
      <c r="F1142" t="s">
        <v>1449</v>
      </c>
      <c r="G1142" s="72" t="s">
        <v>1890</v>
      </c>
    </row>
    <row r="1143" spans="5:7" x14ac:dyDescent="0.3">
      <c r="E1143" t="s">
        <v>2471</v>
      </c>
      <c r="F1143" t="s">
        <v>2101</v>
      </c>
      <c r="G1143" s="72" t="s">
        <v>1890</v>
      </c>
    </row>
    <row r="1144" spans="5:7" x14ac:dyDescent="0.3">
      <c r="E1144" t="s">
        <v>2772</v>
      </c>
      <c r="F1144" t="s">
        <v>1445</v>
      </c>
      <c r="G1144" s="72" t="s">
        <v>1934</v>
      </c>
    </row>
    <row r="1145" spans="5:7" x14ac:dyDescent="0.3">
      <c r="E1145" t="s">
        <v>2759</v>
      </c>
      <c r="F1145" t="s">
        <v>1449</v>
      </c>
      <c r="G1145" s="72" t="s">
        <v>1934</v>
      </c>
    </row>
    <row r="1146" spans="5:7" x14ac:dyDescent="0.3">
      <c r="E1146" t="s">
        <v>2471</v>
      </c>
      <c r="F1146" t="s">
        <v>2101</v>
      </c>
      <c r="G1146" s="72" t="s">
        <v>1934</v>
      </c>
    </row>
    <row r="1147" spans="5:7" x14ac:dyDescent="0.3">
      <c r="E1147" t="s">
        <v>1796</v>
      </c>
      <c r="F1147" t="s">
        <v>1409</v>
      </c>
      <c r="G1147" s="72" t="s">
        <v>2085</v>
      </c>
    </row>
    <row r="1148" spans="5:7" x14ac:dyDescent="0.3">
      <c r="E1148" t="s">
        <v>2753</v>
      </c>
      <c r="F1148" t="s">
        <v>1616</v>
      </c>
      <c r="G1148" s="72">
        <v>26</v>
      </c>
    </row>
    <row r="1149" spans="5:7" x14ac:dyDescent="0.3">
      <c r="E1149" t="s">
        <v>2641</v>
      </c>
      <c r="F1149" t="s">
        <v>1407</v>
      </c>
      <c r="G1149" s="72" t="s">
        <v>2131</v>
      </c>
    </row>
    <row r="1150" spans="5:7" x14ac:dyDescent="0.3">
      <c r="E1150" t="s">
        <v>2626</v>
      </c>
      <c r="F1150" t="s">
        <v>1407</v>
      </c>
      <c r="G1150" s="72" t="s">
        <v>2131</v>
      </c>
    </row>
    <row r="1151" spans="5:7" x14ac:dyDescent="0.3">
      <c r="E1151" t="s">
        <v>2773</v>
      </c>
      <c r="F1151" t="s">
        <v>2091</v>
      </c>
      <c r="G1151" s="72" t="s">
        <v>2085</v>
      </c>
    </row>
    <row r="1152" spans="5:7" x14ac:dyDescent="0.3">
      <c r="E1152" t="s">
        <v>2626</v>
      </c>
      <c r="F1152" t="s">
        <v>1440</v>
      </c>
      <c r="G1152" s="72" t="s">
        <v>1890</v>
      </c>
    </row>
    <row r="1153" spans="5:7" x14ac:dyDescent="0.3">
      <c r="E1153" t="s">
        <v>2626</v>
      </c>
      <c r="F1153" t="s">
        <v>1440</v>
      </c>
      <c r="G1153" s="72" t="s">
        <v>1934</v>
      </c>
    </row>
    <row r="1154" spans="5:7" x14ac:dyDescent="0.3">
      <c r="E1154" t="s">
        <v>2773</v>
      </c>
      <c r="F1154" t="s">
        <v>2142</v>
      </c>
      <c r="G1154" s="72" t="s">
        <v>1890</v>
      </c>
    </row>
    <row r="1155" spans="5:7" x14ac:dyDescent="0.3">
      <c r="E1155" t="s">
        <v>2773</v>
      </c>
      <c r="F1155" t="s">
        <v>2142</v>
      </c>
      <c r="G1155" s="72" t="s">
        <v>1934</v>
      </c>
    </row>
    <row r="1156" spans="5:7" x14ac:dyDescent="0.3">
      <c r="E1156" t="s">
        <v>2730</v>
      </c>
      <c r="F1156" t="s">
        <v>2057</v>
      </c>
      <c r="G1156" s="72" t="s">
        <v>2082</v>
      </c>
    </row>
    <row r="1157" spans="5:7" x14ac:dyDescent="0.3">
      <c r="E1157" t="s">
        <v>2628</v>
      </c>
      <c r="F1157" t="s">
        <v>1404</v>
      </c>
      <c r="G1157" s="72" t="s">
        <v>2131</v>
      </c>
    </row>
    <row r="1158" spans="5:7" x14ac:dyDescent="0.3">
      <c r="E1158" t="s">
        <v>2751</v>
      </c>
      <c r="F1158" t="s">
        <v>1602</v>
      </c>
      <c r="G1158" s="72" t="s">
        <v>2131</v>
      </c>
    </row>
    <row r="1159" spans="5:7" x14ac:dyDescent="0.3">
      <c r="E1159" t="s">
        <v>2774</v>
      </c>
      <c r="F1159" t="s">
        <v>1618</v>
      </c>
      <c r="G1159" s="72" t="s">
        <v>2085</v>
      </c>
    </row>
    <row r="1160" spans="5:7" x14ac:dyDescent="0.3">
      <c r="E1160" t="s">
        <v>2775</v>
      </c>
      <c r="F1160" t="s">
        <v>2051</v>
      </c>
      <c r="G1160" s="72" t="s">
        <v>2083</v>
      </c>
    </row>
    <row r="1161" spans="5:7" x14ac:dyDescent="0.3">
      <c r="E1161" t="s">
        <v>2720</v>
      </c>
      <c r="F1161" t="s">
        <v>2138</v>
      </c>
      <c r="G1161" s="72" t="s">
        <v>2085</v>
      </c>
    </row>
    <row r="1162" spans="5:7" x14ac:dyDescent="0.3">
      <c r="E1162" t="s">
        <v>2472</v>
      </c>
      <c r="F1162" t="s">
        <v>1420</v>
      </c>
      <c r="G1162" s="72" t="s">
        <v>2085</v>
      </c>
    </row>
    <row r="1163" spans="5:7" x14ac:dyDescent="0.3">
      <c r="E1163" t="s">
        <v>2776</v>
      </c>
      <c r="F1163" t="s">
        <v>1749</v>
      </c>
      <c r="G1163" s="72" t="s">
        <v>2085</v>
      </c>
    </row>
    <row r="1164" spans="5:7" x14ac:dyDescent="0.3">
      <c r="E1164" t="s">
        <v>2777</v>
      </c>
      <c r="F1164" t="s">
        <v>1421</v>
      </c>
      <c r="G1164" s="72" t="s">
        <v>2085</v>
      </c>
    </row>
    <row r="1165" spans="5:7" x14ac:dyDescent="0.3">
      <c r="E1165" t="s">
        <v>2772</v>
      </c>
      <c r="F1165" t="s">
        <v>2057</v>
      </c>
      <c r="G1165" t="s">
        <v>2083</v>
      </c>
    </row>
    <row r="1166" spans="5:7" x14ac:dyDescent="0.3">
      <c r="E1166" t="s">
        <v>2778</v>
      </c>
      <c r="F1166" t="s">
        <v>1658</v>
      </c>
      <c r="G1166" t="s">
        <v>2083</v>
      </c>
    </row>
    <row r="1167" spans="5:7" x14ac:dyDescent="0.3">
      <c r="E1167" t="s">
        <v>1435</v>
      </c>
      <c r="F1167" t="s">
        <v>2057</v>
      </c>
      <c r="G1167" t="s">
        <v>2082</v>
      </c>
    </row>
    <row r="1168" spans="5:7" x14ac:dyDescent="0.3">
      <c r="E1168" t="s">
        <v>2681</v>
      </c>
      <c r="F1168" t="s">
        <v>2057</v>
      </c>
      <c r="G1168" t="s">
        <v>2082</v>
      </c>
    </row>
    <row r="1169" spans="5:7" x14ac:dyDescent="0.3">
      <c r="E1169" t="s">
        <v>1813</v>
      </c>
      <c r="F1169" t="s">
        <v>1599</v>
      </c>
      <c r="G1169" t="s">
        <v>2085</v>
      </c>
    </row>
    <row r="1170" spans="5:7" x14ac:dyDescent="0.3">
      <c r="E1170" t="s">
        <v>2641</v>
      </c>
      <c r="F1170" t="s">
        <v>1440</v>
      </c>
      <c r="G1170" t="s">
        <v>1890</v>
      </c>
    </row>
    <row r="1171" spans="5:7" x14ac:dyDescent="0.3">
      <c r="E1171" t="s">
        <v>2641</v>
      </c>
      <c r="F1171" t="s">
        <v>1440</v>
      </c>
      <c r="G1171" t="s">
        <v>1934</v>
      </c>
    </row>
    <row r="1172" spans="5:7" x14ac:dyDescent="0.3">
      <c r="E1172" t="s">
        <v>2778</v>
      </c>
      <c r="F1172" t="s">
        <v>1658</v>
      </c>
      <c r="G1172" t="s">
        <v>2083</v>
      </c>
    </row>
    <row r="1173" spans="5:7" x14ac:dyDescent="0.3">
      <c r="E1173" t="s">
        <v>2654</v>
      </c>
      <c r="F1173" t="s">
        <v>1619</v>
      </c>
      <c r="G1173" t="s">
        <v>2131</v>
      </c>
    </row>
    <row r="1174" spans="5:7" x14ac:dyDescent="0.3">
      <c r="E1174" t="s">
        <v>2779</v>
      </c>
      <c r="F1174" t="s">
        <v>1421</v>
      </c>
      <c r="G1174" t="s">
        <v>2085</v>
      </c>
    </row>
    <row r="1175" spans="5:7" x14ac:dyDescent="0.3">
      <c r="E1175" t="s">
        <v>2780</v>
      </c>
      <c r="F1175" t="s">
        <v>1421</v>
      </c>
      <c r="G1175" t="s">
        <v>2085</v>
      </c>
    </row>
    <row r="1176" spans="5:7" x14ac:dyDescent="0.3">
      <c r="E1176" t="s">
        <v>2781</v>
      </c>
      <c r="F1176" t="s">
        <v>2051</v>
      </c>
      <c r="G1176" t="s">
        <v>2083</v>
      </c>
    </row>
    <row r="1177" spans="5:7" x14ac:dyDescent="0.3">
      <c r="E1177" t="s">
        <v>2781</v>
      </c>
      <c r="F1177" t="s">
        <v>2057</v>
      </c>
      <c r="G1177" t="s">
        <v>2082</v>
      </c>
    </row>
    <row r="1178" spans="5:7" x14ac:dyDescent="0.3">
      <c r="E1178" t="s">
        <v>1855</v>
      </c>
      <c r="F1178" t="s">
        <v>1617</v>
      </c>
      <c r="G1178" t="s">
        <v>2085</v>
      </c>
    </row>
    <row r="1179" spans="5:7" x14ac:dyDescent="0.3">
      <c r="E1179" t="s">
        <v>1805</v>
      </c>
      <c r="F1179" t="s">
        <v>1764</v>
      </c>
      <c r="G1179" t="s">
        <v>2131</v>
      </c>
    </row>
    <row r="1180" spans="5:7" x14ac:dyDescent="0.3">
      <c r="E1180" t="s">
        <v>1421</v>
      </c>
      <c r="F1180" t="s">
        <v>1421</v>
      </c>
      <c r="G1180" t="s">
        <v>2085</v>
      </c>
    </row>
    <row r="1181" spans="5:7" x14ac:dyDescent="0.3">
      <c r="E1181" t="s">
        <v>1886</v>
      </c>
      <c r="F1181" t="s">
        <v>1661</v>
      </c>
      <c r="G1181" t="s">
        <v>2085</v>
      </c>
    </row>
    <row r="1182" spans="5:7" x14ac:dyDescent="0.3">
      <c r="E1182" t="s">
        <v>2773</v>
      </c>
      <c r="F1182" t="s">
        <v>2142</v>
      </c>
      <c r="G1182" t="s">
        <v>1890</v>
      </c>
    </row>
    <row r="1183" spans="5:7" x14ac:dyDescent="0.3">
      <c r="E1183" t="s">
        <v>2146</v>
      </c>
      <c r="F1183" t="s">
        <v>1602</v>
      </c>
      <c r="G1183" t="s">
        <v>1933</v>
      </c>
    </row>
    <row r="1184" spans="5:7" x14ac:dyDescent="0.3">
      <c r="E1184" t="s">
        <v>2773</v>
      </c>
      <c r="F1184" t="s">
        <v>2142</v>
      </c>
      <c r="G1184" t="s">
        <v>1934</v>
      </c>
    </row>
    <row r="1185" spans="5:7" x14ac:dyDescent="0.3">
      <c r="E1185" t="s">
        <v>2146</v>
      </c>
      <c r="F1185" t="s">
        <v>1450</v>
      </c>
      <c r="G1185" s="72" t="s">
        <v>1934</v>
      </c>
    </row>
    <row r="1186" spans="5:7" x14ac:dyDescent="0.3">
      <c r="E1186" t="s">
        <v>2146</v>
      </c>
      <c r="F1186" t="s">
        <v>1450</v>
      </c>
      <c r="G1186" s="72" t="s">
        <v>1890</v>
      </c>
    </row>
    <row r="1187" spans="5:7" x14ac:dyDescent="0.3">
      <c r="E1187" t="s">
        <v>2773</v>
      </c>
      <c r="F1187" t="s">
        <v>2091</v>
      </c>
      <c r="G1187" t="s">
        <v>2085</v>
      </c>
    </row>
    <row r="1188" spans="5:7" x14ac:dyDescent="0.3">
      <c r="E1188" t="s">
        <v>2143</v>
      </c>
      <c r="F1188" t="s">
        <v>1408</v>
      </c>
      <c r="G1188" t="s">
        <v>2131</v>
      </c>
    </row>
    <row r="1189" spans="5:7" x14ac:dyDescent="0.3">
      <c r="E1189" t="s">
        <v>1660</v>
      </c>
      <c r="F1189" t="s">
        <v>1660</v>
      </c>
      <c r="G1189">
        <v>26</v>
      </c>
    </row>
    <row r="1190" spans="5:7" x14ac:dyDescent="0.3">
      <c r="E1190" t="s">
        <v>1846</v>
      </c>
      <c r="F1190" t="s">
        <v>1660</v>
      </c>
      <c r="G1190">
        <v>26</v>
      </c>
    </row>
    <row r="1191" spans="5:7" x14ac:dyDescent="0.3">
      <c r="E1191" t="s">
        <v>1788</v>
      </c>
      <c r="F1191" t="s">
        <v>1660</v>
      </c>
      <c r="G1191">
        <v>26</v>
      </c>
    </row>
    <row r="1192" spans="5:7" x14ac:dyDescent="0.3">
      <c r="E1192" t="s">
        <v>1789</v>
      </c>
      <c r="F1192" t="s">
        <v>1660</v>
      </c>
      <c r="G1192">
        <v>26</v>
      </c>
    </row>
    <row r="1193" spans="5:7" x14ac:dyDescent="0.3">
      <c r="E1193" t="s">
        <v>2144</v>
      </c>
      <c r="F1193" t="s">
        <v>1660</v>
      </c>
      <c r="G1193">
        <v>26</v>
      </c>
    </row>
    <row r="1194" spans="5:7" x14ac:dyDescent="0.3">
      <c r="E1194" t="s">
        <v>2145</v>
      </c>
      <c r="F1194" t="s">
        <v>1660</v>
      </c>
      <c r="G1194">
        <v>26</v>
      </c>
    </row>
    <row r="1195" spans="5:7" x14ac:dyDescent="0.3">
      <c r="E1195" t="s">
        <v>2146</v>
      </c>
      <c r="F1195" t="s">
        <v>1764</v>
      </c>
      <c r="G1195" t="s">
        <v>2085</v>
      </c>
    </row>
    <row r="1196" spans="5:7" x14ac:dyDescent="0.3">
      <c r="E1196" t="s">
        <v>1646</v>
      </c>
      <c r="F1196" t="s">
        <v>1646</v>
      </c>
      <c r="G1196" t="s">
        <v>2130</v>
      </c>
    </row>
    <row r="1197" spans="5:7" x14ac:dyDescent="0.3">
      <c r="E1197" t="s">
        <v>1647</v>
      </c>
      <c r="F1197" t="s">
        <v>1647</v>
      </c>
      <c r="G1197" t="s">
        <v>2130</v>
      </c>
    </row>
    <row r="1198" spans="5:7" x14ac:dyDescent="0.3">
      <c r="E1198" t="s">
        <v>1795</v>
      </c>
      <c r="F1198" t="s">
        <v>1775</v>
      </c>
      <c r="G1198">
        <v>26</v>
      </c>
    </row>
    <row r="1199" spans="5:7" x14ac:dyDescent="0.3">
      <c r="E1199" t="s">
        <v>1641</v>
      </c>
      <c r="F1199" t="s">
        <v>1641</v>
      </c>
      <c r="G1199" t="s">
        <v>1890</v>
      </c>
    </row>
    <row r="1200" spans="5:7" x14ac:dyDescent="0.3">
      <c r="E1200" t="s">
        <v>1641</v>
      </c>
      <c r="F1200" t="s">
        <v>1641</v>
      </c>
      <c r="G1200" t="s">
        <v>1934</v>
      </c>
    </row>
    <row r="1201" spans="5:7" x14ac:dyDescent="0.3">
      <c r="E1201" t="s">
        <v>2049</v>
      </c>
      <c r="F1201" t="s">
        <v>2049</v>
      </c>
      <c r="G1201" t="s">
        <v>1782</v>
      </c>
    </row>
    <row r="1202" spans="5:7" x14ac:dyDescent="0.3">
      <c r="E1202" t="s">
        <v>2042</v>
      </c>
      <c r="F1202" t="s">
        <v>2042</v>
      </c>
      <c r="G1202" t="s">
        <v>2130</v>
      </c>
    </row>
    <row r="1203" spans="5:7" x14ac:dyDescent="0.3">
      <c r="E1203" t="s">
        <v>2041</v>
      </c>
      <c r="F1203" t="s">
        <v>2041</v>
      </c>
      <c r="G1203" t="s">
        <v>2130</v>
      </c>
    </row>
    <row r="1204" spans="5:7" x14ac:dyDescent="0.3">
      <c r="E1204" t="s">
        <v>2147</v>
      </c>
      <c r="F1204" t="s">
        <v>1407</v>
      </c>
      <c r="G1204" t="s">
        <v>2131</v>
      </c>
    </row>
    <row r="1205" spans="5:7" x14ac:dyDescent="0.3">
      <c r="E1205" t="s">
        <v>2148</v>
      </c>
      <c r="F1205" t="s">
        <v>1616</v>
      </c>
      <c r="G1205" t="s">
        <v>2085</v>
      </c>
    </row>
    <row r="1206" spans="5:7" x14ac:dyDescent="0.3">
      <c r="E1206" t="s">
        <v>2149</v>
      </c>
      <c r="F1206" t="s">
        <v>1407</v>
      </c>
      <c r="G1206" t="s">
        <v>2085</v>
      </c>
    </row>
    <row r="1207" spans="5:7" x14ac:dyDescent="0.3">
      <c r="E1207" t="s">
        <v>1604</v>
      </c>
      <c r="F1207" t="s">
        <v>1604</v>
      </c>
      <c r="G1207" t="s">
        <v>2085</v>
      </c>
    </row>
    <row r="1208" spans="5:7" x14ac:dyDescent="0.3">
      <c r="E1208" t="s">
        <v>2150</v>
      </c>
      <c r="F1208" t="s">
        <v>1645</v>
      </c>
      <c r="G1208" t="s">
        <v>2082</v>
      </c>
    </row>
    <row r="1209" spans="5:7" x14ac:dyDescent="0.3">
      <c r="E1209" t="s">
        <v>2151</v>
      </c>
      <c r="F1209" t="s">
        <v>2057</v>
      </c>
      <c r="G1209" t="s">
        <v>2082</v>
      </c>
    </row>
    <row r="1210" spans="5:7" x14ac:dyDescent="0.3">
      <c r="E1210" t="s">
        <v>2147</v>
      </c>
      <c r="F1210" t="s">
        <v>1440</v>
      </c>
      <c r="G1210" t="s">
        <v>1934</v>
      </c>
    </row>
    <row r="1211" spans="5:7" x14ac:dyDescent="0.3">
      <c r="E1211" t="s">
        <v>2147</v>
      </c>
      <c r="F1211" t="s">
        <v>1440</v>
      </c>
      <c r="G1211" t="s">
        <v>1890</v>
      </c>
    </row>
    <row r="1212" spans="5:7" x14ac:dyDescent="0.3">
      <c r="E1212" t="s">
        <v>2152</v>
      </c>
      <c r="F1212" t="s">
        <v>2153</v>
      </c>
      <c r="G1212" t="s">
        <v>1782</v>
      </c>
    </row>
    <row r="1213" spans="5:7" x14ac:dyDescent="0.3">
      <c r="E1213" t="s">
        <v>2153</v>
      </c>
      <c r="F1213" t="s">
        <v>2153</v>
      </c>
      <c r="G1213" t="s">
        <v>1782</v>
      </c>
    </row>
    <row r="1214" spans="5:7" x14ac:dyDescent="0.3">
      <c r="E1214" t="s">
        <v>1844</v>
      </c>
      <c r="F1214" t="s">
        <v>1660</v>
      </c>
      <c r="G1214" t="s">
        <v>1782</v>
      </c>
    </row>
    <row r="1215" spans="5:7" x14ac:dyDescent="0.3">
      <c r="E1215" t="s">
        <v>1691</v>
      </c>
      <c r="F1215" t="s">
        <v>1691</v>
      </c>
      <c r="G1215">
        <v>26</v>
      </c>
    </row>
    <row r="1216" spans="5:7" x14ac:dyDescent="0.3">
      <c r="E1216" t="s">
        <v>2154</v>
      </c>
      <c r="F1216" t="s">
        <v>2057</v>
      </c>
      <c r="G1216" t="s">
        <v>2085</v>
      </c>
    </row>
    <row r="1217" spans="5:7" x14ac:dyDescent="0.3">
      <c r="E1217" t="s">
        <v>2155</v>
      </c>
      <c r="F1217" t="s">
        <v>2155</v>
      </c>
      <c r="G1217" t="s">
        <v>2085</v>
      </c>
    </row>
    <row r="1218" spans="5:7" x14ac:dyDescent="0.3">
      <c r="E1218" t="s">
        <v>2155</v>
      </c>
      <c r="F1218" t="s">
        <v>2155</v>
      </c>
      <c r="G1218" t="s">
        <v>1890</v>
      </c>
    </row>
    <row r="1219" spans="5:7" x14ac:dyDescent="0.3">
      <c r="E1219" t="s">
        <v>2155</v>
      </c>
      <c r="F1219" t="s">
        <v>2155</v>
      </c>
      <c r="G1219" t="s">
        <v>1934</v>
      </c>
    </row>
    <row r="1220" spans="5:7" x14ac:dyDescent="0.3">
      <c r="E1220" t="s">
        <v>1650</v>
      </c>
      <c r="F1220" t="s">
        <v>1650</v>
      </c>
      <c r="G1220" t="s">
        <v>2082</v>
      </c>
    </row>
    <row r="1221" spans="5:7" x14ac:dyDescent="0.3">
      <c r="E1221" t="s">
        <v>1405</v>
      </c>
      <c r="F1221" t="s">
        <v>1405</v>
      </c>
      <c r="G1221" t="s">
        <v>2082</v>
      </c>
    </row>
    <row r="1222" spans="5:7" x14ac:dyDescent="0.3">
      <c r="E1222" t="s">
        <v>1958</v>
      </c>
      <c r="F1222" t="s">
        <v>1958</v>
      </c>
      <c r="G1222" t="s">
        <v>2082</v>
      </c>
    </row>
    <row r="1223" spans="5:7" x14ac:dyDescent="0.3">
      <c r="E1223" t="s">
        <v>1649</v>
      </c>
      <c r="F1223" t="s">
        <v>1649</v>
      </c>
      <c r="G1223" t="s">
        <v>2130</v>
      </c>
    </row>
    <row r="1224" spans="5:7" x14ac:dyDescent="0.3">
      <c r="E1224" t="s">
        <v>2156</v>
      </c>
      <c r="F1224" t="s">
        <v>1421</v>
      </c>
      <c r="G1224">
        <v>26</v>
      </c>
    </row>
    <row r="1225" spans="5:7" x14ac:dyDescent="0.3">
      <c r="E1225" t="s">
        <v>1794</v>
      </c>
      <c r="F1225" t="s">
        <v>1409</v>
      </c>
      <c r="G1225" t="s">
        <v>1933</v>
      </c>
    </row>
    <row r="1226" spans="5:7" x14ac:dyDescent="0.3">
      <c r="E1226" t="s">
        <v>2157</v>
      </c>
      <c r="F1226" t="s">
        <v>1764</v>
      </c>
      <c r="G1226" t="s">
        <v>2085</v>
      </c>
    </row>
    <row r="1227" spans="5:7" x14ac:dyDescent="0.3">
      <c r="E1227" t="s">
        <v>2158</v>
      </c>
      <c r="F1227" t="s">
        <v>2054</v>
      </c>
      <c r="G1227" t="s">
        <v>2083</v>
      </c>
    </row>
    <row r="1228" spans="5:7" x14ac:dyDescent="0.3">
      <c r="E1228" t="s">
        <v>2156</v>
      </c>
      <c r="F1228" t="s">
        <v>2057</v>
      </c>
      <c r="G1228" t="s">
        <v>2082</v>
      </c>
    </row>
    <row r="1229" spans="5:7" x14ac:dyDescent="0.3">
      <c r="E1229" t="s">
        <v>2159</v>
      </c>
      <c r="F1229" t="s">
        <v>1621</v>
      </c>
      <c r="G1229" t="s">
        <v>2083</v>
      </c>
    </row>
    <row r="1230" spans="5:7" x14ac:dyDescent="0.3">
      <c r="E1230" t="s">
        <v>2160</v>
      </c>
      <c r="F1230" t="s">
        <v>1613</v>
      </c>
      <c r="G1230" t="s">
        <v>2085</v>
      </c>
    </row>
    <row r="1231" spans="5:7" x14ac:dyDescent="0.3">
      <c r="E1231" t="s">
        <v>1807</v>
      </c>
      <c r="F1231" t="s">
        <v>1609</v>
      </c>
      <c r="G1231" t="s">
        <v>2085</v>
      </c>
    </row>
    <row r="1232" spans="5:7" x14ac:dyDescent="0.3">
      <c r="E1232" t="s">
        <v>2161</v>
      </c>
      <c r="F1232" t="s">
        <v>1612</v>
      </c>
      <c r="G1232" t="s">
        <v>2085</v>
      </c>
    </row>
    <row r="1233" spans="5:7" x14ac:dyDescent="0.3">
      <c r="E1233" t="s">
        <v>1806</v>
      </c>
      <c r="F1233" t="s">
        <v>1436</v>
      </c>
      <c r="G1233" t="s">
        <v>2085</v>
      </c>
    </row>
    <row r="1234" spans="5:7" x14ac:dyDescent="0.3">
      <c r="E1234" t="s">
        <v>1424</v>
      </c>
      <c r="F1234" t="str">
        <f>Mapp[[#This Row],[Report]]</f>
        <v>Debts Collector’s services_OL</v>
      </c>
      <c r="G1234" t="s">
        <v>2085</v>
      </c>
    </row>
    <row r="1235" spans="5:7" x14ac:dyDescent="0.3">
      <c r="E1235" t="s">
        <v>2162</v>
      </c>
      <c r="F1235" t="s">
        <v>2074</v>
      </c>
      <c r="G1235" t="s">
        <v>2083</v>
      </c>
    </row>
    <row r="1236" spans="5:7" x14ac:dyDescent="0.3">
      <c r="E1236" t="s">
        <v>2163</v>
      </c>
      <c r="F1236" t="s">
        <v>2079</v>
      </c>
      <c r="G1236" t="s">
        <v>2083</v>
      </c>
    </row>
    <row r="1237" spans="5:7" x14ac:dyDescent="0.3">
      <c r="E1237" t="s">
        <v>1806</v>
      </c>
      <c r="F1237" t="s">
        <v>1436</v>
      </c>
      <c r="G1237" t="s">
        <v>2083</v>
      </c>
    </row>
    <row r="1238" spans="5:7" x14ac:dyDescent="0.3">
      <c r="E1238" t="s">
        <v>2164</v>
      </c>
      <c r="F1238" t="s">
        <v>2046</v>
      </c>
      <c r="G1238" t="s">
        <v>2083</v>
      </c>
    </row>
    <row r="1239" spans="5:7" x14ac:dyDescent="0.3">
      <c r="E1239" t="s">
        <v>2165</v>
      </c>
      <c r="F1239" t="s">
        <v>2046</v>
      </c>
      <c r="G1239" t="s">
        <v>2083</v>
      </c>
    </row>
    <row r="1240" spans="5:7" x14ac:dyDescent="0.3">
      <c r="E1240" t="s">
        <v>2166</v>
      </c>
      <c r="F1240" t="s">
        <v>2061</v>
      </c>
      <c r="G1240" t="s">
        <v>2082</v>
      </c>
    </row>
    <row r="1241" spans="5:7" x14ac:dyDescent="0.3">
      <c r="E1241" t="s">
        <v>2159</v>
      </c>
      <c r="F1241" t="s">
        <v>1602</v>
      </c>
      <c r="G1241" t="s">
        <v>2082</v>
      </c>
    </row>
    <row r="1242" spans="5:7" x14ac:dyDescent="0.3">
      <c r="E1242" t="s">
        <v>2167</v>
      </c>
      <c r="F1242" t="s">
        <v>1664</v>
      </c>
      <c r="G1242" t="s">
        <v>2082</v>
      </c>
    </row>
    <row r="1243" spans="5:7" x14ac:dyDescent="0.3">
      <c r="E1243" t="s">
        <v>2164</v>
      </c>
      <c r="F1243" t="s">
        <v>2046</v>
      </c>
      <c r="G1243" t="s">
        <v>2082</v>
      </c>
    </row>
    <row r="1244" spans="5:7" x14ac:dyDescent="0.3">
      <c r="E1244" t="s">
        <v>2168</v>
      </c>
      <c r="F1244" t="s">
        <v>2076</v>
      </c>
      <c r="G1244" t="s">
        <v>2082</v>
      </c>
    </row>
    <row r="1245" spans="5:7" x14ac:dyDescent="0.3">
      <c r="E1245" t="s">
        <v>2169</v>
      </c>
      <c r="F1245" t="s">
        <v>2059</v>
      </c>
      <c r="G1245" t="s">
        <v>2082</v>
      </c>
    </row>
    <row r="1246" spans="5:7" x14ac:dyDescent="0.3">
      <c r="E1246" t="s">
        <v>2170</v>
      </c>
      <c r="F1246" t="s">
        <v>2075</v>
      </c>
      <c r="G1246" t="s">
        <v>2082</v>
      </c>
    </row>
    <row r="1247" spans="5:7" x14ac:dyDescent="0.3">
      <c r="E1247" t="s">
        <v>2171</v>
      </c>
      <c r="F1247" t="s">
        <v>2057</v>
      </c>
      <c r="G1247" t="s">
        <v>2082</v>
      </c>
    </row>
    <row r="1248" spans="5:7" x14ac:dyDescent="0.3">
      <c r="E1248" t="s">
        <v>2165</v>
      </c>
      <c r="F1248" t="s">
        <v>2046</v>
      </c>
      <c r="G1248" t="s">
        <v>2082</v>
      </c>
    </row>
    <row r="1249" spans="5:7" x14ac:dyDescent="0.3">
      <c r="E1249" t="s">
        <v>2172</v>
      </c>
      <c r="F1249" t="s">
        <v>2057</v>
      </c>
      <c r="G1249" t="s">
        <v>2082</v>
      </c>
    </row>
    <row r="1250" spans="5:7" x14ac:dyDescent="0.3">
      <c r="E1250" t="s">
        <v>2173</v>
      </c>
      <c r="F1250" t="s">
        <v>2078</v>
      </c>
      <c r="G1250" t="s">
        <v>2082</v>
      </c>
    </row>
    <row r="1251" spans="5:7" x14ac:dyDescent="0.3">
      <c r="E1251" t="s">
        <v>2174</v>
      </c>
      <c r="F1251" t="s">
        <v>2062</v>
      </c>
      <c r="G1251" t="s">
        <v>2082</v>
      </c>
    </row>
    <row r="1252" spans="5:7" x14ac:dyDescent="0.3">
      <c r="E1252" t="s">
        <v>2175</v>
      </c>
      <c r="F1252" t="s">
        <v>2078</v>
      </c>
      <c r="G1252" t="s">
        <v>2082</v>
      </c>
    </row>
    <row r="1253" spans="5:7" x14ac:dyDescent="0.3">
      <c r="E1253" t="s">
        <v>2176</v>
      </c>
      <c r="F1253" t="s">
        <v>2077</v>
      </c>
      <c r="G1253" t="s">
        <v>2082</v>
      </c>
    </row>
    <row r="1254" spans="5:7" x14ac:dyDescent="0.3">
      <c r="E1254" t="s">
        <v>2177</v>
      </c>
      <c r="F1254" t="s">
        <v>1408</v>
      </c>
      <c r="G1254" t="s">
        <v>2082</v>
      </c>
    </row>
    <row r="1255" spans="5:7" x14ac:dyDescent="0.3">
      <c r="E1255" t="s">
        <v>2178</v>
      </c>
      <c r="F1255" t="s">
        <v>1409</v>
      </c>
      <c r="G1255" t="s">
        <v>2082</v>
      </c>
    </row>
    <row r="1256" spans="5:7" x14ac:dyDescent="0.3">
      <c r="E1256" t="s">
        <v>2042</v>
      </c>
      <c r="F1256" t="s">
        <v>1642</v>
      </c>
      <c r="G1256" t="s">
        <v>1890</v>
      </c>
    </row>
    <row r="1257" spans="5:7" x14ac:dyDescent="0.3">
      <c r="E1257" t="s">
        <v>2042</v>
      </c>
      <c r="F1257" t="s">
        <v>1642</v>
      </c>
      <c r="G1257" t="s">
        <v>1934</v>
      </c>
    </row>
    <row r="1258" spans="5:7" x14ac:dyDescent="0.3">
      <c r="E1258" t="s">
        <v>2179</v>
      </c>
      <c r="F1258" t="s">
        <v>2043</v>
      </c>
      <c r="G1258" s="2">
        <v>26</v>
      </c>
    </row>
    <row r="1259" spans="5:7" x14ac:dyDescent="0.3">
      <c r="E1259" s="79" t="s">
        <v>1414</v>
      </c>
      <c r="F1259" s="79" t="s">
        <v>1414</v>
      </c>
      <c r="G1259" s="2">
        <v>26</v>
      </c>
    </row>
    <row r="1260" spans="5:7" x14ac:dyDescent="0.3">
      <c r="E1260" s="79" t="s">
        <v>1807</v>
      </c>
      <c r="F1260" t="s">
        <v>1609</v>
      </c>
      <c r="G1260" s="72" t="s">
        <v>2083</v>
      </c>
    </row>
    <row r="1261" spans="5:7" x14ac:dyDescent="0.3">
      <c r="E1261" t="s">
        <v>2180</v>
      </c>
      <c r="F1261" t="s">
        <v>1749</v>
      </c>
      <c r="G1261" s="72" t="s">
        <v>2082</v>
      </c>
    </row>
    <row r="1262" spans="5:7" x14ac:dyDescent="0.3">
      <c r="E1262" t="s">
        <v>2181</v>
      </c>
      <c r="F1262" t="s">
        <v>1409</v>
      </c>
      <c r="G1262" s="72" t="s">
        <v>2082</v>
      </c>
    </row>
    <row r="1263" spans="5:7" x14ac:dyDescent="0.3">
      <c r="E1263" t="s">
        <v>2182</v>
      </c>
      <c r="F1263" t="s">
        <v>1739</v>
      </c>
      <c r="G1263" s="72" t="s">
        <v>2082</v>
      </c>
    </row>
    <row r="1264" spans="5:7" x14ac:dyDescent="0.3">
      <c r="E1264" t="s">
        <v>2183</v>
      </c>
      <c r="F1264" t="s">
        <v>1404</v>
      </c>
      <c r="G1264" s="72" t="s">
        <v>2082</v>
      </c>
    </row>
    <row r="1265" spans="5:7" x14ac:dyDescent="0.3">
      <c r="E1265" t="s">
        <v>2184</v>
      </c>
      <c r="F1265" t="s">
        <v>1747</v>
      </c>
      <c r="G1265" s="72" t="s">
        <v>2082</v>
      </c>
    </row>
    <row r="1266" spans="5:7" x14ac:dyDescent="0.3">
      <c r="E1266" t="s">
        <v>2185</v>
      </c>
      <c r="F1266" t="s">
        <v>1408</v>
      </c>
      <c r="G1266" s="72" t="s">
        <v>2082</v>
      </c>
    </row>
    <row r="1267" spans="5:7" x14ac:dyDescent="0.3">
      <c r="E1267" t="s">
        <v>2186</v>
      </c>
      <c r="F1267" t="s">
        <v>1748</v>
      </c>
      <c r="G1267" s="72" t="s">
        <v>2082</v>
      </c>
    </row>
    <row r="1268" spans="5:7" x14ac:dyDescent="0.3">
      <c r="E1268" t="s">
        <v>2187</v>
      </c>
      <c r="F1268" t="s">
        <v>1408</v>
      </c>
      <c r="G1268" s="72" t="s">
        <v>2082</v>
      </c>
    </row>
    <row r="1269" spans="5:7" x14ac:dyDescent="0.3">
      <c r="E1269" t="s">
        <v>2188</v>
      </c>
      <c r="F1269" t="s">
        <v>1402</v>
      </c>
      <c r="G1269" s="72" t="s">
        <v>2082</v>
      </c>
    </row>
    <row r="1270" spans="5:7" x14ac:dyDescent="0.3">
      <c r="E1270" t="s">
        <v>2189</v>
      </c>
      <c r="F1270" t="s">
        <v>2043</v>
      </c>
      <c r="G1270" s="72" t="s">
        <v>2082</v>
      </c>
    </row>
    <row r="1271" spans="5:7" x14ac:dyDescent="0.3">
      <c r="E1271" t="s">
        <v>2190</v>
      </c>
      <c r="F1271" t="s">
        <v>1606</v>
      </c>
      <c r="G1271" s="72" t="s">
        <v>2082</v>
      </c>
    </row>
    <row r="1272" spans="5:7" x14ac:dyDescent="0.3">
      <c r="E1272" t="s">
        <v>2191</v>
      </c>
      <c r="F1272" t="s">
        <v>2045</v>
      </c>
      <c r="G1272" s="72" t="s">
        <v>2082</v>
      </c>
    </row>
    <row r="1273" spans="5:7" x14ac:dyDescent="0.3">
      <c r="E1273" t="s">
        <v>2192</v>
      </c>
      <c r="F1273" t="s">
        <v>1671</v>
      </c>
      <c r="G1273" s="72" t="s">
        <v>2082</v>
      </c>
    </row>
    <row r="1274" spans="5:7" x14ac:dyDescent="0.3">
      <c r="E1274" t="s">
        <v>2193</v>
      </c>
      <c r="F1274" t="s">
        <v>1616</v>
      </c>
      <c r="G1274" s="72" t="s">
        <v>2082</v>
      </c>
    </row>
    <row r="1275" spans="5:7" x14ac:dyDescent="0.3">
      <c r="E1275" t="s">
        <v>2194</v>
      </c>
      <c r="F1275" t="s">
        <v>1713</v>
      </c>
      <c r="G1275" s="72" t="s">
        <v>2082</v>
      </c>
    </row>
    <row r="1276" spans="5:7" x14ac:dyDescent="0.3">
      <c r="E1276" t="s">
        <v>2195</v>
      </c>
      <c r="F1276" t="s">
        <v>1409</v>
      </c>
      <c r="G1276" s="72" t="s">
        <v>2082</v>
      </c>
    </row>
    <row r="1277" spans="5:7" x14ac:dyDescent="0.3">
      <c r="E1277" t="s">
        <v>2196</v>
      </c>
      <c r="F1277" t="s">
        <v>1700</v>
      </c>
      <c r="G1277" s="72" t="s">
        <v>2082</v>
      </c>
    </row>
    <row r="1278" spans="5:7" x14ac:dyDescent="0.3">
      <c r="E1278" t="s">
        <v>2197</v>
      </c>
      <c r="F1278" t="s">
        <v>1713</v>
      </c>
      <c r="G1278" s="72" t="s">
        <v>2082</v>
      </c>
    </row>
    <row r="1279" spans="5:7" x14ac:dyDescent="0.3">
      <c r="E1279" t="s">
        <v>2198</v>
      </c>
      <c r="F1279" t="s">
        <v>1618</v>
      </c>
      <c r="G1279" s="72" t="s">
        <v>2082</v>
      </c>
    </row>
    <row r="1280" spans="5:7" x14ac:dyDescent="0.3">
      <c r="E1280" t="s">
        <v>2199</v>
      </c>
      <c r="F1280" t="s">
        <v>1764</v>
      </c>
      <c r="G1280" s="72" t="s">
        <v>2082</v>
      </c>
    </row>
    <row r="1281" spans="5:7" x14ac:dyDescent="0.3">
      <c r="E1281" t="s">
        <v>2200</v>
      </c>
      <c r="F1281" t="s">
        <v>1436</v>
      </c>
      <c r="G1281" s="72" t="s">
        <v>2082</v>
      </c>
    </row>
    <row r="1282" spans="5:7" x14ac:dyDescent="0.3">
      <c r="E1282" t="s">
        <v>2201</v>
      </c>
      <c r="F1282" t="s">
        <v>1609</v>
      </c>
      <c r="G1282" s="72" t="s">
        <v>2082</v>
      </c>
    </row>
    <row r="1283" spans="5:7" x14ac:dyDescent="0.3">
      <c r="E1283" t="s">
        <v>2202</v>
      </c>
      <c r="F1283" t="s">
        <v>2071</v>
      </c>
      <c r="G1283" s="72" t="s">
        <v>2082</v>
      </c>
    </row>
    <row r="1284" spans="5:7" x14ac:dyDescent="0.3">
      <c r="E1284" t="s">
        <v>2203</v>
      </c>
      <c r="F1284" t="s">
        <v>1678</v>
      </c>
      <c r="G1284" s="72" t="s">
        <v>2082</v>
      </c>
    </row>
    <row r="1285" spans="5:7" x14ac:dyDescent="0.3">
      <c r="E1285" t="s">
        <v>2204</v>
      </c>
      <c r="F1285" t="s">
        <v>1438</v>
      </c>
      <c r="G1285" s="72" t="s">
        <v>2082</v>
      </c>
    </row>
    <row r="1286" spans="5:7" x14ac:dyDescent="0.3">
      <c r="E1286" t="s">
        <v>2205</v>
      </c>
      <c r="F1286" t="s">
        <v>1739</v>
      </c>
      <c r="G1286" s="72" t="s">
        <v>2082</v>
      </c>
    </row>
    <row r="1287" spans="5:7" x14ac:dyDescent="0.3">
      <c r="E1287" t="s">
        <v>2206</v>
      </c>
      <c r="F1287" t="s">
        <v>1404</v>
      </c>
      <c r="G1287" s="72" t="s">
        <v>2082</v>
      </c>
    </row>
    <row r="1288" spans="5:7" x14ac:dyDescent="0.3">
      <c r="E1288" t="s">
        <v>2207</v>
      </c>
      <c r="F1288" t="s">
        <v>1599</v>
      </c>
      <c r="G1288" s="72" t="s">
        <v>2082</v>
      </c>
    </row>
    <row r="1289" spans="5:7" x14ac:dyDescent="0.3">
      <c r="E1289" t="s">
        <v>2208</v>
      </c>
      <c r="F1289" t="s">
        <v>1689</v>
      </c>
      <c r="G1289" s="72" t="s">
        <v>2082</v>
      </c>
    </row>
    <row r="1290" spans="5:7" x14ac:dyDescent="0.3">
      <c r="E1290" t="s">
        <v>2209</v>
      </c>
      <c r="F1290" t="s">
        <v>1676</v>
      </c>
      <c r="G1290" s="72" t="s">
        <v>2082</v>
      </c>
    </row>
    <row r="1291" spans="5:7" x14ac:dyDescent="0.3">
      <c r="E1291" t="s">
        <v>2210</v>
      </c>
      <c r="F1291" t="s">
        <v>1602</v>
      </c>
      <c r="G1291" s="72" t="s">
        <v>2082</v>
      </c>
    </row>
    <row r="1292" spans="5:7" x14ac:dyDescent="0.3">
      <c r="E1292" t="s">
        <v>2162</v>
      </c>
      <c r="F1292" t="s">
        <v>1408</v>
      </c>
      <c r="G1292" s="72" t="s">
        <v>2082</v>
      </c>
    </row>
    <row r="1293" spans="5:7" x14ac:dyDescent="0.3">
      <c r="E1293" t="s">
        <v>2211</v>
      </c>
      <c r="F1293" t="s">
        <v>1662</v>
      </c>
      <c r="G1293" s="72" t="s">
        <v>2082</v>
      </c>
    </row>
    <row r="1294" spans="5:7" x14ac:dyDescent="0.3">
      <c r="E1294" t="s">
        <v>2212</v>
      </c>
      <c r="F1294" t="s">
        <v>1744</v>
      </c>
      <c r="G1294" s="72" t="s">
        <v>2082</v>
      </c>
    </row>
    <row r="1295" spans="5:7" x14ac:dyDescent="0.3">
      <c r="E1295" t="s">
        <v>2213</v>
      </c>
      <c r="F1295" t="s">
        <v>1661</v>
      </c>
      <c r="G1295" s="72" t="s">
        <v>2082</v>
      </c>
    </row>
    <row r="1296" spans="5:7" x14ac:dyDescent="0.3">
      <c r="E1296" t="s">
        <v>2214</v>
      </c>
      <c r="F1296" t="s">
        <v>1402</v>
      </c>
      <c r="G1296" s="72" t="s">
        <v>2082</v>
      </c>
    </row>
    <row r="1297" spans="5:7" x14ac:dyDescent="0.3">
      <c r="E1297" t="s">
        <v>2215</v>
      </c>
      <c r="F1297" t="s">
        <v>1617</v>
      </c>
      <c r="G1297" s="72" t="s">
        <v>2082</v>
      </c>
    </row>
    <row r="1298" spans="5:7" x14ac:dyDescent="0.3">
      <c r="E1298" t="s">
        <v>2216</v>
      </c>
      <c r="F1298" t="s">
        <v>1776</v>
      </c>
      <c r="G1298" s="72" t="s">
        <v>2082</v>
      </c>
    </row>
    <row r="1299" spans="5:7" x14ac:dyDescent="0.3">
      <c r="E1299" t="s">
        <v>2217</v>
      </c>
      <c r="F1299" t="s">
        <v>1698</v>
      </c>
      <c r="G1299" s="72" t="s">
        <v>2082</v>
      </c>
    </row>
    <row r="1300" spans="5:7" x14ac:dyDescent="0.3">
      <c r="E1300" t="s">
        <v>2218</v>
      </c>
      <c r="F1300" t="s">
        <v>1425</v>
      </c>
      <c r="G1300" s="72" t="s">
        <v>2082</v>
      </c>
    </row>
    <row r="1301" spans="5:7" x14ac:dyDescent="0.3">
      <c r="E1301" t="s">
        <v>2219</v>
      </c>
      <c r="F1301" t="s">
        <v>1700</v>
      </c>
      <c r="G1301" s="72" t="s">
        <v>2082</v>
      </c>
    </row>
    <row r="1302" spans="5:7" x14ac:dyDescent="0.3">
      <c r="E1302" t="s">
        <v>2220</v>
      </c>
      <c r="F1302" t="s">
        <v>2064</v>
      </c>
      <c r="G1302" s="72" t="s">
        <v>2082</v>
      </c>
    </row>
    <row r="1303" spans="5:7" x14ac:dyDescent="0.3">
      <c r="E1303" t="s">
        <v>2221</v>
      </c>
      <c r="F1303" t="s">
        <v>2051</v>
      </c>
      <c r="G1303" s="72" t="s">
        <v>2082</v>
      </c>
    </row>
    <row r="1304" spans="5:7" x14ac:dyDescent="0.3">
      <c r="E1304" t="s">
        <v>2222</v>
      </c>
      <c r="F1304" t="s">
        <v>2057</v>
      </c>
      <c r="G1304" s="72" t="s">
        <v>2082</v>
      </c>
    </row>
    <row r="1305" spans="5:7" x14ac:dyDescent="0.3">
      <c r="E1305" t="s">
        <v>1717</v>
      </c>
      <c r="F1305" t="s">
        <v>1717</v>
      </c>
      <c r="G1305" s="72">
        <v>26</v>
      </c>
    </row>
    <row r="1306" spans="5:7" x14ac:dyDescent="0.3">
      <c r="E1306" t="s">
        <v>1803</v>
      </c>
      <c r="F1306" t="s">
        <v>1647</v>
      </c>
      <c r="G1306" s="72" t="s">
        <v>2130</v>
      </c>
    </row>
    <row r="1307" spans="5:7" x14ac:dyDescent="0.3">
      <c r="E1307" t="s">
        <v>2223</v>
      </c>
      <c r="F1307" t="s">
        <v>1646</v>
      </c>
      <c r="G1307" s="72" t="s">
        <v>2130</v>
      </c>
    </row>
    <row r="1308" spans="5:7" x14ac:dyDescent="0.3">
      <c r="E1308" t="s">
        <v>1642</v>
      </c>
      <c r="F1308" t="s">
        <v>2042</v>
      </c>
      <c r="G1308" s="72" t="s">
        <v>2130</v>
      </c>
    </row>
    <row r="1309" spans="5:7" x14ac:dyDescent="0.3">
      <c r="E1309" t="s">
        <v>1860</v>
      </c>
      <c r="F1309" t="s">
        <v>1415</v>
      </c>
      <c r="G1309" s="72" t="s">
        <v>2130</v>
      </c>
    </row>
    <row r="1310" spans="5:7" x14ac:dyDescent="0.3">
      <c r="E1310" t="s">
        <v>1882</v>
      </c>
      <c r="F1310" t="s">
        <v>1681</v>
      </c>
      <c r="G1310" s="72">
        <v>26</v>
      </c>
    </row>
    <row r="1311" spans="5:7" x14ac:dyDescent="0.3">
      <c r="E1311" t="s">
        <v>2224</v>
      </c>
      <c r="F1311" t="s">
        <v>1681</v>
      </c>
      <c r="G1311" s="72">
        <v>26</v>
      </c>
    </row>
    <row r="1312" spans="5:7" x14ac:dyDescent="0.3">
      <c r="E1312" t="s">
        <v>1714</v>
      </c>
      <c r="F1312" t="s">
        <v>1714</v>
      </c>
      <c r="G1312" s="72">
        <v>26</v>
      </c>
    </row>
    <row r="1313" spans="5:7" x14ac:dyDescent="0.3">
      <c r="E1313" t="s">
        <v>2044</v>
      </c>
      <c r="F1313" t="s">
        <v>2064</v>
      </c>
      <c r="G1313" s="72">
        <v>26</v>
      </c>
    </row>
    <row r="1314" spans="5:7" x14ac:dyDescent="0.3">
      <c r="E1314" t="s">
        <v>1794</v>
      </c>
      <c r="F1314" t="s">
        <v>1409</v>
      </c>
      <c r="G1314" s="72" t="s">
        <v>2131</v>
      </c>
    </row>
    <row r="1315" spans="5:7" x14ac:dyDescent="0.3">
      <c r="E1315" t="s">
        <v>1642</v>
      </c>
      <c r="F1315" t="s">
        <v>1642</v>
      </c>
      <c r="G1315" t="s">
        <v>1890</v>
      </c>
    </row>
    <row r="1316" spans="5:7" x14ac:dyDescent="0.3">
      <c r="E1316" t="s">
        <v>1642</v>
      </c>
      <c r="F1316" t="s">
        <v>1642</v>
      </c>
      <c r="G1316" t="s">
        <v>1934</v>
      </c>
    </row>
    <row r="1317" spans="5:7" x14ac:dyDescent="0.3">
      <c r="E1317" t="s">
        <v>2225</v>
      </c>
      <c r="F1317" t="s">
        <v>1717</v>
      </c>
      <c r="G1317" s="72" t="s">
        <v>2082</v>
      </c>
    </row>
    <row r="1318" spans="5:7" x14ac:dyDescent="0.3">
      <c r="E1318" t="s">
        <v>2226</v>
      </c>
      <c r="F1318" t="s">
        <v>2062</v>
      </c>
      <c r="G1318" s="72" t="s">
        <v>2082</v>
      </c>
    </row>
    <row r="1319" spans="5:7" x14ac:dyDescent="0.3">
      <c r="E1319" t="s">
        <v>2227</v>
      </c>
      <c r="F1319" t="s">
        <v>1407</v>
      </c>
      <c r="G1319" s="72" t="s">
        <v>2082</v>
      </c>
    </row>
    <row r="1320" spans="5:7" x14ac:dyDescent="0.3">
      <c r="E1320" t="s">
        <v>2228</v>
      </c>
      <c r="F1320" t="s">
        <v>1409</v>
      </c>
      <c r="G1320" s="72" t="s">
        <v>2082</v>
      </c>
    </row>
    <row r="1321" spans="5:7" x14ac:dyDescent="0.3">
      <c r="E1321" t="s">
        <v>2229</v>
      </c>
      <c r="F1321" t="s">
        <v>2057</v>
      </c>
      <c r="G1321" s="72" t="s">
        <v>2082</v>
      </c>
    </row>
    <row r="1322" spans="5:7" x14ac:dyDescent="0.3">
      <c r="E1322" t="s">
        <v>2230</v>
      </c>
      <c r="F1322" t="s">
        <v>1664</v>
      </c>
      <c r="G1322" s="72" t="s">
        <v>2082</v>
      </c>
    </row>
    <row r="1323" spans="5:7" x14ac:dyDescent="0.3">
      <c r="E1323" t="s">
        <v>2231</v>
      </c>
      <c r="F1323" t="s">
        <v>1697</v>
      </c>
      <c r="G1323" s="72" t="s">
        <v>2082</v>
      </c>
    </row>
    <row r="1324" spans="5:7" x14ac:dyDescent="0.3">
      <c r="E1324" t="s">
        <v>2232</v>
      </c>
      <c r="F1324" t="s">
        <v>2068</v>
      </c>
      <c r="G1324" s="72" t="s">
        <v>2082</v>
      </c>
    </row>
    <row r="1325" spans="5:7" x14ac:dyDescent="0.3">
      <c r="E1325" t="s">
        <v>2233</v>
      </c>
      <c r="F1325" t="s">
        <v>2057</v>
      </c>
      <c r="G1325" s="72" t="s">
        <v>2082</v>
      </c>
    </row>
    <row r="1326" spans="5:7" x14ac:dyDescent="0.3">
      <c r="E1326" t="s">
        <v>2234</v>
      </c>
      <c r="F1326" t="s">
        <v>1722</v>
      </c>
      <c r="G1326" s="72" t="s">
        <v>2082</v>
      </c>
    </row>
    <row r="1327" spans="5:7" x14ac:dyDescent="0.3">
      <c r="E1327" t="s">
        <v>2235</v>
      </c>
      <c r="F1327" t="s">
        <v>2050</v>
      </c>
      <c r="G1327" s="72" t="s">
        <v>2082</v>
      </c>
    </row>
    <row r="1328" spans="5:7" x14ac:dyDescent="0.3">
      <c r="E1328" t="s">
        <v>2236</v>
      </c>
      <c r="F1328" t="s">
        <v>1409</v>
      </c>
      <c r="G1328" s="72" t="s">
        <v>2082</v>
      </c>
    </row>
    <row r="1329" spans="5:7" x14ac:dyDescent="0.3">
      <c r="E1329" t="s">
        <v>2237</v>
      </c>
      <c r="F1329" t="s">
        <v>1779</v>
      </c>
      <c r="G1329" s="72" t="s">
        <v>2082</v>
      </c>
    </row>
    <row r="1330" spans="5:7" x14ac:dyDescent="0.3">
      <c r="E1330" t="s">
        <v>2238</v>
      </c>
      <c r="F1330" t="s">
        <v>1673</v>
      </c>
      <c r="G1330" s="72" t="s">
        <v>2082</v>
      </c>
    </row>
    <row r="1331" spans="5:7" x14ac:dyDescent="0.3">
      <c r="E1331" t="s">
        <v>2239</v>
      </c>
      <c r="F1331" t="s">
        <v>1746</v>
      </c>
      <c r="G1331" s="72" t="s">
        <v>2082</v>
      </c>
    </row>
    <row r="1332" spans="5:7" x14ac:dyDescent="0.3">
      <c r="E1332" t="s">
        <v>2240</v>
      </c>
      <c r="F1332" t="s">
        <v>2057</v>
      </c>
      <c r="G1332" s="72" t="s">
        <v>2082</v>
      </c>
    </row>
    <row r="1333" spans="5:7" x14ac:dyDescent="0.3">
      <c r="E1333" t="s">
        <v>2241</v>
      </c>
      <c r="F1333" t="s">
        <v>1683</v>
      </c>
      <c r="G1333" s="72">
        <v>26</v>
      </c>
    </row>
    <row r="1334" spans="5:7" x14ac:dyDescent="0.3">
      <c r="E1334" t="s">
        <v>2242</v>
      </c>
      <c r="F1334" t="s">
        <v>1681</v>
      </c>
      <c r="G1334" s="72">
        <v>26</v>
      </c>
    </row>
    <row r="1335" spans="5:7" x14ac:dyDescent="0.3">
      <c r="E1335" t="s">
        <v>2243</v>
      </c>
      <c r="F1335" t="s">
        <v>1713</v>
      </c>
      <c r="G1335" s="72">
        <v>26</v>
      </c>
    </row>
    <row r="1336" spans="5:7" x14ac:dyDescent="0.3">
      <c r="E1336" t="s">
        <v>1695</v>
      </c>
      <c r="F1336" t="s">
        <v>1695</v>
      </c>
      <c r="G1336" s="72">
        <v>26</v>
      </c>
    </row>
    <row r="1337" spans="5:7" x14ac:dyDescent="0.3">
      <c r="E1337" t="s">
        <v>2244</v>
      </c>
      <c r="F1337" t="s">
        <v>1681</v>
      </c>
      <c r="G1337" s="72">
        <v>26</v>
      </c>
    </row>
    <row r="1338" spans="5:7" x14ac:dyDescent="0.3">
      <c r="E1338" t="s">
        <v>1721</v>
      </c>
      <c r="F1338" t="s">
        <v>1721</v>
      </c>
      <c r="G1338" s="72">
        <v>26</v>
      </c>
    </row>
    <row r="1339" spans="5:7" x14ac:dyDescent="0.3">
      <c r="E1339" t="s">
        <v>1885</v>
      </c>
      <c r="F1339" t="s">
        <v>1696</v>
      </c>
      <c r="G1339" s="72">
        <v>26</v>
      </c>
    </row>
    <row r="1340" spans="5:7" x14ac:dyDescent="0.3">
      <c r="E1340" t="s">
        <v>1840</v>
      </c>
      <c r="F1340" t="s">
        <v>1608</v>
      </c>
      <c r="G1340" s="72" t="s">
        <v>2085</v>
      </c>
    </row>
    <row r="1341" spans="5:7" x14ac:dyDescent="0.3">
      <c r="E1341" t="s">
        <v>1840</v>
      </c>
      <c r="F1341" t="s">
        <v>1597</v>
      </c>
      <c r="G1341" s="72" t="s">
        <v>1890</v>
      </c>
    </row>
    <row r="1342" spans="5:7" x14ac:dyDescent="0.3">
      <c r="E1342" t="s">
        <v>1840</v>
      </c>
      <c r="F1342" t="s">
        <v>1597</v>
      </c>
      <c r="G1342" s="72" t="s">
        <v>1934</v>
      </c>
    </row>
    <row r="1343" spans="5:7" x14ac:dyDescent="0.3">
      <c r="E1343" t="s">
        <v>2245</v>
      </c>
      <c r="F1343" t="s">
        <v>1441</v>
      </c>
      <c r="G1343" s="72" t="str">
        <f>G1341</f>
        <v>90.01.1</v>
      </c>
    </row>
    <row r="1344" spans="5:7" x14ac:dyDescent="0.3">
      <c r="E1344" t="s">
        <v>2245</v>
      </c>
      <c r="F1344" t="s">
        <v>1441</v>
      </c>
      <c r="G1344" s="72" t="str">
        <f>G1342</f>
        <v>90.03</v>
      </c>
    </row>
    <row r="1345" spans="5:7" x14ac:dyDescent="0.3">
      <c r="E1345" t="s">
        <v>2246</v>
      </c>
      <c r="F1345" t="s">
        <v>1696</v>
      </c>
      <c r="G1345" s="72" t="s">
        <v>2082</v>
      </c>
    </row>
    <row r="1346" spans="5:7" x14ac:dyDescent="0.3">
      <c r="E1346" t="s">
        <v>2044</v>
      </c>
      <c r="F1346" t="s">
        <v>2064</v>
      </c>
      <c r="G1346" s="72" t="s">
        <v>2085</v>
      </c>
    </row>
    <row r="1347" spans="5:7" x14ac:dyDescent="0.3">
      <c r="E1347" t="s">
        <v>2247</v>
      </c>
      <c r="F1347" t="s">
        <v>1773</v>
      </c>
      <c r="G1347" s="72" t="s">
        <v>2085</v>
      </c>
    </row>
    <row r="1348" spans="5:7" x14ac:dyDescent="0.3">
      <c r="E1348" t="s">
        <v>1796</v>
      </c>
      <c r="F1348" t="s">
        <v>1409</v>
      </c>
      <c r="G1348" t="s">
        <v>2131</v>
      </c>
    </row>
    <row r="1349" spans="5:7" x14ac:dyDescent="0.3">
      <c r="E1349" t="s">
        <v>1796</v>
      </c>
      <c r="F1349" t="s">
        <v>1979</v>
      </c>
      <c r="G1349" t="s">
        <v>1890</v>
      </c>
    </row>
    <row r="1350" spans="5:7" x14ac:dyDescent="0.3">
      <c r="E1350" t="s">
        <v>1796</v>
      </c>
      <c r="F1350" t="s">
        <v>1979</v>
      </c>
      <c r="G1350" t="s">
        <v>1934</v>
      </c>
    </row>
    <row r="1351" spans="5:7" x14ac:dyDescent="0.3">
      <c r="E1351" t="s">
        <v>2248</v>
      </c>
      <c r="F1351" t="s">
        <v>1681</v>
      </c>
      <c r="G1351" s="72" t="s">
        <v>2082</v>
      </c>
    </row>
    <row r="1352" spans="5:7" x14ac:dyDescent="0.3">
      <c r="E1352" t="s">
        <v>2249</v>
      </c>
      <c r="F1352" t="s">
        <v>1420</v>
      </c>
      <c r="G1352" s="72" t="s">
        <v>2082</v>
      </c>
    </row>
    <row r="1353" spans="5:7" x14ac:dyDescent="0.3">
      <c r="E1353" t="s">
        <v>2243</v>
      </c>
      <c r="F1353" t="s">
        <v>1713</v>
      </c>
      <c r="G1353" s="72" t="s">
        <v>2083</v>
      </c>
    </row>
    <row r="1354" spans="5:7" x14ac:dyDescent="0.3">
      <c r="E1354" t="s">
        <v>2247</v>
      </c>
      <c r="F1354" t="s">
        <v>1773</v>
      </c>
      <c r="G1354" s="72" t="s">
        <v>2083</v>
      </c>
    </row>
    <row r="1355" spans="5:7" x14ac:dyDescent="0.3">
      <c r="E1355" t="s">
        <v>2250</v>
      </c>
      <c r="F1355" t="s">
        <v>2057</v>
      </c>
      <c r="G1355" s="72" t="s">
        <v>2082</v>
      </c>
    </row>
    <row r="1356" spans="5:7" x14ac:dyDescent="0.3">
      <c r="E1356" t="s">
        <v>2240</v>
      </c>
      <c r="F1356" t="s">
        <v>2051</v>
      </c>
      <c r="G1356" s="72" t="s">
        <v>2083</v>
      </c>
    </row>
    <row r="1357" spans="5:7" x14ac:dyDescent="0.3">
      <c r="E1357" s="79" t="s">
        <v>2251</v>
      </c>
      <c r="F1357" t="s">
        <v>1661</v>
      </c>
      <c r="G1357" s="79" t="s">
        <v>1782</v>
      </c>
    </row>
    <row r="1358" spans="5:7" x14ac:dyDescent="0.3">
      <c r="E1358" s="79" t="s">
        <v>2252</v>
      </c>
      <c r="F1358" t="s">
        <v>1713</v>
      </c>
      <c r="G1358" s="79" t="s">
        <v>1782</v>
      </c>
    </row>
    <row r="1359" spans="5:7" x14ac:dyDescent="0.3">
      <c r="E1359" s="79" t="s">
        <v>2253</v>
      </c>
      <c r="F1359" t="s">
        <v>1692</v>
      </c>
      <c r="G1359" s="79" t="s">
        <v>1782</v>
      </c>
    </row>
    <row r="1360" spans="5:7" x14ac:dyDescent="0.3">
      <c r="E1360" s="79" t="s">
        <v>2254</v>
      </c>
      <c r="F1360" t="s">
        <v>1700</v>
      </c>
      <c r="G1360" s="79" t="s">
        <v>1782</v>
      </c>
    </row>
    <row r="1361" spans="5:7" x14ac:dyDescent="0.3">
      <c r="E1361" s="79" t="s">
        <v>2255</v>
      </c>
      <c r="F1361" t="s">
        <v>1672</v>
      </c>
      <c r="G1361" s="79" t="s">
        <v>1782</v>
      </c>
    </row>
    <row r="1362" spans="5:7" x14ac:dyDescent="0.3">
      <c r="E1362" s="79" t="s">
        <v>2256</v>
      </c>
      <c r="F1362" t="s">
        <v>1606</v>
      </c>
      <c r="G1362" s="79" t="s">
        <v>1782</v>
      </c>
    </row>
    <row r="1363" spans="5:7" x14ac:dyDescent="0.3">
      <c r="E1363" s="79" t="s">
        <v>2257</v>
      </c>
      <c r="F1363" t="s">
        <v>1596</v>
      </c>
      <c r="G1363" s="79" t="s">
        <v>2083</v>
      </c>
    </row>
    <row r="1364" spans="5:7" x14ac:dyDescent="0.3">
      <c r="E1364" s="79" t="s">
        <v>2258</v>
      </c>
      <c r="F1364" t="s">
        <v>2051</v>
      </c>
      <c r="G1364" s="79" t="s">
        <v>2083</v>
      </c>
    </row>
    <row r="1365" spans="5:7" x14ac:dyDescent="0.3">
      <c r="E1365" s="79" t="s">
        <v>2259</v>
      </c>
      <c r="F1365" t="s">
        <v>2051</v>
      </c>
      <c r="G1365" s="79" t="s">
        <v>2083</v>
      </c>
    </row>
    <row r="1366" spans="5:7" x14ac:dyDescent="0.3">
      <c r="E1366" s="79" t="s">
        <v>2260</v>
      </c>
      <c r="F1366" t="s">
        <v>2057</v>
      </c>
      <c r="G1366" s="79" t="s">
        <v>2082</v>
      </c>
    </row>
    <row r="1367" spans="5:7" x14ac:dyDescent="0.3">
      <c r="E1367" s="79" t="s">
        <v>2259</v>
      </c>
      <c r="F1367" t="s">
        <v>2051</v>
      </c>
      <c r="G1367" s="79" t="s">
        <v>2082</v>
      </c>
    </row>
    <row r="1368" spans="5:7" x14ac:dyDescent="0.3">
      <c r="E1368" s="79" t="s">
        <v>2261</v>
      </c>
      <c r="F1368" t="s">
        <v>2076</v>
      </c>
      <c r="G1368" s="79" t="s">
        <v>2082</v>
      </c>
    </row>
    <row r="1369" spans="5:7" x14ac:dyDescent="0.3">
      <c r="E1369" s="79" t="s">
        <v>2262</v>
      </c>
      <c r="F1369" t="s">
        <v>1407</v>
      </c>
      <c r="G1369" s="79" t="s">
        <v>2082</v>
      </c>
    </row>
    <row r="1370" spans="5:7" x14ac:dyDescent="0.3">
      <c r="E1370" s="79" t="s">
        <v>2263</v>
      </c>
      <c r="F1370" t="s">
        <v>2057</v>
      </c>
      <c r="G1370" s="79" t="s">
        <v>2082</v>
      </c>
    </row>
    <row r="1371" spans="5:7" x14ac:dyDescent="0.3">
      <c r="E1371" s="79" t="s">
        <v>2258</v>
      </c>
      <c r="F1371" t="s">
        <v>2057</v>
      </c>
      <c r="G1371" s="79" t="s">
        <v>2082</v>
      </c>
    </row>
    <row r="1372" spans="5:7" x14ac:dyDescent="0.3">
      <c r="E1372" s="79" t="s">
        <v>2257</v>
      </c>
      <c r="F1372" t="s">
        <v>1598</v>
      </c>
      <c r="G1372" s="79" t="s">
        <v>2082</v>
      </c>
    </row>
    <row r="1373" spans="5:7" x14ac:dyDescent="0.3">
      <c r="E1373" t="s">
        <v>2238</v>
      </c>
      <c r="F1373" t="s">
        <v>1673</v>
      </c>
      <c r="G1373" s="80" t="s">
        <v>2083</v>
      </c>
    </row>
    <row r="1374" spans="5:7" x14ac:dyDescent="0.3">
      <c r="E1374" t="s">
        <v>2264</v>
      </c>
      <c r="F1374" t="s">
        <v>1676</v>
      </c>
      <c r="G1374" s="81" t="s">
        <v>2082</v>
      </c>
    </row>
    <row r="1375" spans="5:7" x14ac:dyDescent="0.3">
      <c r="E1375" t="s">
        <v>2265</v>
      </c>
      <c r="F1375" t="s">
        <v>2036</v>
      </c>
      <c r="G1375" s="2" t="s">
        <v>2082</v>
      </c>
    </row>
    <row r="1376" spans="5:7" x14ac:dyDescent="0.3">
      <c r="E1376" t="s">
        <v>2266</v>
      </c>
      <c r="F1376" t="s">
        <v>2043</v>
      </c>
      <c r="G1376" s="2" t="s">
        <v>2082</v>
      </c>
    </row>
    <row r="1377" spans="5:7" x14ac:dyDescent="0.3">
      <c r="E1377" t="s">
        <v>2267</v>
      </c>
      <c r="F1377" t="s">
        <v>2072</v>
      </c>
      <c r="G1377" s="2" t="s">
        <v>2082</v>
      </c>
    </row>
    <row r="1378" spans="5:7" x14ac:dyDescent="0.3">
      <c r="E1378" t="s">
        <v>2268</v>
      </c>
      <c r="F1378" s="79" t="s">
        <v>1700</v>
      </c>
      <c r="G1378" s="2" t="s">
        <v>2082</v>
      </c>
    </row>
    <row r="1379" spans="5:7" x14ac:dyDescent="0.3">
      <c r="E1379" t="s">
        <v>2269</v>
      </c>
      <c r="F1379" t="s">
        <v>1672</v>
      </c>
      <c r="G1379" s="2" t="s">
        <v>2082</v>
      </c>
    </row>
    <row r="1380" spans="5:7" x14ac:dyDescent="0.3">
      <c r="E1380" t="s">
        <v>2270</v>
      </c>
      <c r="F1380" s="79" t="s">
        <v>1700</v>
      </c>
      <c r="G1380" s="2" t="s">
        <v>2082</v>
      </c>
    </row>
    <row r="1381" spans="5:7" x14ac:dyDescent="0.3">
      <c r="E1381" t="s">
        <v>1842</v>
      </c>
      <c r="F1381" t="s">
        <v>1438</v>
      </c>
      <c r="G1381" s="2" t="s">
        <v>2085</v>
      </c>
    </row>
    <row r="1382" spans="5:7" x14ac:dyDescent="0.3">
      <c r="E1382" t="s">
        <v>1845</v>
      </c>
      <c r="F1382" t="s">
        <v>1438</v>
      </c>
      <c r="G1382" s="2" t="s">
        <v>2085</v>
      </c>
    </row>
    <row r="1383" spans="5:7" x14ac:dyDescent="0.3">
      <c r="E1383" t="s">
        <v>1843</v>
      </c>
      <c r="F1383" t="s">
        <v>1438</v>
      </c>
      <c r="G1383" s="2" t="s">
        <v>2085</v>
      </c>
    </row>
    <row r="1384" spans="5:7" x14ac:dyDescent="0.3">
      <c r="E1384" t="s">
        <v>1788</v>
      </c>
      <c r="F1384" t="s">
        <v>1438</v>
      </c>
      <c r="G1384" s="2" t="s">
        <v>2085</v>
      </c>
    </row>
    <row r="1385" spans="5:7" x14ac:dyDescent="0.3">
      <c r="E1385" t="s">
        <v>1844</v>
      </c>
      <c r="F1385" t="s">
        <v>1438</v>
      </c>
      <c r="G1385" s="2" t="s">
        <v>2085</v>
      </c>
    </row>
    <row r="1386" spans="5:7" x14ac:dyDescent="0.3">
      <c r="E1386" s="79" t="s">
        <v>1846</v>
      </c>
      <c r="F1386" s="79" t="s">
        <v>1438</v>
      </c>
      <c r="G1386" s="82" t="s">
        <v>2085</v>
      </c>
    </row>
    <row r="1387" spans="5:7" x14ac:dyDescent="0.3">
      <c r="E1387" s="79" t="s">
        <v>1789</v>
      </c>
      <c r="F1387" s="79" t="s">
        <v>1438</v>
      </c>
      <c r="G1387" s="82" t="s">
        <v>2085</v>
      </c>
    </row>
    <row r="1388" spans="5:7" x14ac:dyDescent="0.3">
      <c r="E1388" t="s">
        <v>1841</v>
      </c>
      <c r="F1388" s="79" t="s">
        <v>1438</v>
      </c>
      <c r="G1388" s="2" t="s">
        <v>2085</v>
      </c>
    </row>
    <row r="1389" spans="5:7" x14ac:dyDescent="0.3">
      <c r="E1389" t="s">
        <v>2036</v>
      </c>
      <c r="F1389" t="s">
        <v>2036</v>
      </c>
      <c r="G1389" s="2">
        <v>26</v>
      </c>
    </row>
    <row r="1390" spans="5:7" x14ac:dyDescent="0.3">
      <c r="E1390" t="s">
        <v>2271</v>
      </c>
      <c r="F1390" s="79" t="s">
        <v>1661</v>
      </c>
      <c r="G1390" s="72">
        <v>26</v>
      </c>
    </row>
    <row r="1391" spans="5:7" x14ac:dyDescent="0.3">
      <c r="E1391" t="s">
        <v>1874</v>
      </c>
      <c r="F1391" t="s">
        <v>1713</v>
      </c>
      <c r="G1391" s="72">
        <v>26</v>
      </c>
    </row>
    <row r="1392" spans="5:7" x14ac:dyDescent="0.3">
      <c r="E1392" t="s">
        <v>1872</v>
      </c>
      <c r="F1392" t="s">
        <v>1700</v>
      </c>
      <c r="G1392" s="72">
        <v>26</v>
      </c>
    </row>
    <row r="1393" spans="5:7" x14ac:dyDescent="0.3">
      <c r="E1393" t="s">
        <v>1726</v>
      </c>
      <c r="F1393" s="79" t="s">
        <v>1700</v>
      </c>
      <c r="G1393" s="72">
        <v>26</v>
      </c>
    </row>
    <row r="1394" spans="5:7" x14ac:dyDescent="0.3">
      <c r="E1394" t="s">
        <v>1857</v>
      </c>
      <c r="F1394" t="s">
        <v>1716</v>
      </c>
      <c r="G1394" s="72">
        <v>26</v>
      </c>
    </row>
    <row r="1395" spans="5:7" x14ac:dyDescent="0.3">
      <c r="E1395" t="s">
        <v>1819</v>
      </c>
      <c r="F1395" t="s">
        <v>2272</v>
      </c>
      <c r="G1395" s="72" t="s">
        <v>2131</v>
      </c>
    </row>
    <row r="1396" spans="5:7" x14ac:dyDescent="0.3">
      <c r="E1396" t="s">
        <v>1823</v>
      </c>
      <c r="F1396" t="s">
        <v>2034</v>
      </c>
      <c r="G1396" s="72" t="s">
        <v>2131</v>
      </c>
    </row>
    <row r="1397" spans="5:7" x14ac:dyDescent="0.3">
      <c r="E1397" t="s">
        <v>1825</v>
      </c>
      <c r="F1397" t="s">
        <v>2273</v>
      </c>
      <c r="G1397" s="72" t="s">
        <v>2131</v>
      </c>
    </row>
    <row r="1398" spans="5:7" x14ac:dyDescent="0.3">
      <c r="E1398" t="s">
        <v>2274</v>
      </c>
      <c r="F1398" t="s">
        <v>2275</v>
      </c>
      <c r="G1398" s="72" t="s">
        <v>2131</v>
      </c>
    </row>
    <row r="1399" spans="5:7" x14ac:dyDescent="0.3">
      <c r="E1399" t="s">
        <v>1831</v>
      </c>
      <c r="F1399" t="s">
        <v>2035</v>
      </c>
      <c r="G1399" s="72" t="s">
        <v>2131</v>
      </c>
    </row>
    <row r="1400" spans="5:7" x14ac:dyDescent="0.3">
      <c r="E1400" t="s">
        <v>2276</v>
      </c>
      <c r="F1400" t="s">
        <v>2277</v>
      </c>
      <c r="G1400" s="72" t="s">
        <v>2131</v>
      </c>
    </row>
    <row r="1401" spans="5:7" x14ac:dyDescent="0.3">
      <c r="E1401" t="s">
        <v>1819</v>
      </c>
      <c r="F1401" t="s">
        <v>2026</v>
      </c>
      <c r="G1401" s="72" t="s">
        <v>1890</v>
      </c>
    </row>
    <row r="1402" spans="5:7" x14ac:dyDescent="0.3">
      <c r="E1402" t="s">
        <v>1823</v>
      </c>
      <c r="F1402" t="s">
        <v>2027</v>
      </c>
      <c r="G1402" s="72" t="s">
        <v>1890</v>
      </c>
    </row>
    <row r="1403" spans="5:7" x14ac:dyDescent="0.3">
      <c r="E1403" t="s">
        <v>1825</v>
      </c>
      <c r="F1403" t="s">
        <v>2030</v>
      </c>
      <c r="G1403" s="72" t="s">
        <v>1890</v>
      </c>
    </row>
    <row r="1404" spans="5:7" x14ac:dyDescent="0.3">
      <c r="E1404" t="s">
        <v>2274</v>
      </c>
      <c r="F1404" t="s">
        <v>2029</v>
      </c>
      <c r="G1404" s="72" t="s">
        <v>1890</v>
      </c>
    </row>
    <row r="1405" spans="5:7" x14ac:dyDescent="0.3">
      <c r="E1405" t="s">
        <v>1831</v>
      </c>
      <c r="F1405" t="s">
        <v>2029</v>
      </c>
      <c r="G1405" s="72" t="s">
        <v>1890</v>
      </c>
    </row>
    <row r="1406" spans="5:7" x14ac:dyDescent="0.3">
      <c r="E1406" t="s">
        <v>2276</v>
      </c>
      <c r="F1406" t="s">
        <v>2025</v>
      </c>
      <c r="G1406" s="72" t="s">
        <v>1890</v>
      </c>
    </row>
    <row r="1407" spans="5:7" x14ac:dyDescent="0.3">
      <c r="E1407" t="s">
        <v>1896</v>
      </c>
      <c r="F1407" t="s">
        <v>2028</v>
      </c>
      <c r="G1407" s="72" t="s">
        <v>1890</v>
      </c>
    </row>
    <row r="1408" spans="5:7" x14ac:dyDescent="0.3">
      <c r="E1408" t="s">
        <v>1900</v>
      </c>
      <c r="F1408" t="s">
        <v>2033</v>
      </c>
      <c r="G1408" s="72" t="s">
        <v>1890</v>
      </c>
    </row>
    <row r="1409" spans="5:7" x14ac:dyDescent="0.3">
      <c r="E1409" t="s">
        <v>1902</v>
      </c>
      <c r="F1409" t="s">
        <v>2032</v>
      </c>
      <c r="G1409" s="72" t="s">
        <v>1890</v>
      </c>
    </row>
    <row r="1410" spans="5:7" x14ac:dyDescent="0.3">
      <c r="E1410" t="s">
        <v>2278</v>
      </c>
      <c r="F1410" t="s">
        <v>2031</v>
      </c>
      <c r="G1410" s="72" t="s">
        <v>1890</v>
      </c>
    </row>
    <row r="1411" spans="5:7" x14ac:dyDescent="0.3">
      <c r="E1411" t="s">
        <v>1908</v>
      </c>
      <c r="F1411" t="s">
        <v>2031</v>
      </c>
      <c r="G1411" s="72" t="s">
        <v>1890</v>
      </c>
    </row>
    <row r="1412" spans="5:7" x14ac:dyDescent="0.3">
      <c r="E1412" t="s">
        <v>2279</v>
      </c>
      <c r="F1412" t="s">
        <v>2024</v>
      </c>
      <c r="G1412" s="72" t="s">
        <v>1890</v>
      </c>
    </row>
    <row r="1413" spans="5:7" x14ac:dyDescent="0.3">
      <c r="E1413" t="s">
        <v>1819</v>
      </c>
      <c r="F1413" t="s">
        <v>2026</v>
      </c>
      <c r="G1413" s="72" t="s">
        <v>1934</v>
      </c>
    </row>
    <row r="1414" spans="5:7" x14ac:dyDescent="0.3">
      <c r="E1414" t="s">
        <v>1823</v>
      </c>
      <c r="F1414" t="s">
        <v>2027</v>
      </c>
      <c r="G1414" s="72" t="s">
        <v>1934</v>
      </c>
    </row>
    <row r="1415" spans="5:7" x14ac:dyDescent="0.3">
      <c r="E1415" t="s">
        <v>1825</v>
      </c>
      <c r="F1415" t="s">
        <v>2030</v>
      </c>
      <c r="G1415" s="72" t="s">
        <v>1934</v>
      </c>
    </row>
    <row r="1416" spans="5:7" x14ac:dyDescent="0.3">
      <c r="E1416" t="s">
        <v>2274</v>
      </c>
      <c r="F1416" t="s">
        <v>2029</v>
      </c>
      <c r="G1416" s="72" t="s">
        <v>1934</v>
      </c>
    </row>
    <row r="1417" spans="5:7" x14ac:dyDescent="0.3">
      <c r="E1417" t="s">
        <v>1831</v>
      </c>
      <c r="F1417" t="s">
        <v>2029</v>
      </c>
      <c r="G1417" s="72" t="s">
        <v>1934</v>
      </c>
    </row>
    <row r="1418" spans="5:7" x14ac:dyDescent="0.3">
      <c r="E1418" t="s">
        <v>2276</v>
      </c>
      <c r="F1418" t="s">
        <v>2025</v>
      </c>
      <c r="G1418" s="72" t="s">
        <v>1934</v>
      </c>
    </row>
    <row r="1419" spans="5:7" x14ac:dyDescent="0.3">
      <c r="E1419" t="s">
        <v>1896</v>
      </c>
      <c r="F1419" t="s">
        <v>2028</v>
      </c>
      <c r="G1419" s="72" t="s">
        <v>1934</v>
      </c>
    </row>
    <row r="1420" spans="5:7" x14ac:dyDescent="0.3">
      <c r="E1420" t="s">
        <v>1900</v>
      </c>
      <c r="F1420" t="s">
        <v>2033</v>
      </c>
      <c r="G1420" s="72" t="s">
        <v>1934</v>
      </c>
    </row>
    <row r="1421" spans="5:7" x14ac:dyDescent="0.3">
      <c r="E1421" t="s">
        <v>1902</v>
      </c>
      <c r="F1421" t="s">
        <v>2032</v>
      </c>
      <c r="G1421" s="72" t="s">
        <v>1934</v>
      </c>
    </row>
    <row r="1422" spans="5:7" x14ac:dyDescent="0.3">
      <c r="E1422" t="s">
        <v>2278</v>
      </c>
      <c r="F1422" t="s">
        <v>2031</v>
      </c>
      <c r="G1422" s="72" t="s">
        <v>1934</v>
      </c>
    </row>
    <row r="1423" spans="5:7" x14ac:dyDescent="0.3">
      <c r="E1423" t="s">
        <v>1908</v>
      </c>
      <c r="F1423" t="s">
        <v>2031</v>
      </c>
      <c r="G1423" s="72" t="s">
        <v>1934</v>
      </c>
    </row>
    <row r="1424" spans="5:7" x14ac:dyDescent="0.3">
      <c r="E1424" t="s">
        <v>2279</v>
      </c>
      <c r="F1424" t="s">
        <v>2024</v>
      </c>
      <c r="G1424" s="72" t="s">
        <v>1934</v>
      </c>
    </row>
    <row r="1425" spans="5:7" x14ac:dyDescent="0.3">
      <c r="E1425" t="s">
        <v>1820</v>
      </c>
      <c r="F1425" t="s">
        <v>2014</v>
      </c>
      <c r="G1425" s="72" t="s">
        <v>2131</v>
      </c>
    </row>
    <row r="1426" spans="5:7" x14ac:dyDescent="0.3">
      <c r="E1426" t="s">
        <v>1821</v>
      </c>
      <c r="F1426" t="s">
        <v>2012</v>
      </c>
      <c r="G1426" s="72" t="s">
        <v>2131</v>
      </c>
    </row>
    <row r="1427" spans="5:7" x14ac:dyDescent="0.3">
      <c r="E1427" t="s">
        <v>2280</v>
      </c>
      <c r="F1427" t="s">
        <v>2012</v>
      </c>
      <c r="G1427" s="72" t="s">
        <v>2131</v>
      </c>
    </row>
    <row r="1428" spans="5:7" x14ac:dyDescent="0.3">
      <c r="E1428" t="s">
        <v>2281</v>
      </c>
      <c r="F1428" t="s">
        <v>2013</v>
      </c>
      <c r="G1428" s="72" t="s">
        <v>2131</v>
      </c>
    </row>
    <row r="1429" spans="5:7" x14ac:dyDescent="0.3">
      <c r="E1429" t="s">
        <v>1824</v>
      </c>
      <c r="F1429" t="s">
        <v>2012</v>
      </c>
      <c r="G1429" s="72" t="s">
        <v>2131</v>
      </c>
    </row>
    <row r="1430" spans="5:7" x14ac:dyDescent="0.3">
      <c r="E1430" t="s">
        <v>1826</v>
      </c>
      <c r="F1430" t="s">
        <v>2011</v>
      </c>
      <c r="G1430" s="72" t="s">
        <v>2131</v>
      </c>
    </row>
    <row r="1431" spans="5:7" x14ac:dyDescent="0.3">
      <c r="E1431" t="s">
        <v>2282</v>
      </c>
      <c r="F1431" t="s">
        <v>2006</v>
      </c>
      <c r="G1431" s="72" t="s">
        <v>2131</v>
      </c>
    </row>
    <row r="1432" spans="5:7" x14ac:dyDescent="0.3">
      <c r="E1432" t="s">
        <v>1832</v>
      </c>
      <c r="F1432" t="s">
        <v>2006</v>
      </c>
      <c r="G1432" s="72" t="s">
        <v>2131</v>
      </c>
    </row>
    <row r="1433" spans="5:7" x14ac:dyDescent="0.3">
      <c r="E1433" t="s">
        <v>1834</v>
      </c>
      <c r="F1433" t="s">
        <v>2010</v>
      </c>
      <c r="G1433" s="72" t="s">
        <v>2131</v>
      </c>
    </row>
    <row r="1434" spans="5:7" x14ac:dyDescent="0.3">
      <c r="E1434" t="s">
        <v>2283</v>
      </c>
      <c r="F1434" t="s">
        <v>2009</v>
      </c>
      <c r="G1434" s="72" t="s">
        <v>2131</v>
      </c>
    </row>
    <row r="1435" spans="5:7" x14ac:dyDescent="0.3">
      <c r="E1435" t="s">
        <v>1820</v>
      </c>
      <c r="F1435" t="s">
        <v>1997</v>
      </c>
      <c r="G1435" s="72" t="s">
        <v>1890</v>
      </c>
    </row>
    <row r="1436" spans="5:7" x14ac:dyDescent="0.3">
      <c r="E1436" t="s">
        <v>1821</v>
      </c>
      <c r="F1436" t="s">
        <v>1993</v>
      </c>
      <c r="G1436" s="72" t="s">
        <v>1890</v>
      </c>
    </row>
    <row r="1437" spans="5:7" x14ac:dyDescent="0.3">
      <c r="E1437" t="s">
        <v>2280</v>
      </c>
      <c r="F1437" t="s">
        <v>2005</v>
      </c>
      <c r="G1437" s="72" t="s">
        <v>1890</v>
      </c>
    </row>
    <row r="1438" spans="5:7" x14ac:dyDescent="0.3">
      <c r="E1438" t="s">
        <v>2281</v>
      </c>
      <c r="F1438" t="s">
        <v>1992</v>
      </c>
      <c r="G1438" s="72" t="s">
        <v>1890</v>
      </c>
    </row>
    <row r="1439" spans="5:7" x14ac:dyDescent="0.3">
      <c r="E1439" t="s">
        <v>1824</v>
      </c>
      <c r="F1439" t="s">
        <v>2005</v>
      </c>
      <c r="G1439" s="72" t="s">
        <v>1890</v>
      </c>
    </row>
    <row r="1440" spans="5:7" x14ac:dyDescent="0.3">
      <c r="E1440" t="s">
        <v>1826</v>
      </c>
      <c r="F1440" t="s">
        <v>2000</v>
      </c>
      <c r="G1440" s="72" t="s">
        <v>1890</v>
      </c>
    </row>
    <row r="1441" spans="5:7" x14ac:dyDescent="0.3">
      <c r="E1441" t="s">
        <v>2282</v>
      </c>
      <c r="F1441" t="s">
        <v>1990</v>
      </c>
      <c r="G1441" s="72" t="s">
        <v>1890</v>
      </c>
    </row>
    <row r="1442" spans="5:7" x14ac:dyDescent="0.3">
      <c r="E1442" t="s">
        <v>1832</v>
      </c>
      <c r="F1442" t="s">
        <v>1990</v>
      </c>
      <c r="G1442" s="72" t="s">
        <v>1890</v>
      </c>
    </row>
    <row r="1443" spans="5:7" x14ac:dyDescent="0.3">
      <c r="E1443" t="s">
        <v>1834</v>
      </c>
      <c r="F1443" t="s">
        <v>1989</v>
      </c>
      <c r="G1443" s="72" t="s">
        <v>1890</v>
      </c>
    </row>
    <row r="1444" spans="5:7" x14ac:dyDescent="0.3">
      <c r="E1444" t="s">
        <v>2283</v>
      </c>
      <c r="F1444" t="s">
        <v>1988</v>
      </c>
      <c r="G1444" s="72" t="s">
        <v>1890</v>
      </c>
    </row>
    <row r="1445" spans="5:7" x14ac:dyDescent="0.3">
      <c r="E1445" t="s">
        <v>1820</v>
      </c>
      <c r="F1445" t="s">
        <v>1997</v>
      </c>
      <c r="G1445" s="72" t="s">
        <v>1934</v>
      </c>
    </row>
    <row r="1446" spans="5:7" x14ac:dyDescent="0.3">
      <c r="E1446" t="s">
        <v>1821</v>
      </c>
      <c r="F1446" t="s">
        <v>1993</v>
      </c>
      <c r="G1446" s="72" t="s">
        <v>1934</v>
      </c>
    </row>
    <row r="1447" spans="5:7" x14ac:dyDescent="0.3">
      <c r="E1447" t="s">
        <v>2280</v>
      </c>
      <c r="F1447" t="s">
        <v>2005</v>
      </c>
      <c r="G1447" s="72" t="s">
        <v>1934</v>
      </c>
    </row>
    <row r="1448" spans="5:7" x14ac:dyDescent="0.3">
      <c r="E1448" t="s">
        <v>2281</v>
      </c>
      <c r="F1448" t="s">
        <v>1992</v>
      </c>
      <c r="G1448" s="72" t="s">
        <v>1934</v>
      </c>
    </row>
    <row r="1449" spans="5:7" x14ac:dyDescent="0.3">
      <c r="E1449" t="s">
        <v>1824</v>
      </c>
      <c r="F1449" t="s">
        <v>2005</v>
      </c>
      <c r="G1449" s="72" t="s">
        <v>1934</v>
      </c>
    </row>
    <row r="1450" spans="5:7" x14ac:dyDescent="0.3">
      <c r="E1450" t="s">
        <v>1826</v>
      </c>
      <c r="F1450" t="s">
        <v>2000</v>
      </c>
      <c r="G1450" s="72" t="s">
        <v>1934</v>
      </c>
    </row>
    <row r="1451" spans="5:7" x14ac:dyDescent="0.3">
      <c r="E1451" t="s">
        <v>2282</v>
      </c>
      <c r="F1451" t="s">
        <v>1990</v>
      </c>
      <c r="G1451" s="72" t="s">
        <v>1934</v>
      </c>
    </row>
    <row r="1452" spans="5:7" x14ac:dyDescent="0.3">
      <c r="E1452" t="s">
        <v>1832</v>
      </c>
      <c r="F1452" t="s">
        <v>1990</v>
      </c>
      <c r="G1452" s="72" t="s">
        <v>1934</v>
      </c>
    </row>
    <row r="1453" spans="5:7" x14ac:dyDescent="0.3">
      <c r="E1453" t="s">
        <v>1834</v>
      </c>
      <c r="F1453" t="s">
        <v>1989</v>
      </c>
      <c r="G1453" s="72" t="s">
        <v>1934</v>
      </c>
    </row>
    <row r="1454" spans="5:7" x14ac:dyDescent="0.3">
      <c r="E1454" t="s">
        <v>2283</v>
      </c>
      <c r="F1454" t="s">
        <v>1988</v>
      </c>
      <c r="G1454" s="72" t="s">
        <v>1934</v>
      </c>
    </row>
    <row r="1455" spans="5:7" x14ac:dyDescent="0.3">
      <c r="E1455" t="s">
        <v>1903</v>
      </c>
      <c r="F1455" s="72" t="s">
        <v>1998</v>
      </c>
      <c r="G1455" s="83" t="s">
        <v>1890</v>
      </c>
    </row>
    <row r="1456" spans="5:7" x14ac:dyDescent="0.3">
      <c r="E1456" t="s">
        <v>2284</v>
      </c>
      <c r="F1456" s="72" t="s">
        <v>1999</v>
      </c>
      <c r="G1456" s="83" t="s">
        <v>1890</v>
      </c>
    </row>
    <row r="1457" spans="5:7" x14ac:dyDescent="0.3">
      <c r="E1457" t="s">
        <v>1901</v>
      </c>
      <c r="F1457" s="72" t="s">
        <v>1999</v>
      </c>
      <c r="G1457" s="83" t="s">
        <v>1890</v>
      </c>
    </row>
    <row r="1458" spans="5:7" x14ac:dyDescent="0.3">
      <c r="E1458" t="s">
        <v>1897</v>
      </c>
      <c r="F1458" s="72" t="s">
        <v>1987</v>
      </c>
      <c r="G1458" s="83" t="s">
        <v>1890</v>
      </c>
    </row>
    <row r="1459" spans="5:7" x14ac:dyDescent="0.3">
      <c r="E1459" t="s">
        <v>1898</v>
      </c>
      <c r="F1459" s="72" t="s">
        <v>1991</v>
      </c>
      <c r="G1459" s="83" t="s">
        <v>1890</v>
      </c>
    </row>
    <row r="1460" spans="5:7" x14ac:dyDescent="0.3">
      <c r="E1460" t="s">
        <v>2285</v>
      </c>
      <c r="F1460" s="72" t="s">
        <v>1994</v>
      </c>
      <c r="G1460" s="83" t="s">
        <v>1890</v>
      </c>
    </row>
    <row r="1461" spans="5:7" x14ac:dyDescent="0.3">
      <c r="E1461" t="s">
        <v>1901</v>
      </c>
      <c r="F1461" s="72" t="s">
        <v>1999</v>
      </c>
      <c r="G1461" s="83" t="s">
        <v>1890</v>
      </c>
    </row>
    <row r="1462" spans="5:7" x14ac:dyDescent="0.3">
      <c r="E1462" t="s">
        <v>1903</v>
      </c>
      <c r="F1462" s="72" t="s">
        <v>1998</v>
      </c>
      <c r="G1462" s="83" t="s">
        <v>1890</v>
      </c>
    </row>
    <row r="1463" spans="5:7" x14ac:dyDescent="0.3">
      <c r="E1463" t="s">
        <v>1909</v>
      </c>
      <c r="F1463" s="72" t="s">
        <v>1995</v>
      </c>
      <c r="G1463" s="83" t="s">
        <v>1890</v>
      </c>
    </row>
    <row r="1464" spans="5:7" x14ac:dyDescent="0.3">
      <c r="E1464" t="s">
        <v>1897</v>
      </c>
      <c r="F1464" s="72" t="s">
        <v>1987</v>
      </c>
      <c r="G1464" s="83" t="s">
        <v>1890</v>
      </c>
    </row>
    <row r="1465" spans="5:7" x14ac:dyDescent="0.3">
      <c r="E1465" t="s">
        <v>2285</v>
      </c>
      <c r="F1465" s="72" t="s">
        <v>1994</v>
      </c>
      <c r="G1465" s="83" t="s">
        <v>1890</v>
      </c>
    </row>
    <row r="1466" spans="5:7" x14ac:dyDescent="0.3">
      <c r="E1466" t="s">
        <v>1898</v>
      </c>
      <c r="F1466" s="72" t="s">
        <v>1991</v>
      </c>
      <c r="G1466" s="83" t="s">
        <v>1890</v>
      </c>
    </row>
    <row r="1467" spans="5:7" x14ac:dyDescent="0.3">
      <c r="E1467" t="s">
        <v>2284</v>
      </c>
      <c r="F1467" s="72" t="s">
        <v>1999</v>
      </c>
      <c r="G1467" s="83" t="s">
        <v>1890</v>
      </c>
    </row>
    <row r="1468" spans="5:7" x14ac:dyDescent="0.3">
      <c r="E1468" t="s">
        <v>1903</v>
      </c>
      <c r="F1468" s="72" t="s">
        <v>1998</v>
      </c>
      <c r="G1468" s="83" t="s">
        <v>1934</v>
      </c>
    </row>
    <row r="1469" spans="5:7" x14ac:dyDescent="0.3">
      <c r="E1469" t="s">
        <v>2284</v>
      </c>
      <c r="F1469" s="72" t="s">
        <v>1999</v>
      </c>
      <c r="G1469" s="83" t="s">
        <v>1934</v>
      </c>
    </row>
    <row r="1470" spans="5:7" x14ac:dyDescent="0.3">
      <c r="E1470" t="s">
        <v>1901</v>
      </c>
      <c r="F1470" s="72" t="s">
        <v>1999</v>
      </c>
      <c r="G1470" s="83" t="s">
        <v>1934</v>
      </c>
    </row>
    <row r="1471" spans="5:7" x14ac:dyDescent="0.3">
      <c r="E1471" t="s">
        <v>1897</v>
      </c>
      <c r="F1471" s="72" t="s">
        <v>1987</v>
      </c>
      <c r="G1471" s="83" t="s">
        <v>1934</v>
      </c>
    </row>
    <row r="1472" spans="5:7" x14ac:dyDescent="0.3">
      <c r="E1472" t="s">
        <v>1898</v>
      </c>
      <c r="F1472" s="72" t="s">
        <v>1991</v>
      </c>
      <c r="G1472" s="83" t="s">
        <v>1934</v>
      </c>
    </row>
    <row r="1473" spans="5:7" x14ac:dyDescent="0.3">
      <c r="E1473" t="s">
        <v>2285</v>
      </c>
      <c r="F1473" t="s">
        <v>1994</v>
      </c>
      <c r="G1473" s="83" t="s">
        <v>1934</v>
      </c>
    </row>
    <row r="1474" spans="5:7" x14ac:dyDescent="0.3">
      <c r="E1474" t="s">
        <v>1901</v>
      </c>
      <c r="F1474" t="s">
        <v>1999</v>
      </c>
      <c r="G1474" s="83" t="s">
        <v>1934</v>
      </c>
    </row>
    <row r="1475" spans="5:7" x14ac:dyDescent="0.3">
      <c r="E1475" t="s">
        <v>1903</v>
      </c>
      <c r="F1475" t="s">
        <v>1998</v>
      </c>
      <c r="G1475" s="83" t="s">
        <v>1934</v>
      </c>
    </row>
    <row r="1476" spans="5:7" x14ac:dyDescent="0.3">
      <c r="E1476" t="s">
        <v>1909</v>
      </c>
      <c r="F1476" t="s">
        <v>1995</v>
      </c>
      <c r="G1476" s="83" t="s">
        <v>1934</v>
      </c>
    </row>
    <row r="1477" spans="5:7" x14ac:dyDescent="0.3">
      <c r="E1477" t="s">
        <v>1897</v>
      </c>
      <c r="F1477" t="s">
        <v>1987</v>
      </c>
      <c r="G1477" s="83" t="s">
        <v>1934</v>
      </c>
    </row>
    <row r="1478" spans="5:7" x14ac:dyDescent="0.3">
      <c r="E1478" t="s">
        <v>2285</v>
      </c>
      <c r="F1478" t="s">
        <v>1994</v>
      </c>
      <c r="G1478" s="83" t="s">
        <v>1934</v>
      </c>
    </row>
    <row r="1479" spans="5:7" x14ac:dyDescent="0.3">
      <c r="E1479" t="s">
        <v>1898</v>
      </c>
      <c r="F1479" t="s">
        <v>1991</v>
      </c>
      <c r="G1479" s="83" t="s">
        <v>1934</v>
      </c>
    </row>
    <row r="1480" spans="5:7" x14ac:dyDescent="0.3">
      <c r="E1480" t="s">
        <v>2284</v>
      </c>
      <c r="F1480" t="s">
        <v>1999</v>
      </c>
      <c r="G1480" s="83" t="s">
        <v>1934</v>
      </c>
    </row>
    <row r="1481" spans="5:7" x14ac:dyDescent="0.3">
      <c r="E1481" t="s">
        <v>2286</v>
      </c>
      <c r="G1481" s="83" t="s">
        <v>2082</v>
      </c>
    </row>
    <row r="1482" spans="5:7" x14ac:dyDescent="0.3">
      <c r="E1482" t="s">
        <v>2287</v>
      </c>
      <c r="F1482" t="s">
        <v>2287</v>
      </c>
      <c r="G1482" s="83">
        <v>26</v>
      </c>
    </row>
    <row r="1483" spans="5:7" x14ac:dyDescent="0.3">
      <c r="E1483" s="79" t="s">
        <v>1837</v>
      </c>
      <c r="F1483" t="s">
        <v>1433</v>
      </c>
      <c r="G1483" s="83" t="s">
        <v>2085</v>
      </c>
    </row>
    <row r="1484" spans="5:7" x14ac:dyDescent="0.3">
      <c r="E1484" s="79" t="s">
        <v>1837</v>
      </c>
      <c r="F1484" t="s">
        <v>1439</v>
      </c>
      <c r="G1484" s="83" t="s">
        <v>2083</v>
      </c>
    </row>
    <row r="1485" spans="5:7" x14ac:dyDescent="0.3">
      <c r="E1485" s="79" t="s">
        <v>1837</v>
      </c>
      <c r="F1485" t="s">
        <v>1439</v>
      </c>
      <c r="G1485" s="83" t="s">
        <v>2082</v>
      </c>
    </row>
    <row r="1486" spans="5:7" x14ac:dyDescent="0.3">
      <c r="E1486" t="s">
        <v>1857</v>
      </c>
      <c r="F1486" t="s">
        <v>1422</v>
      </c>
      <c r="G1486" s="83" t="s">
        <v>2085</v>
      </c>
    </row>
    <row r="1487" spans="5:7" x14ac:dyDescent="0.3">
      <c r="E1487" t="s">
        <v>1709</v>
      </c>
      <c r="F1487" s="72" t="s">
        <v>1709</v>
      </c>
      <c r="G1487" s="83">
        <v>26</v>
      </c>
    </row>
    <row r="1488" spans="5:7" x14ac:dyDescent="0.3">
      <c r="E1488" t="s">
        <v>1687</v>
      </c>
      <c r="F1488" t="s">
        <v>1687</v>
      </c>
      <c r="G1488" s="83">
        <v>26</v>
      </c>
    </row>
    <row r="1489" spans="5:7" x14ac:dyDescent="0.3">
      <c r="E1489" t="s">
        <v>1884</v>
      </c>
      <c r="F1489" t="s">
        <v>1672</v>
      </c>
      <c r="G1489" s="83">
        <v>26</v>
      </c>
    </row>
    <row r="1490" spans="5:7" x14ac:dyDescent="0.3">
      <c r="E1490" t="s">
        <v>1694</v>
      </c>
      <c r="F1490" s="72" t="s">
        <v>1694</v>
      </c>
      <c r="G1490" s="83">
        <v>26</v>
      </c>
    </row>
    <row r="1491" spans="5:7" x14ac:dyDescent="0.3">
      <c r="E1491" t="s">
        <v>2288</v>
      </c>
      <c r="F1491" t="s">
        <v>1661</v>
      </c>
      <c r="G1491" s="83">
        <v>26</v>
      </c>
    </row>
    <row r="1492" spans="5:7" x14ac:dyDescent="0.3">
      <c r="E1492" t="s">
        <v>1863</v>
      </c>
      <c r="F1492" s="72" t="s">
        <v>1863</v>
      </c>
      <c r="G1492" s="83">
        <v>26</v>
      </c>
    </row>
    <row r="1493" spans="5:7" x14ac:dyDescent="0.3">
      <c r="E1493" t="s">
        <v>2289</v>
      </c>
      <c r="F1493" s="72" t="s">
        <v>1438</v>
      </c>
      <c r="G1493" s="83" t="s">
        <v>2085</v>
      </c>
    </row>
    <row r="1494" spans="5:7" x14ac:dyDescent="0.3">
      <c r="E1494" t="s">
        <v>1767</v>
      </c>
      <c r="F1494" t="s">
        <v>1767</v>
      </c>
      <c r="G1494" s="83" t="s">
        <v>2085</v>
      </c>
    </row>
    <row r="1495" spans="5:7" x14ac:dyDescent="0.3">
      <c r="E1495" t="s">
        <v>1423</v>
      </c>
      <c r="F1495" t="s">
        <v>1423</v>
      </c>
      <c r="G1495" s="83" t="s">
        <v>2085</v>
      </c>
    </row>
    <row r="1496" spans="5:7" x14ac:dyDescent="0.3">
      <c r="E1496" t="s">
        <v>2047</v>
      </c>
      <c r="F1496" t="s">
        <v>2047</v>
      </c>
      <c r="G1496" s="72">
        <v>26</v>
      </c>
    </row>
    <row r="1497" spans="5:7" x14ac:dyDescent="0.3">
      <c r="E1497" t="s">
        <v>1871</v>
      </c>
      <c r="F1497" s="72" t="s">
        <v>1438</v>
      </c>
      <c r="G1497" s="72" t="s">
        <v>2085</v>
      </c>
    </row>
    <row r="1498" spans="5:7" x14ac:dyDescent="0.3">
      <c r="E1498" t="s">
        <v>1720</v>
      </c>
      <c r="F1498" t="s">
        <v>1720</v>
      </c>
      <c r="G1498" s="72">
        <v>26</v>
      </c>
    </row>
    <row r="1499" spans="5:7" x14ac:dyDescent="0.3">
      <c r="E1499" t="s">
        <v>1693</v>
      </c>
      <c r="F1499" t="s">
        <v>1693</v>
      </c>
      <c r="G1499" s="72">
        <v>26</v>
      </c>
    </row>
    <row r="1500" spans="5:7" x14ac:dyDescent="0.3">
      <c r="E1500" t="s">
        <v>1719</v>
      </c>
      <c r="F1500" t="s">
        <v>1719</v>
      </c>
      <c r="G1500" s="72">
        <v>26</v>
      </c>
    </row>
    <row r="1501" spans="5:7" x14ac:dyDescent="0.3">
      <c r="E1501" t="s">
        <v>1652</v>
      </c>
      <c r="F1501" t="s">
        <v>1652</v>
      </c>
      <c r="G1501" s="72">
        <v>26</v>
      </c>
    </row>
    <row r="1502" spans="5:7" x14ac:dyDescent="0.3">
      <c r="E1502" t="s">
        <v>1410</v>
      </c>
      <c r="F1502" t="s">
        <v>1410</v>
      </c>
      <c r="G1502" s="72">
        <v>26</v>
      </c>
    </row>
    <row r="1503" spans="5:7" x14ac:dyDescent="0.3">
      <c r="E1503" t="s">
        <v>1688</v>
      </c>
      <c r="F1503" t="s">
        <v>1688</v>
      </c>
      <c r="G1503" s="72">
        <v>26</v>
      </c>
    </row>
    <row r="1504" spans="5:7" x14ac:dyDescent="0.3">
      <c r="E1504" t="s">
        <v>2290</v>
      </c>
      <c r="F1504" t="s">
        <v>2057</v>
      </c>
      <c r="G1504" s="72" t="s">
        <v>2082</v>
      </c>
    </row>
    <row r="1505" spans="5:7" x14ac:dyDescent="0.3">
      <c r="E1505" t="s">
        <v>2291</v>
      </c>
      <c r="F1505" s="79" t="s">
        <v>2074</v>
      </c>
      <c r="G1505" s="72" t="s">
        <v>2082</v>
      </c>
    </row>
    <row r="1506" spans="5:7" x14ac:dyDescent="0.3">
      <c r="E1506" t="s">
        <v>2292</v>
      </c>
      <c r="F1506" t="s">
        <v>2063</v>
      </c>
      <c r="G1506" s="72" t="s">
        <v>2082</v>
      </c>
    </row>
    <row r="1507" spans="5:7" x14ac:dyDescent="0.3">
      <c r="E1507" t="s">
        <v>1948</v>
      </c>
      <c r="F1507" t="s">
        <v>1683</v>
      </c>
      <c r="G1507" s="72" t="s">
        <v>2082</v>
      </c>
    </row>
    <row r="1508" spans="5:7" x14ac:dyDescent="0.3">
      <c r="E1508" t="s">
        <v>2293</v>
      </c>
      <c r="F1508" s="79" t="s">
        <v>2077</v>
      </c>
      <c r="G1508" s="72" t="s">
        <v>2082</v>
      </c>
    </row>
    <row r="1509" spans="5:7" x14ac:dyDescent="0.3">
      <c r="E1509" t="s">
        <v>2294</v>
      </c>
      <c r="F1509" s="79" t="s">
        <v>2074</v>
      </c>
      <c r="G1509" s="72" t="s">
        <v>2082</v>
      </c>
    </row>
    <row r="1510" spans="5:7" x14ac:dyDescent="0.3">
      <c r="E1510" t="s">
        <v>2295</v>
      </c>
      <c r="F1510" t="s">
        <v>2065</v>
      </c>
      <c r="G1510" s="72" t="s">
        <v>2082</v>
      </c>
    </row>
    <row r="1511" spans="5:7" x14ac:dyDescent="0.3">
      <c r="E1511" t="s">
        <v>2296</v>
      </c>
      <c r="F1511" t="s">
        <v>2073</v>
      </c>
      <c r="G1511" s="72" t="s">
        <v>2082</v>
      </c>
    </row>
    <row r="1512" spans="5:7" x14ac:dyDescent="0.3">
      <c r="E1512" t="s">
        <v>1822</v>
      </c>
      <c r="F1512" t="s">
        <v>2034</v>
      </c>
      <c r="G1512" s="72" t="s">
        <v>2131</v>
      </c>
    </row>
    <row r="1513" spans="5:7" x14ac:dyDescent="0.3">
      <c r="E1513" t="s">
        <v>1828</v>
      </c>
      <c r="F1513" t="s">
        <v>2027</v>
      </c>
      <c r="G1513" s="72" t="s">
        <v>1890</v>
      </c>
    </row>
    <row r="1514" spans="5:7" x14ac:dyDescent="0.3">
      <c r="E1514" t="s">
        <v>1829</v>
      </c>
      <c r="F1514" t="s">
        <v>1984</v>
      </c>
      <c r="G1514" s="72" t="s">
        <v>1934</v>
      </c>
    </row>
    <row r="1515" spans="5:7" x14ac:dyDescent="0.3">
      <c r="E1515" t="s">
        <v>1830</v>
      </c>
      <c r="F1515" t="s">
        <v>2034</v>
      </c>
      <c r="G1515" s="72" t="s">
        <v>2131</v>
      </c>
    </row>
    <row r="1516" spans="5:7" x14ac:dyDescent="0.3">
      <c r="E1516" t="s">
        <v>1822</v>
      </c>
      <c r="F1516" t="s">
        <v>2027</v>
      </c>
      <c r="G1516" s="72" t="s">
        <v>1890</v>
      </c>
    </row>
    <row r="1517" spans="5:7" x14ac:dyDescent="0.3">
      <c r="E1517" t="s">
        <v>1828</v>
      </c>
      <c r="F1517" t="s">
        <v>2027</v>
      </c>
      <c r="G1517" s="72" t="s">
        <v>1934</v>
      </c>
    </row>
    <row r="1518" spans="5:7" x14ac:dyDescent="0.3">
      <c r="E1518" t="s">
        <v>1829</v>
      </c>
      <c r="F1518" t="s">
        <v>2008</v>
      </c>
      <c r="G1518" s="72" t="s">
        <v>2131</v>
      </c>
    </row>
    <row r="1519" spans="5:7" x14ac:dyDescent="0.3">
      <c r="E1519" t="s">
        <v>1830</v>
      </c>
      <c r="F1519" t="s">
        <v>2027</v>
      </c>
      <c r="G1519" s="72" t="s">
        <v>1890</v>
      </c>
    </row>
    <row r="1520" spans="5:7" x14ac:dyDescent="0.3">
      <c r="E1520" t="s">
        <v>1822</v>
      </c>
      <c r="F1520" t="s">
        <v>2027</v>
      </c>
      <c r="G1520" s="72" t="s">
        <v>1934</v>
      </c>
    </row>
    <row r="1521" spans="5:7" x14ac:dyDescent="0.3">
      <c r="E1521" t="s">
        <v>1828</v>
      </c>
      <c r="F1521" t="s">
        <v>2034</v>
      </c>
      <c r="G1521" s="72" t="s">
        <v>2131</v>
      </c>
    </row>
    <row r="1522" spans="5:7" x14ac:dyDescent="0.3">
      <c r="E1522" t="s">
        <v>1829</v>
      </c>
      <c r="F1522" t="s">
        <v>1984</v>
      </c>
      <c r="G1522" s="72" t="s">
        <v>1890</v>
      </c>
    </row>
    <row r="1523" spans="5:7" x14ac:dyDescent="0.3">
      <c r="E1523" t="s">
        <v>1830</v>
      </c>
      <c r="F1523" t="s">
        <v>2027</v>
      </c>
      <c r="G1523" s="72" t="s">
        <v>1934</v>
      </c>
    </row>
    <row r="1524" spans="5:7" x14ac:dyDescent="0.3">
      <c r="E1524" t="s">
        <v>1847</v>
      </c>
      <c r="F1524" t="s">
        <v>1426</v>
      </c>
      <c r="G1524" s="72" t="s">
        <v>2085</v>
      </c>
    </row>
    <row r="1525" spans="5:7" x14ac:dyDescent="0.3">
      <c r="E1525" t="s">
        <v>1848</v>
      </c>
      <c r="F1525" t="s">
        <v>1768</v>
      </c>
      <c r="G1525" s="72" t="s">
        <v>2085</v>
      </c>
    </row>
    <row r="1526" spans="5:7" x14ac:dyDescent="0.3">
      <c r="E1526" t="s">
        <v>1849</v>
      </c>
      <c r="F1526" t="s">
        <v>1427</v>
      </c>
      <c r="G1526" s="72" t="s">
        <v>2085</v>
      </c>
    </row>
    <row r="1527" spans="5:7" x14ac:dyDescent="0.3">
      <c r="E1527" t="s">
        <v>1850</v>
      </c>
      <c r="F1527" t="s">
        <v>1605</v>
      </c>
      <c r="G1527" s="72" t="s">
        <v>2085</v>
      </c>
    </row>
    <row r="1528" spans="5:7" x14ac:dyDescent="0.3">
      <c r="E1528" s="79" t="s">
        <v>1906</v>
      </c>
      <c r="F1528" t="s">
        <v>1986</v>
      </c>
      <c r="G1528" s="83" t="s">
        <v>1890</v>
      </c>
    </row>
    <row r="1529" spans="5:7" x14ac:dyDescent="0.3">
      <c r="E1529" s="79" t="s">
        <v>1905</v>
      </c>
      <c r="F1529" t="s">
        <v>2033</v>
      </c>
      <c r="G1529" s="83" t="s">
        <v>1890</v>
      </c>
    </row>
    <row r="1530" spans="5:7" x14ac:dyDescent="0.3">
      <c r="E1530" s="79" t="s">
        <v>1907</v>
      </c>
      <c r="F1530" t="s">
        <v>2033</v>
      </c>
      <c r="G1530" s="83" t="s">
        <v>1890</v>
      </c>
    </row>
    <row r="1531" spans="5:7" x14ac:dyDescent="0.3">
      <c r="E1531" s="79" t="s">
        <v>1907</v>
      </c>
      <c r="F1531" t="s">
        <v>2033</v>
      </c>
      <c r="G1531" s="83" t="s">
        <v>1934</v>
      </c>
    </row>
    <row r="1532" spans="5:7" x14ac:dyDescent="0.3">
      <c r="E1532" s="79" t="s">
        <v>1905</v>
      </c>
      <c r="F1532" t="s">
        <v>2033</v>
      </c>
      <c r="G1532" s="83" t="s">
        <v>1934</v>
      </c>
    </row>
    <row r="1533" spans="5:7" x14ac:dyDescent="0.3">
      <c r="E1533" s="79" t="s">
        <v>1906</v>
      </c>
      <c r="F1533" t="s">
        <v>1986</v>
      </c>
      <c r="G1533" s="83" t="s">
        <v>1934</v>
      </c>
    </row>
    <row r="1534" spans="5:7" x14ac:dyDescent="0.3">
      <c r="E1534" t="s">
        <v>1827</v>
      </c>
      <c r="F1534" t="s">
        <v>2018</v>
      </c>
      <c r="G1534" s="72" t="s">
        <v>2131</v>
      </c>
    </row>
    <row r="1535" spans="5:7" x14ac:dyDescent="0.3">
      <c r="E1535" t="s">
        <v>1827</v>
      </c>
      <c r="F1535" t="s">
        <v>2002</v>
      </c>
      <c r="G1535" s="72" t="s">
        <v>1890</v>
      </c>
    </row>
    <row r="1536" spans="5:7" x14ac:dyDescent="0.3">
      <c r="E1536" t="s">
        <v>1827</v>
      </c>
      <c r="F1536" t="s">
        <v>2002</v>
      </c>
      <c r="G1536" s="72" t="s">
        <v>1934</v>
      </c>
    </row>
    <row r="1537" spans="5:7" x14ac:dyDescent="0.3">
      <c r="E1537" t="s">
        <v>1904</v>
      </c>
      <c r="F1537" t="s">
        <v>2004</v>
      </c>
      <c r="G1537" s="72" t="s">
        <v>1890</v>
      </c>
    </row>
    <row r="1538" spans="5:7" x14ac:dyDescent="0.3">
      <c r="E1538" t="s">
        <v>1904</v>
      </c>
      <c r="F1538" t="s">
        <v>2004</v>
      </c>
      <c r="G1538" s="72" t="s">
        <v>1934</v>
      </c>
    </row>
    <row r="1539" spans="5:7" x14ac:dyDescent="0.3">
      <c r="E1539" t="s">
        <v>1836</v>
      </c>
      <c r="F1539" t="s">
        <v>2016</v>
      </c>
      <c r="G1539" s="72" t="s">
        <v>2131</v>
      </c>
    </row>
    <row r="1540" spans="5:7" x14ac:dyDescent="0.3">
      <c r="E1540" t="s">
        <v>1836</v>
      </c>
      <c r="F1540" t="s">
        <v>2003</v>
      </c>
      <c r="G1540" s="72" t="s">
        <v>1890</v>
      </c>
    </row>
    <row r="1541" spans="5:7" x14ac:dyDescent="0.3">
      <c r="E1541" t="s">
        <v>1836</v>
      </c>
      <c r="F1541" t="s">
        <v>2003</v>
      </c>
      <c r="G1541" s="72" t="s">
        <v>1934</v>
      </c>
    </row>
    <row r="1542" spans="5:7" x14ac:dyDescent="0.3">
      <c r="E1542" t="s">
        <v>1913</v>
      </c>
      <c r="F1542" t="s">
        <v>2001</v>
      </c>
      <c r="G1542" s="72" t="s">
        <v>1890</v>
      </c>
    </row>
    <row r="1543" spans="5:7" x14ac:dyDescent="0.3">
      <c r="E1543" t="s">
        <v>1913</v>
      </c>
      <c r="F1543" t="s">
        <v>2001</v>
      </c>
      <c r="G1543" s="72" t="s">
        <v>1934</v>
      </c>
    </row>
    <row r="1544" spans="5:7" x14ac:dyDescent="0.3">
      <c r="E1544" t="s">
        <v>1911</v>
      </c>
      <c r="F1544" t="s">
        <v>1985</v>
      </c>
      <c r="G1544" s="72" t="s">
        <v>1890</v>
      </c>
    </row>
    <row r="1545" spans="5:7" x14ac:dyDescent="0.3">
      <c r="E1545" t="s">
        <v>1911</v>
      </c>
      <c r="F1545" t="s">
        <v>1985</v>
      </c>
      <c r="G1545" s="83" t="s">
        <v>1934</v>
      </c>
    </row>
    <row r="1546" spans="5:7" x14ac:dyDescent="0.3">
      <c r="E1546" t="s">
        <v>1653</v>
      </c>
      <c r="F1546" t="s">
        <v>1653</v>
      </c>
      <c r="G1546" s="72">
        <v>26</v>
      </c>
    </row>
    <row r="1547" spans="5:7" x14ac:dyDescent="0.3">
      <c r="E1547" t="s">
        <v>1424</v>
      </c>
      <c r="F1547" t="s">
        <v>1424</v>
      </c>
      <c r="G1547" s="72">
        <v>26</v>
      </c>
    </row>
    <row r="1548" spans="5:7" x14ac:dyDescent="0.3">
      <c r="E1548" t="s">
        <v>2297</v>
      </c>
      <c r="F1548" t="s">
        <v>1718</v>
      </c>
      <c r="G1548" s="72">
        <v>26</v>
      </c>
    </row>
    <row r="1549" spans="5:7" x14ac:dyDescent="0.3">
      <c r="E1549" t="s">
        <v>1862</v>
      </c>
      <c r="F1549" t="s">
        <v>1410</v>
      </c>
      <c r="G1549" s="72">
        <v>26</v>
      </c>
    </row>
    <row r="1550" spans="5:7" x14ac:dyDescent="0.3">
      <c r="E1550" t="s">
        <v>2298</v>
      </c>
      <c r="F1550" t="s">
        <v>2298</v>
      </c>
      <c r="G1550" s="72">
        <v>26</v>
      </c>
    </row>
    <row r="1551" spans="5:7" x14ac:dyDescent="0.3">
      <c r="E1551" t="s">
        <v>1881</v>
      </c>
      <c r="F1551" t="s">
        <v>1410</v>
      </c>
      <c r="G1551" s="72">
        <v>26</v>
      </c>
    </row>
    <row r="1552" spans="5:7" x14ac:dyDescent="0.3">
      <c r="E1552" t="s">
        <v>2299</v>
      </c>
      <c r="F1552" t="s">
        <v>2298</v>
      </c>
      <c r="G1552" s="72">
        <v>26</v>
      </c>
    </row>
    <row r="1553" spans="5:7" x14ac:dyDescent="0.3">
      <c r="E1553" t="s">
        <v>1888</v>
      </c>
      <c r="F1553" t="s">
        <v>1620</v>
      </c>
      <c r="G1553" s="72">
        <v>26</v>
      </c>
    </row>
    <row r="1554" spans="5:7" x14ac:dyDescent="0.3">
      <c r="E1554" t="s">
        <v>1960</v>
      </c>
      <c r="F1554" t="s">
        <v>1556</v>
      </c>
      <c r="G1554" s="72" t="s">
        <v>2082</v>
      </c>
    </row>
    <row r="1555" spans="5:7" x14ac:dyDescent="0.3">
      <c r="E1555" t="s">
        <v>2300</v>
      </c>
      <c r="F1555" t="s">
        <v>2054</v>
      </c>
      <c r="G1555" s="72" t="s">
        <v>2082</v>
      </c>
    </row>
    <row r="1556" spans="5:7" x14ac:dyDescent="0.3">
      <c r="E1556" t="s">
        <v>2300</v>
      </c>
      <c r="F1556" t="s">
        <v>2054</v>
      </c>
      <c r="G1556" s="72" t="s">
        <v>2083</v>
      </c>
    </row>
    <row r="1557" spans="5:7" x14ac:dyDescent="0.3">
      <c r="E1557" t="s">
        <v>1937</v>
      </c>
      <c r="F1557" t="s">
        <v>2055</v>
      </c>
      <c r="G1557" s="72" t="s">
        <v>2083</v>
      </c>
    </row>
    <row r="1558" spans="5:7" x14ac:dyDescent="0.3">
      <c r="E1558" t="s">
        <v>1936</v>
      </c>
      <c r="F1558" t="s">
        <v>2070</v>
      </c>
      <c r="G1558" s="72" t="s">
        <v>2083</v>
      </c>
    </row>
    <row r="1559" spans="5:7" x14ac:dyDescent="0.3">
      <c r="E1559" t="s">
        <v>1936</v>
      </c>
      <c r="F1559" t="s">
        <v>2070</v>
      </c>
      <c r="G1559" s="72" t="s">
        <v>2082</v>
      </c>
    </row>
    <row r="1560" spans="5:7" x14ac:dyDescent="0.3">
      <c r="E1560" t="s">
        <v>1961</v>
      </c>
      <c r="F1560" t="s">
        <v>1406</v>
      </c>
      <c r="G1560" s="72" t="s">
        <v>2082</v>
      </c>
    </row>
    <row r="1561" spans="5:7" x14ac:dyDescent="0.3">
      <c r="E1561" t="s">
        <v>2066</v>
      </c>
      <c r="F1561" t="s">
        <v>2066</v>
      </c>
      <c r="G1561" s="72" t="s">
        <v>2082</v>
      </c>
    </row>
    <row r="1562" spans="5:7" x14ac:dyDescent="0.3">
      <c r="E1562" t="s">
        <v>2066</v>
      </c>
      <c r="F1562" t="s">
        <v>2066</v>
      </c>
      <c r="G1562" s="72" t="s">
        <v>2083</v>
      </c>
    </row>
    <row r="1563" spans="5:7" x14ac:dyDescent="0.3">
      <c r="E1563" t="s">
        <v>2301</v>
      </c>
      <c r="F1563" t="s">
        <v>1620</v>
      </c>
      <c r="G1563" s="72" t="s">
        <v>2083</v>
      </c>
    </row>
    <row r="1564" spans="5:7" x14ac:dyDescent="0.3">
      <c r="E1564" t="s">
        <v>2302</v>
      </c>
      <c r="F1564" t="s">
        <v>2069</v>
      </c>
      <c r="G1564" s="72" t="s">
        <v>2082</v>
      </c>
    </row>
    <row r="1565" spans="5:7" x14ac:dyDescent="0.3">
      <c r="E1565" t="s">
        <v>1956</v>
      </c>
      <c r="F1565" t="s">
        <v>2069</v>
      </c>
      <c r="G1565" s="72" t="s">
        <v>2082</v>
      </c>
    </row>
    <row r="1566" spans="5:7" x14ac:dyDescent="0.3">
      <c r="E1566" t="s">
        <v>2303</v>
      </c>
      <c r="F1566" t="s">
        <v>2069</v>
      </c>
      <c r="G1566" s="72" t="s">
        <v>2082</v>
      </c>
    </row>
    <row r="1567" spans="5:7" x14ac:dyDescent="0.3">
      <c r="E1567" t="s">
        <v>1954</v>
      </c>
      <c r="F1567" t="s">
        <v>1408</v>
      </c>
      <c r="G1567" s="72" t="s">
        <v>2082</v>
      </c>
    </row>
    <row r="1568" spans="5:7" x14ac:dyDescent="0.3">
      <c r="E1568" t="s">
        <v>2304</v>
      </c>
      <c r="F1568" t="s">
        <v>2069</v>
      </c>
      <c r="G1568" s="72" t="s">
        <v>2082</v>
      </c>
    </row>
    <row r="1569" spans="5:7" x14ac:dyDescent="0.3">
      <c r="E1569" t="s">
        <v>2305</v>
      </c>
      <c r="F1569" t="s">
        <v>2069</v>
      </c>
      <c r="G1569" s="72" t="s">
        <v>2082</v>
      </c>
    </row>
    <row r="1570" spans="5:7" x14ac:dyDescent="0.3">
      <c r="E1570" t="s">
        <v>1971</v>
      </c>
      <c r="F1570" t="s">
        <v>2069</v>
      </c>
      <c r="G1570" s="72" t="s">
        <v>2082</v>
      </c>
    </row>
    <row r="1571" spans="5:7" x14ac:dyDescent="0.3">
      <c r="E1571" t="s">
        <v>2306</v>
      </c>
      <c r="F1571" t="s">
        <v>2069</v>
      </c>
      <c r="G1571" s="72" t="s">
        <v>2082</v>
      </c>
    </row>
    <row r="1572" spans="5:7" x14ac:dyDescent="0.3">
      <c r="E1572" t="s">
        <v>2307</v>
      </c>
      <c r="F1572" t="s">
        <v>2069</v>
      </c>
      <c r="G1572" s="72" t="s">
        <v>2082</v>
      </c>
    </row>
    <row r="1573" spans="5:7" x14ac:dyDescent="0.3">
      <c r="E1573" t="s">
        <v>2308</v>
      </c>
      <c r="F1573" t="s">
        <v>2069</v>
      </c>
      <c r="G1573" s="72" t="s">
        <v>2082</v>
      </c>
    </row>
    <row r="1574" spans="5:7" x14ac:dyDescent="0.3">
      <c r="E1574" t="s">
        <v>2309</v>
      </c>
      <c r="F1574" t="s">
        <v>2069</v>
      </c>
      <c r="G1574" s="72" t="s">
        <v>2082</v>
      </c>
    </row>
    <row r="1575" spans="5:7" x14ac:dyDescent="0.3">
      <c r="E1575" t="s">
        <v>1952</v>
      </c>
      <c r="F1575" t="s">
        <v>2012</v>
      </c>
      <c r="G1575" s="72" t="s">
        <v>2082</v>
      </c>
    </row>
    <row r="1576" spans="5:7" x14ac:dyDescent="0.3">
      <c r="E1576" t="s">
        <v>2310</v>
      </c>
      <c r="F1576" t="s">
        <v>2069</v>
      </c>
      <c r="G1576" s="72" t="s">
        <v>2082</v>
      </c>
    </row>
    <row r="1577" spans="5:7" x14ac:dyDescent="0.3">
      <c r="E1577" t="s">
        <v>1953</v>
      </c>
      <c r="F1577" t="s">
        <v>2069</v>
      </c>
      <c r="G1577" s="72" t="s">
        <v>2082</v>
      </c>
    </row>
    <row r="1578" spans="5:7" x14ac:dyDescent="0.3">
      <c r="E1578" t="s">
        <v>2311</v>
      </c>
      <c r="F1578" t="s">
        <v>2069</v>
      </c>
      <c r="G1578" s="72" t="s">
        <v>2082</v>
      </c>
    </row>
    <row r="1579" spans="5:7" x14ac:dyDescent="0.3">
      <c r="E1579" t="s">
        <v>2312</v>
      </c>
      <c r="F1579" t="s">
        <v>2069</v>
      </c>
      <c r="G1579" s="72" t="s">
        <v>2082</v>
      </c>
    </row>
    <row r="1580" spans="5:7" x14ac:dyDescent="0.3">
      <c r="E1580" t="s">
        <v>2313</v>
      </c>
      <c r="F1580" t="s">
        <v>2069</v>
      </c>
      <c r="G1580" s="72" t="s">
        <v>2082</v>
      </c>
    </row>
    <row r="1581" spans="5:7" x14ac:dyDescent="0.3">
      <c r="E1581" t="s">
        <v>2314</v>
      </c>
      <c r="F1581" t="s">
        <v>2069</v>
      </c>
      <c r="G1581" s="72" t="s">
        <v>2082</v>
      </c>
    </row>
    <row r="1582" spans="5:7" x14ac:dyDescent="0.3">
      <c r="E1582" t="s">
        <v>2315</v>
      </c>
      <c r="F1582" t="s">
        <v>2069</v>
      </c>
      <c r="G1582" s="72" t="s">
        <v>2082</v>
      </c>
    </row>
    <row r="1583" spans="5:7" x14ac:dyDescent="0.3">
      <c r="E1583" t="s">
        <v>2316</v>
      </c>
      <c r="F1583" t="s">
        <v>2069</v>
      </c>
      <c r="G1583" s="72" t="s">
        <v>2082</v>
      </c>
    </row>
    <row r="1584" spans="5:7" x14ac:dyDescent="0.3">
      <c r="E1584" t="s">
        <v>1707</v>
      </c>
      <c r="F1584" t="s">
        <v>1713</v>
      </c>
      <c r="G1584" s="72">
        <v>26</v>
      </c>
    </row>
    <row r="1585" spans="5:7" x14ac:dyDescent="0.3">
      <c r="E1585" t="s">
        <v>1706</v>
      </c>
      <c r="F1585" t="s">
        <v>1713</v>
      </c>
      <c r="G1585" s="72">
        <v>26</v>
      </c>
    </row>
    <row r="1586" spans="5:7" x14ac:dyDescent="0.3">
      <c r="E1586" t="s">
        <v>1939</v>
      </c>
      <c r="F1586" t="s">
        <v>2053</v>
      </c>
      <c r="G1586" s="72" t="s">
        <v>2083</v>
      </c>
    </row>
    <row r="1587" spans="5:7" x14ac:dyDescent="0.3">
      <c r="E1587" t="s">
        <v>1915</v>
      </c>
      <c r="F1587" t="s">
        <v>1596</v>
      </c>
      <c r="G1587" s="72" t="s">
        <v>1890</v>
      </c>
    </row>
    <row r="1588" spans="5:7" x14ac:dyDescent="0.3">
      <c r="E1588" t="s">
        <v>1915</v>
      </c>
      <c r="F1588" t="s">
        <v>1596</v>
      </c>
      <c r="G1588" s="72" t="s">
        <v>1934</v>
      </c>
    </row>
    <row r="1589" spans="5:7" x14ac:dyDescent="0.3">
      <c r="E1589" t="s">
        <v>1915</v>
      </c>
      <c r="F1589" t="s">
        <v>1598</v>
      </c>
      <c r="G1589" s="72" t="s">
        <v>1933</v>
      </c>
    </row>
    <row r="1590" spans="5:7" x14ac:dyDescent="0.3">
      <c r="E1590" t="s">
        <v>1950</v>
      </c>
      <c r="F1590" t="s">
        <v>1683</v>
      </c>
      <c r="G1590" s="72" t="s">
        <v>2082</v>
      </c>
    </row>
    <row r="1591" spans="5:7" x14ac:dyDescent="0.3">
      <c r="E1591" t="s">
        <v>1946</v>
      </c>
      <c r="F1591" t="s">
        <v>1683</v>
      </c>
      <c r="G1591" s="72" t="s">
        <v>2082</v>
      </c>
    </row>
    <row r="1592" spans="5:7" x14ac:dyDescent="0.3">
      <c r="E1592" t="s">
        <v>1947</v>
      </c>
      <c r="F1592" t="s">
        <v>1683</v>
      </c>
      <c r="G1592" s="72" t="s">
        <v>2082</v>
      </c>
    </row>
    <row r="1593" spans="5:7" x14ac:dyDescent="0.3">
      <c r="E1593" t="s">
        <v>1949</v>
      </c>
      <c r="F1593" t="s">
        <v>1683</v>
      </c>
      <c r="G1593" s="72" t="s">
        <v>2082</v>
      </c>
    </row>
    <row r="1594" spans="5:7" x14ac:dyDescent="0.3">
      <c r="E1594" t="s">
        <v>1959</v>
      </c>
      <c r="F1594" t="s">
        <v>1645</v>
      </c>
      <c r="G1594" s="72" t="s">
        <v>2082</v>
      </c>
    </row>
    <row r="1595" spans="5:7" x14ac:dyDescent="0.3">
      <c r="E1595" t="s">
        <v>2317</v>
      </c>
      <c r="F1595" t="s">
        <v>1659</v>
      </c>
      <c r="G1595" s="72" t="s">
        <v>2082</v>
      </c>
    </row>
    <row r="1596" spans="5:7" x14ac:dyDescent="0.3">
      <c r="E1596" t="s">
        <v>1938</v>
      </c>
      <c r="F1596" t="s">
        <v>2318</v>
      </c>
      <c r="G1596" s="72" t="s">
        <v>2083</v>
      </c>
    </row>
    <row r="1597" spans="5:7" x14ac:dyDescent="0.3">
      <c r="E1597" t="s">
        <v>1938</v>
      </c>
      <c r="F1597" t="s">
        <v>2318</v>
      </c>
      <c r="G1597" s="72" t="s">
        <v>2082</v>
      </c>
    </row>
    <row r="1598" spans="5:7" x14ac:dyDescent="0.3">
      <c r="E1598" t="s">
        <v>1967</v>
      </c>
      <c r="F1598" t="s">
        <v>2057</v>
      </c>
      <c r="G1598" s="72" t="s">
        <v>2082</v>
      </c>
    </row>
    <row r="1599" spans="5:7" x14ac:dyDescent="0.3">
      <c r="E1599" t="s">
        <v>1888</v>
      </c>
      <c r="F1599" t="s">
        <v>1438</v>
      </c>
      <c r="G1599" s="72" t="s">
        <v>2085</v>
      </c>
    </row>
    <row r="1600" spans="5:7" x14ac:dyDescent="0.3">
      <c r="E1600" t="s">
        <v>1797</v>
      </c>
      <c r="F1600" t="s">
        <v>1438</v>
      </c>
      <c r="G1600" s="72" t="s">
        <v>2085</v>
      </c>
    </row>
    <row r="1601" spans="5:7" x14ac:dyDescent="0.3">
      <c r="E1601" t="s">
        <v>1808</v>
      </c>
      <c r="F1601" t="s">
        <v>1438</v>
      </c>
      <c r="G1601" s="72" t="s">
        <v>2085</v>
      </c>
    </row>
    <row r="1602" spans="5:7" x14ac:dyDescent="0.3">
      <c r="E1602" t="s">
        <v>1889</v>
      </c>
      <c r="F1602" t="s">
        <v>1438</v>
      </c>
      <c r="G1602" s="72" t="s">
        <v>2085</v>
      </c>
    </row>
    <row r="1603" spans="5:7" x14ac:dyDescent="0.3">
      <c r="E1603" t="s">
        <v>2319</v>
      </c>
      <c r="F1603" t="s">
        <v>1674</v>
      </c>
      <c r="G1603" s="72" t="s">
        <v>2082</v>
      </c>
    </row>
    <row r="1604" spans="5:7" x14ac:dyDescent="0.3">
      <c r="E1604" t="s">
        <v>2320</v>
      </c>
      <c r="F1604" t="s">
        <v>2057</v>
      </c>
      <c r="G1604" s="72" t="s">
        <v>2082</v>
      </c>
    </row>
    <row r="1605" spans="5:7" x14ac:dyDescent="0.3">
      <c r="E1605" t="s">
        <v>1965</v>
      </c>
      <c r="F1605" t="s">
        <v>2057</v>
      </c>
      <c r="G1605" s="72" t="s">
        <v>2082</v>
      </c>
    </row>
    <row r="1606" spans="5:7" x14ac:dyDescent="0.3">
      <c r="E1606" t="s">
        <v>2067</v>
      </c>
      <c r="F1606" t="s">
        <v>2067</v>
      </c>
      <c r="G1606" s="72" t="s">
        <v>2082</v>
      </c>
    </row>
    <row r="1607" spans="5:7" x14ac:dyDescent="0.3">
      <c r="E1607" t="s">
        <v>2067</v>
      </c>
      <c r="F1607" t="s">
        <v>2067</v>
      </c>
      <c r="G1607" s="72" t="s">
        <v>2083</v>
      </c>
    </row>
    <row r="1608" spans="5:7" x14ac:dyDescent="0.3">
      <c r="E1608" t="s">
        <v>2321</v>
      </c>
      <c r="F1608" t="s">
        <v>2068</v>
      </c>
      <c r="G1608" s="72" t="s">
        <v>2082</v>
      </c>
    </row>
    <row r="1609" spans="5:7" x14ac:dyDescent="0.3">
      <c r="E1609" t="s">
        <v>1431</v>
      </c>
      <c r="F1609" t="s">
        <v>1616</v>
      </c>
      <c r="G1609" s="72" t="s">
        <v>2085</v>
      </c>
    </row>
    <row r="1610" spans="5:7" x14ac:dyDescent="0.3">
      <c r="E1610" t="s">
        <v>1889</v>
      </c>
      <c r="F1610" t="s">
        <v>1449</v>
      </c>
      <c r="G1610" s="72" t="s">
        <v>1890</v>
      </c>
    </row>
    <row r="1611" spans="5:7" x14ac:dyDescent="0.3">
      <c r="E1611" t="s">
        <v>1889</v>
      </c>
      <c r="F1611" t="s">
        <v>1449</v>
      </c>
      <c r="G1611" s="72" t="s">
        <v>1934</v>
      </c>
    </row>
    <row r="1612" spans="5:7" x14ac:dyDescent="0.3">
      <c r="E1612" t="s">
        <v>2322</v>
      </c>
      <c r="F1612" t="s">
        <v>1620</v>
      </c>
      <c r="G1612" s="72" t="s">
        <v>2082</v>
      </c>
    </row>
    <row r="1613" spans="5:7" x14ac:dyDescent="0.3">
      <c r="E1613" t="s">
        <v>1428</v>
      </c>
      <c r="F1613" t="s">
        <v>1428</v>
      </c>
      <c r="G1613" s="72" t="s">
        <v>2085</v>
      </c>
    </row>
    <row r="1614" spans="5:7" x14ac:dyDescent="0.3">
      <c r="E1614" t="s">
        <v>1964</v>
      </c>
      <c r="F1614" t="s">
        <v>2061</v>
      </c>
      <c r="G1614" s="72" t="s">
        <v>2082</v>
      </c>
    </row>
    <row r="1615" spans="5:7" x14ac:dyDescent="0.3">
      <c r="E1615" t="s">
        <v>2323</v>
      </c>
      <c r="F1615" t="s">
        <v>2046</v>
      </c>
      <c r="G1615" s="72" t="s">
        <v>2082</v>
      </c>
    </row>
    <row r="1616" spans="5:7" x14ac:dyDescent="0.3">
      <c r="E1616" t="s">
        <v>1968</v>
      </c>
      <c r="F1616" t="s">
        <v>2051</v>
      </c>
      <c r="G1616" s="72" t="s">
        <v>2083</v>
      </c>
    </row>
    <row r="1617" spans="5:7" x14ac:dyDescent="0.3">
      <c r="E1617" t="s">
        <v>1968</v>
      </c>
      <c r="F1617" t="s">
        <v>2051</v>
      </c>
      <c r="G1617" s="72" t="s">
        <v>2082</v>
      </c>
    </row>
    <row r="1618" spans="5:7" x14ac:dyDescent="0.3">
      <c r="E1618" t="s">
        <v>1876</v>
      </c>
      <c r="F1618" t="s">
        <v>1666</v>
      </c>
      <c r="G1618" s="72">
        <v>26</v>
      </c>
    </row>
    <row r="1619" spans="5:7" x14ac:dyDescent="0.3">
      <c r="E1619" t="s">
        <v>2324</v>
      </c>
      <c r="F1619" t="s">
        <v>2067</v>
      </c>
      <c r="G1619" s="72" t="s">
        <v>2082</v>
      </c>
    </row>
    <row r="1620" spans="5:7" x14ac:dyDescent="0.3">
      <c r="E1620" t="s">
        <v>2325</v>
      </c>
      <c r="F1620" t="s">
        <v>2057</v>
      </c>
      <c r="G1620" s="72" t="s">
        <v>2082</v>
      </c>
    </row>
    <row r="1621" spans="5:7" x14ac:dyDescent="0.3">
      <c r="E1621" t="s">
        <v>1914</v>
      </c>
      <c r="F1621" t="s">
        <v>2039</v>
      </c>
      <c r="G1621" s="72" t="s">
        <v>1890</v>
      </c>
    </row>
    <row r="1622" spans="5:7" x14ac:dyDescent="0.3">
      <c r="E1622" t="s">
        <v>1914</v>
      </c>
      <c r="F1622" t="s">
        <v>2039</v>
      </c>
      <c r="G1622" s="72" t="s">
        <v>1934</v>
      </c>
    </row>
    <row r="1623" spans="5:7" x14ac:dyDescent="0.3">
      <c r="E1623" t="s">
        <v>1914</v>
      </c>
      <c r="F1623" t="s">
        <v>2040</v>
      </c>
      <c r="G1623" s="72" t="s">
        <v>1933</v>
      </c>
    </row>
    <row r="1624" spans="5:7" x14ac:dyDescent="0.3">
      <c r="E1624" t="s">
        <v>2326</v>
      </c>
      <c r="F1624" t="s">
        <v>2046</v>
      </c>
      <c r="G1624" s="72" t="s">
        <v>2082</v>
      </c>
    </row>
    <row r="1625" spans="5:7" x14ac:dyDescent="0.3">
      <c r="E1625" t="s">
        <v>2327</v>
      </c>
      <c r="F1625" t="s">
        <v>2057</v>
      </c>
      <c r="G1625" s="72" t="s">
        <v>2082</v>
      </c>
    </row>
    <row r="1626" spans="5:7" x14ac:dyDescent="0.3">
      <c r="E1626" t="s">
        <v>2328</v>
      </c>
      <c r="F1626" t="s">
        <v>1722</v>
      </c>
      <c r="G1626" s="72" t="s">
        <v>2082</v>
      </c>
    </row>
    <row r="1627" spans="5:7" x14ac:dyDescent="0.3">
      <c r="E1627" t="s">
        <v>1942</v>
      </c>
      <c r="F1627" t="s">
        <v>2051</v>
      </c>
      <c r="G1627" s="72" t="s">
        <v>2083</v>
      </c>
    </row>
    <row r="1628" spans="5:7" x14ac:dyDescent="0.3">
      <c r="E1628" t="s">
        <v>2329</v>
      </c>
      <c r="F1628" t="s">
        <v>1662</v>
      </c>
      <c r="G1628" s="72" t="s">
        <v>2082</v>
      </c>
    </row>
    <row r="1629" spans="5:7" x14ac:dyDescent="0.3">
      <c r="E1629" t="s">
        <v>2330</v>
      </c>
      <c r="F1629" t="s">
        <v>2046</v>
      </c>
      <c r="G1629" s="72" t="s">
        <v>2082</v>
      </c>
    </row>
    <row r="1630" spans="5:7" x14ac:dyDescent="0.3">
      <c r="E1630" t="s">
        <v>1942</v>
      </c>
      <c r="F1630" t="s">
        <v>2051</v>
      </c>
      <c r="G1630" s="72" t="s">
        <v>2082</v>
      </c>
    </row>
    <row r="1631" spans="5:7" x14ac:dyDescent="0.3">
      <c r="E1631" t="s">
        <v>1852</v>
      </c>
      <c r="F1631" t="s">
        <v>1430</v>
      </c>
      <c r="G1631" s="72" t="s">
        <v>2085</v>
      </c>
    </row>
    <row r="1632" spans="5:7" x14ac:dyDescent="0.3">
      <c r="E1632" t="s">
        <v>2017</v>
      </c>
      <c r="F1632" t="s">
        <v>1432</v>
      </c>
      <c r="G1632" s="72" t="s">
        <v>2085</v>
      </c>
    </row>
    <row r="1633" spans="5:7" x14ac:dyDescent="0.3">
      <c r="E1633" t="s">
        <v>1742</v>
      </c>
      <c r="F1633" t="s">
        <v>1742</v>
      </c>
      <c r="G1633" s="72" t="s">
        <v>2085</v>
      </c>
    </row>
    <row r="1634" spans="5:7" x14ac:dyDescent="0.3">
      <c r="E1634" t="s">
        <v>1769</v>
      </c>
      <c r="F1634" t="s">
        <v>1769</v>
      </c>
      <c r="G1634" s="72" t="s">
        <v>2085</v>
      </c>
    </row>
    <row r="1635" spans="5:7" x14ac:dyDescent="0.3">
      <c r="E1635" t="s">
        <v>1963</v>
      </c>
      <c r="F1635" t="s">
        <v>1690</v>
      </c>
      <c r="G1635" s="72" t="s">
        <v>2082</v>
      </c>
    </row>
    <row r="1636" spans="5:7" x14ac:dyDescent="0.3">
      <c r="E1636" t="s">
        <v>1603</v>
      </c>
      <c r="F1636" t="s">
        <v>1603</v>
      </c>
      <c r="G1636" s="72" t="s">
        <v>2085</v>
      </c>
    </row>
    <row r="1637" spans="5:7" x14ac:dyDescent="0.3">
      <c r="E1637" t="s">
        <v>1770</v>
      </c>
      <c r="F1637" t="s">
        <v>1770</v>
      </c>
      <c r="G1637" s="72" t="s">
        <v>2085</v>
      </c>
    </row>
    <row r="1638" spans="5:7" x14ac:dyDescent="0.3">
      <c r="E1638" t="s">
        <v>1817</v>
      </c>
      <c r="F1638" s="79" t="s">
        <v>2034</v>
      </c>
      <c r="G1638" s="72" t="s">
        <v>2131</v>
      </c>
    </row>
    <row r="1639" spans="5:7" x14ac:dyDescent="0.3">
      <c r="E1639" t="s">
        <v>2331</v>
      </c>
      <c r="F1639" s="79" t="s">
        <v>2034</v>
      </c>
      <c r="G1639" s="72" t="s">
        <v>2131</v>
      </c>
    </row>
    <row r="1640" spans="5:7" x14ac:dyDescent="0.3">
      <c r="E1640" t="s">
        <v>1835</v>
      </c>
      <c r="F1640" s="79" t="s">
        <v>2034</v>
      </c>
      <c r="G1640" s="72" t="s">
        <v>2131</v>
      </c>
    </row>
    <row r="1641" spans="5:7" x14ac:dyDescent="0.3">
      <c r="E1641" t="s">
        <v>2331</v>
      </c>
      <c r="F1641" s="79" t="s">
        <v>2027</v>
      </c>
      <c r="G1641" s="72" t="s">
        <v>1934</v>
      </c>
    </row>
    <row r="1642" spans="5:7" x14ac:dyDescent="0.3">
      <c r="E1642" t="s">
        <v>1835</v>
      </c>
      <c r="F1642" s="79" t="s">
        <v>2027</v>
      </c>
      <c r="G1642" s="72" t="s">
        <v>1934</v>
      </c>
    </row>
    <row r="1643" spans="5:7" x14ac:dyDescent="0.3">
      <c r="E1643" t="s">
        <v>2332</v>
      </c>
      <c r="F1643" s="79" t="s">
        <v>2027</v>
      </c>
      <c r="G1643" s="72" t="s">
        <v>1934</v>
      </c>
    </row>
    <row r="1644" spans="5:7" x14ac:dyDescent="0.3">
      <c r="E1644" t="s">
        <v>1912</v>
      </c>
      <c r="F1644" s="79" t="s">
        <v>2027</v>
      </c>
      <c r="G1644" s="72" t="s">
        <v>1934</v>
      </c>
    </row>
    <row r="1645" spans="5:7" x14ac:dyDescent="0.3">
      <c r="E1645" t="s">
        <v>2331</v>
      </c>
      <c r="F1645" s="79" t="s">
        <v>2027</v>
      </c>
      <c r="G1645" s="72" t="s">
        <v>1890</v>
      </c>
    </row>
    <row r="1646" spans="5:7" x14ac:dyDescent="0.3">
      <c r="E1646" t="s">
        <v>1835</v>
      </c>
      <c r="F1646" s="79" t="s">
        <v>2027</v>
      </c>
      <c r="G1646" s="72" t="s">
        <v>1890</v>
      </c>
    </row>
    <row r="1647" spans="5:7" x14ac:dyDescent="0.3">
      <c r="E1647" t="s">
        <v>2332</v>
      </c>
      <c r="F1647" s="79" t="s">
        <v>2027</v>
      </c>
      <c r="G1647" s="72" t="s">
        <v>1890</v>
      </c>
    </row>
    <row r="1648" spans="5:7" x14ac:dyDescent="0.3">
      <c r="E1648" t="s">
        <v>1912</v>
      </c>
      <c r="F1648" s="79" t="s">
        <v>2027</v>
      </c>
      <c r="G1648" s="72" t="s">
        <v>1890</v>
      </c>
    </row>
    <row r="1649" spans="5:7" x14ac:dyDescent="0.3">
      <c r="E1649" t="s">
        <v>2333</v>
      </c>
      <c r="F1649" s="79" t="s">
        <v>1771</v>
      </c>
      <c r="G1649" s="72" t="s">
        <v>2131</v>
      </c>
    </row>
    <row r="1650" spans="5:7" x14ac:dyDescent="0.3">
      <c r="E1650" t="s">
        <v>2334</v>
      </c>
      <c r="F1650" s="79" t="s">
        <v>1771</v>
      </c>
      <c r="G1650" s="72" t="s">
        <v>2131</v>
      </c>
    </row>
    <row r="1651" spans="5:7" x14ac:dyDescent="0.3">
      <c r="E1651" t="s">
        <v>2335</v>
      </c>
      <c r="F1651" s="79" t="s">
        <v>1752</v>
      </c>
      <c r="G1651" s="72" t="s">
        <v>1890</v>
      </c>
    </row>
    <row r="1652" spans="5:7" x14ac:dyDescent="0.3">
      <c r="E1652" t="s">
        <v>2336</v>
      </c>
      <c r="F1652" s="79" t="s">
        <v>1752</v>
      </c>
      <c r="G1652" s="72" t="s">
        <v>1890</v>
      </c>
    </row>
    <row r="1653" spans="5:7" x14ac:dyDescent="0.3">
      <c r="E1653" t="s">
        <v>2335</v>
      </c>
      <c r="F1653" s="79" t="s">
        <v>1752</v>
      </c>
      <c r="G1653" s="72" t="s">
        <v>1934</v>
      </c>
    </row>
    <row r="1654" spans="5:7" x14ac:dyDescent="0.3">
      <c r="E1654" t="s">
        <v>2336</v>
      </c>
      <c r="F1654" s="79" t="s">
        <v>1752</v>
      </c>
      <c r="G1654" s="72" t="s">
        <v>1934</v>
      </c>
    </row>
    <row r="1655" spans="5:7" x14ac:dyDescent="0.3">
      <c r="E1655" s="79" t="s">
        <v>2333</v>
      </c>
      <c r="F1655" s="79" t="s">
        <v>1752</v>
      </c>
      <c r="G1655" s="72" t="s">
        <v>1890</v>
      </c>
    </row>
    <row r="1656" spans="5:7" x14ac:dyDescent="0.3">
      <c r="E1656" s="79" t="s">
        <v>2334</v>
      </c>
      <c r="F1656" s="79" t="s">
        <v>1752</v>
      </c>
      <c r="G1656" s="72" t="s">
        <v>1890</v>
      </c>
    </row>
    <row r="1657" spans="5:7" x14ac:dyDescent="0.3">
      <c r="E1657" s="79" t="s">
        <v>2333</v>
      </c>
      <c r="F1657" s="79" t="s">
        <v>1752</v>
      </c>
      <c r="G1657" s="72" t="s">
        <v>1934</v>
      </c>
    </row>
    <row r="1658" spans="5:7" x14ac:dyDescent="0.3">
      <c r="E1658" s="79" t="s">
        <v>2334</v>
      </c>
      <c r="F1658" s="79" t="s">
        <v>1752</v>
      </c>
      <c r="G1658" s="72" t="s">
        <v>1934</v>
      </c>
    </row>
    <row r="1659" spans="5:7" x14ac:dyDescent="0.3">
      <c r="E1659" s="79" t="s">
        <v>2337</v>
      </c>
      <c r="F1659" t="s">
        <v>2022</v>
      </c>
      <c r="G1659" s="83" t="s">
        <v>2131</v>
      </c>
    </row>
    <row r="1660" spans="5:7" x14ac:dyDescent="0.3">
      <c r="E1660" s="79" t="s">
        <v>2338</v>
      </c>
      <c r="F1660" t="s">
        <v>2021</v>
      </c>
      <c r="G1660" s="83" t="s">
        <v>2131</v>
      </c>
    </row>
    <row r="1661" spans="5:7" x14ac:dyDescent="0.3">
      <c r="E1661" s="79" t="s">
        <v>1818</v>
      </c>
      <c r="F1661" t="s">
        <v>2020</v>
      </c>
      <c r="G1661" s="83" t="s">
        <v>2131</v>
      </c>
    </row>
    <row r="1662" spans="5:7" x14ac:dyDescent="0.3">
      <c r="E1662" s="79" t="s">
        <v>2339</v>
      </c>
      <c r="F1662" t="s">
        <v>1981</v>
      </c>
      <c r="G1662" s="83" t="s">
        <v>1890</v>
      </c>
    </row>
    <row r="1663" spans="5:7" x14ac:dyDescent="0.3">
      <c r="E1663" s="79" t="s">
        <v>2339</v>
      </c>
      <c r="F1663" t="s">
        <v>1981</v>
      </c>
      <c r="G1663" s="83" t="s">
        <v>1934</v>
      </c>
    </row>
    <row r="1664" spans="5:7" x14ac:dyDescent="0.3">
      <c r="E1664" s="79" t="s">
        <v>1861</v>
      </c>
      <c r="F1664" t="s">
        <v>2318</v>
      </c>
      <c r="G1664" s="72">
        <v>26</v>
      </c>
    </row>
    <row r="1665" spans="5:7" x14ac:dyDescent="0.3">
      <c r="E1665" s="79" t="s">
        <v>1861</v>
      </c>
      <c r="F1665" t="s">
        <v>2318</v>
      </c>
      <c r="G1665" s="72" t="s">
        <v>2082</v>
      </c>
    </row>
    <row r="1666" spans="5:7" x14ac:dyDescent="0.3">
      <c r="E1666" s="79" t="s">
        <v>1861</v>
      </c>
      <c r="F1666" t="s">
        <v>2318</v>
      </c>
      <c r="G1666" s="72" t="s">
        <v>2083</v>
      </c>
    </row>
    <row r="1667" spans="5:7" x14ac:dyDescent="0.3">
      <c r="E1667" t="s">
        <v>2340</v>
      </c>
      <c r="F1667" s="79" t="s">
        <v>2027</v>
      </c>
      <c r="G1667" s="72" t="s">
        <v>1890</v>
      </c>
    </row>
    <row r="1668" spans="5:7" x14ac:dyDescent="0.3">
      <c r="E1668" t="s">
        <v>2340</v>
      </c>
      <c r="F1668" s="79" t="s">
        <v>2027</v>
      </c>
      <c r="G1668" s="72" t="s">
        <v>1934</v>
      </c>
    </row>
    <row r="1669" spans="5:7" x14ac:dyDescent="0.3">
      <c r="E1669" t="s">
        <v>1866</v>
      </c>
      <c r="F1669" t="s">
        <v>2060</v>
      </c>
      <c r="G1669" s="72">
        <v>26</v>
      </c>
    </row>
    <row r="1670" spans="5:7" x14ac:dyDescent="0.3">
      <c r="E1670" t="s">
        <v>2341</v>
      </c>
      <c r="F1670" t="s">
        <v>1681</v>
      </c>
      <c r="G1670" s="72">
        <v>26</v>
      </c>
    </row>
    <row r="1671" spans="5:7" x14ac:dyDescent="0.3">
      <c r="E1671" t="s">
        <v>2342</v>
      </c>
      <c r="F1671" t="s">
        <v>2060</v>
      </c>
      <c r="G1671" s="72">
        <v>26</v>
      </c>
    </row>
    <row r="1672" spans="5:7" x14ac:dyDescent="0.3">
      <c r="E1672" t="s">
        <v>1867</v>
      </c>
      <c r="F1672" t="s">
        <v>1681</v>
      </c>
      <c r="G1672" s="72">
        <v>26</v>
      </c>
    </row>
    <row r="1673" spans="5:7" x14ac:dyDescent="0.3">
      <c r="E1673" t="s">
        <v>2343</v>
      </c>
      <c r="F1673" t="s">
        <v>2060</v>
      </c>
      <c r="G1673" s="72">
        <v>26</v>
      </c>
    </row>
    <row r="1674" spans="5:7" x14ac:dyDescent="0.3">
      <c r="E1674" t="s">
        <v>1868</v>
      </c>
      <c r="F1674" t="s">
        <v>1681</v>
      </c>
      <c r="G1674" s="72">
        <v>26</v>
      </c>
    </row>
    <row r="1675" spans="5:7" x14ac:dyDescent="0.3">
      <c r="E1675" t="s">
        <v>2344</v>
      </c>
      <c r="F1675" t="s">
        <v>2060</v>
      </c>
      <c r="G1675" s="72">
        <v>26</v>
      </c>
    </row>
    <row r="1676" spans="5:7" x14ac:dyDescent="0.3">
      <c r="E1676" t="s">
        <v>2345</v>
      </c>
      <c r="F1676" t="s">
        <v>1681</v>
      </c>
      <c r="G1676" s="72">
        <v>26</v>
      </c>
    </row>
    <row r="1677" spans="5:7" x14ac:dyDescent="0.3">
      <c r="E1677" t="s">
        <v>2346</v>
      </c>
      <c r="F1677" t="s">
        <v>1391</v>
      </c>
      <c r="G1677" s="72" t="s">
        <v>2083</v>
      </c>
    </row>
    <row r="1678" spans="5:7" x14ac:dyDescent="0.3">
      <c r="E1678" t="s">
        <v>2347</v>
      </c>
      <c r="F1678" t="s">
        <v>1414</v>
      </c>
      <c r="G1678" s="72" t="s">
        <v>2082</v>
      </c>
    </row>
    <row r="1679" spans="5:7" x14ac:dyDescent="0.3">
      <c r="E1679" t="s">
        <v>2348</v>
      </c>
      <c r="F1679" s="79" t="s">
        <v>2034</v>
      </c>
      <c r="G1679" s="72" t="s">
        <v>2131</v>
      </c>
    </row>
    <row r="1680" spans="5:7" x14ac:dyDescent="0.3">
      <c r="E1680" t="s">
        <v>2349</v>
      </c>
      <c r="F1680" s="79" t="s">
        <v>2034</v>
      </c>
      <c r="G1680" s="72" t="s">
        <v>2131</v>
      </c>
    </row>
    <row r="1681" spans="5:7" x14ac:dyDescent="0.3">
      <c r="E1681" t="s">
        <v>2348</v>
      </c>
      <c r="F1681" s="79" t="s">
        <v>2027</v>
      </c>
      <c r="G1681" s="72" t="s">
        <v>1890</v>
      </c>
    </row>
    <row r="1682" spans="5:7" x14ac:dyDescent="0.3">
      <c r="E1682" t="s">
        <v>2349</v>
      </c>
      <c r="F1682" s="79" t="s">
        <v>2027</v>
      </c>
      <c r="G1682" s="72" t="s">
        <v>1890</v>
      </c>
    </row>
    <row r="1683" spans="5:7" x14ac:dyDescent="0.3">
      <c r="E1683" t="s">
        <v>2349</v>
      </c>
      <c r="F1683" s="79" t="s">
        <v>2027</v>
      </c>
      <c r="G1683" s="72" t="s">
        <v>1934</v>
      </c>
    </row>
    <row r="1684" spans="5:7" x14ac:dyDescent="0.3">
      <c r="E1684" t="s">
        <v>2348</v>
      </c>
      <c r="F1684" s="79" t="s">
        <v>2027</v>
      </c>
      <c r="G1684" s="72" t="s">
        <v>1934</v>
      </c>
    </row>
    <row r="1685" spans="5:7" x14ac:dyDescent="0.3">
      <c r="E1685" t="s">
        <v>1765</v>
      </c>
      <c r="F1685" t="s">
        <v>1765</v>
      </c>
      <c r="G1685" s="72" t="s">
        <v>2085</v>
      </c>
    </row>
    <row r="1686" spans="5:7" x14ac:dyDescent="0.3">
      <c r="E1686" t="s">
        <v>1442</v>
      </c>
      <c r="F1686" t="str">
        <f>Mapp[[#This Row],[Report]]</f>
        <v>Penalty for violation of the contract (OL)</v>
      </c>
      <c r="G1686" s="72" t="s">
        <v>2083</v>
      </c>
    </row>
    <row r="1687" spans="5:7" x14ac:dyDescent="0.3">
      <c r="E1687" t="s">
        <v>1731</v>
      </c>
      <c r="F1687" t="str">
        <f>Mapp[[#This Row],[Report]]</f>
        <v>Penalty for violation of the contract (FM)</v>
      </c>
      <c r="G1687" s="72" t="s">
        <v>2083</v>
      </c>
    </row>
    <row r="1688" spans="5:7" x14ac:dyDescent="0.3">
      <c r="E1688" t="s">
        <v>1644</v>
      </c>
      <c r="F1688" t="str">
        <f>Mapp[[#This Row],[Report]]</f>
        <v>Penalty for violation of the contract (FL)</v>
      </c>
      <c r="G1688" s="72" t="s">
        <v>2083</v>
      </c>
    </row>
    <row r="1689" spans="5:7" x14ac:dyDescent="0.3">
      <c r="E1689" t="s">
        <v>1442</v>
      </c>
      <c r="F1689" t="str">
        <f>Mapp[[#This Row],[Report]]</f>
        <v>Penalty for violation of the contract (OL)</v>
      </c>
      <c r="G1689" s="72" t="s">
        <v>2082</v>
      </c>
    </row>
    <row r="1690" spans="5:7" x14ac:dyDescent="0.3">
      <c r="E1690" t="s">
        <v>2058</v>
      </c>
      <c r="F1690" t="s">
        <v>2058</v>
      </c>
      <c r="G1690" s="72">
        <v>26</v>
      </c>
    </row>
    <row r="1691" spans="5:7" x14ac:dyDescent="0.3">
      <c r="E1691" t="s">
        <v>1651</v>
      </c>
      <c r="F1691" t="s">
        <v>1651</v>
      </c>
      <c r="G1691" s="72" t="s">
        <v>2130</v>
      </c>
    </row>
    <row r="1692" spans="5:7" x14ac:dyDescent="0.3">
      <c r="E1692" t="s">
        <v>2350</v>
      </c>
      <c r="F1692" t="s">
        <v>2069</v>
      </c>
      <c r="G1692" s="72" t="s">
        <v>2082</v>
      </c>
    </row>
    <row r="1693" spans="5:7" x14ac:dyDescent="0.3">
      <c r="E1693" t="s">
        <v>2351</v>
      </c>
      <c r="F1693" t="s">
        <v>2057</v>
      </c>
      <c r="G1693" s="72" t="s">
        <v>2082</v>
      </c>
    </row>
    <row r="1694" spans="5:7" x14ac:dyDescent="0.3">
      <c r="E1694" t="s">
        <v>2352</v>
      </c>
      <c r="F1694" s="79" t="s">
        <v>2027</v>
      </c>
      <c r="G1694" s="72" t="s">
        <v>2131</v>
      </c>
    </row>
    <row r="1695" spans="5:7" x14ac:dyDescent="0.3">
      <c r="E1695" t="s">
        <v>2353</v>
      </c>
      <c r="F1695" s="79" t="s">
        <v>2027</v>
      </c>
      <c r="G1695" s="72" t="s">
        <v>2085</v>
      </c>
    </row>
    <row r="1696" spans="5:7" x14ac:dyDescent="0.3">
      <c r="E1696" t="s">
        <v>2354</v>
      </c>
      <c r="F1696" s="79" t="s">
        <v>2027</v>
      </c>
      <c r="G1696" s="72" t="s">
        <v>2085</v>
      </c>
    </row>
    <row r="1697" spans="5:7" x14ac:dyDescent="0.3">
      <c r="E1697" t="s">
        <v>2352</v>
      </c>
      <c r="F1697" s="79" t="s">
        <v>2027</v>
      </c>
      <c r="G1697" s="72" t="s">
        <v>1890</v>
      </c>
    </row>
    <row r="1698" spans="5:7" x14ac:dyDescent="0.3">
      <c r="E1698" t="s">
        <v>2352</v>
      </c>
      <c r="F1698" s="79" t="s">
        <v>2027</v>
      </c>
      <c r="G1698" s="72" t="s">
        <v>1934</v>
      </c>
    </row>
    <row r="1699" spans="5:7" x14ac:dyDescent="0.3">
      <c r="E1699" t="s">
        <v>1947</v>
      </c>
      <c r="F1699" t="s">
        <v>1683</v>
      </c>
      <c r="G1699" s="72" t="s">
        <v>2083</v>
      </c>
    </row>
    <row r="1700" spans="5:7" x14ac:dyDescent="0.3">
      <c r="E1700" t="s">
        <v>2330</v>
      </c>
      <c r="F1700" t="s">
        <v>2046</v>
      </c>
      <c r="G1700" s="72" t="s">
        <v>2083</v>
      </c>
    </row>
    <row r="1701" spans="5:7" x14ac:dyDescent="0.3">
      <c r="E1701" t="s">
        <v>1643</v>
      </c>
      <c r="F1701" t="s">
        <v>1643</v>
      </c>
      <c r="G1701" s="72" t="s">
        <v>1934</v>
      </c>
    </row>
    <row r="1702" spans="5:7" x14ac:dyDescent="0.3">
      <c r="E1702" t="s">
        <v>1643</v>
      </c>
      <c r="F1702" t="s">
        <v>1643</v>
      </c>
      <c r="G1702" s="72" t="s">
        <v>1890</v>
      </c>
    </row>
    <row r="1703" spans="5:7" x14ac:dyDescent="0.3">
      <c r="E1703" t="s">
        <v>1937</v>
      </c>
      <c r="F1703" t="s">
        <v>2055</v>
      </c>
      <c r="G1703" s="72" t="s">
        <v>2082</v>
      </c>
    </row>
    <row r="1704" spans="5:7" x14ac:dyDescent="0.3">
      <c r="E1704" t="s">
        <v>2355</v>
      </c>
      <c r="F1704" t="s">
        <v>1664</v>
      </c>
      <c r="G1704" s="72" t="s">
        <v>2082</v>
      </c>
    </row>
    <row r="1705" spans="5:7" x14ac:dyDescent="0.3">
      <c r="E1705" t="s">
        <v>2356</v>
      </c>
      <c r="F1705" t="s">
        <v>2006</v>
      </c>
      <c r="G1705" s="72" t="s">
        <v>2131</v>
      </c>
    </row>
    <row r="1706" spans="5:7" x14ac:dyDescent="0.3">
      <c r="E1706" t="s">
        <v>2356</v>
      </c>
      <c r="F1706" t="s">
        <v>1990</v>
      </c>
      <c r="G1706" s="72" t="s">
        <v>1890</v>
      </c>
    </row>
    <row r="1707" spans="5:7" x14ac:dyDescent="0.3">
      <c r="E1707" t="s">
        <v>2356</v>
      </c>
      <c r="F1707" t="s">
        <v>1990</v>
      </c>
      <c r="G1707" s="72" t="s">
        <v>1934</v>
      </c>
    </row>
    <row r="1708" spans="5:7" x14ac:dyDescent="0.3">
      <c r="E1708" t="s">
        <v>2357</v>
      </c>
      <c r="F1708" t="s">
        <v>1995</v>
      </c>
      <c r="G1708" s="72" t="s">
        <v>1890</v>
      </c>
    </row>
    <row r="1709" spans="5:7" x14ac:dyDescent="0.3">
      <c r="E1709" t="s">
        <v>2357</v>
      </c>
      <c r="F1709" t="s">
        <v>1995</v>
      </c>
      <c r="G1709" s="72" t="s">
        <v>1934</v>
      </c>
    </row>
    <row r="1710" spans="5:7" x14ac:dyDescent="0.3">
      <c r="E1710" t="s">
        <v>2358</v>
      </c>
      <c r="F1710" t="s">
        <v>1771</v>
      </c>
      <c r="G1710" s="72" t="s">
        <v>2131</v>
      </c>
    </row>
    <row r="1711" spans="5:7" x14ac:dyDescent="0.3">
      <c r="E1711" t="s">
        <v>2359</v>
      </c>
      <c r="F1711" t="s">
        <v>1658</v>
      </c>
      <c r="G1711" s="72" t="s">
        <v>2083</v>
      </c>
    </row>
    <row r="1712" spans="5:7" x14ac:dyDescent="0.3">
      <c r="E1712" t="s">
        <v>1648</v>
      </c>
      <c r="F1712" t="s">
        <v>1648</v>
      </c>
      <c r="G1712" s="72" t="s">
        <v>2130</v>
      </c>
    </row>
    <row r="1713" spans="5:7" x14ac:dyDescent="0.3">
      <c r="E1713" t="s">
        <v>2360</v>
      </c>
      <c r="F1713" s="79" t="s">
        <v>2015</v>
      </c>
      <c r="G1713" s="72" t="s">
        <v>2131</v>
      </c>
    </row>
    <row r="1714" spans="5:7" x14ac:dyDescent="0.3">
      <c r="E1714" t="s">
        <v>2360</v>
      </c>
      <c r="F1714" t="s">
        <v>1978</v>
      </c>
      <c r="G1714" s="72" t="s">
        <v>1890</v>
      </c>
    </row>
    <row r="1715" spans="5:7" x14ac:dyDescent="0.3">
      <c r="E1715" t="s">
        <v>2360</v>
      </c>
      <c r="F1715" t="s">
        <v>1978</v>
      </c>
      <c r="G1715" s="72" t="s">
        <v>1934</v>
      </c>
    </row>
    <row r="1716" spans="5:7" x14ac:dyDescent="0.3">
      <c r="E1716" t="s">
        <v>2361</v>
      </c>
      <c r="F1716" t="s">
        <v>1725</v>
      </c>
      <c r="G1716" s="72">
        <v>26</v>
      </c>
    </row>
    <row r="1717" spans="5:7" x14ac:dyDescent="0.3">
      <c r="E1717" t="s">
        <v>2362</v>
      </c>
      <c r="F1717" t="s">
        <v>1724</v>
      </c>
      <c r="G1717" s="72">
        <v>26</v>
      </c>
    </row>
    <row r="1718" spans="5:7" x14ac:dyDescent="0.3">
      <c r="E1718" t="s">
        <v>2363</v>
      </c>
      <c r="F1718" t="s">
        <v>1774</v>
      </c>
      <c r="G1718" s="72" t="s">
        <v>2130</v>
      </c>
    </row>
    <row r="1719" spans="5:7" x14ac:dyDescent="0.3">
      <c r="E1719" t="s">
        <v>2364</v>
      </c>
      <c r="F1719" t="s">
        <v>1600</v>
      </c>
      <c r="G1719" s="72" t="s">
        <v>2130</v>
      </c>
    </row>
    <row r="1720" spans="5:7" x14ac:dyDescent="0.3">
      <c r="E1720" t="s">
        <v>1413</v>
      </c>
      <c r="F1720" t="s">
        <v>1413</v>
      </c>
      <c r="G1720" s="72" t="s">
        <v>2130</v>
      </c>
    </row>
    <row r="1721" spans="5:7" x14ac:dyDescent="0.3">
      <c r="E1721" t="s">
        <v>1412</v>
      </c>
      <c r="F1721" t="s">
        <v>1412</v>
      </c>
      <c r="G1721" s="72" t="s">
        <v>2130</v>
      </c>
    </row>
    <row r="1722" spans="5:7" x14ac:dyDescent="0.3">
      <c r="E1722" t="s">
        <v>1601</v>
      </c>
      <c r="F1722" t="s">
        <v>1601</v>
      </c>
      <c r="G1722" s="72" t="s">
        <v>2130</v>
      </c>
    </row>
    <row r="1723" spans="5:7" x14ac:dyDescent="0.3">
      <c r="E1723" s="79" t="s">
        <v>2365</v>
      </c>
      <c r="F1723" s="79" t="s">
        <v>2365</v>
      </c>
      <c r="G1723" s="79" t="s">
        <v>1890</v>
      </c>
    </row>
    <row r="1724" spans="5:7" x14ac:dyDescent="0.3">
      <c r="E1724" s="79" t="s">
        <v>2365</v>
      </c>
      <c r="F1724" s="79" t="s">
        <v>2365</v>
      </c>
      <c r="G1724" s="79" t="s">
        <v>1934</v>
      </c>
    </row>
    <row r="1725" spans="5:7" x14ac:dyDescent="0.3">
      <c r="E1725" s="79" t="s">
        <v>1452</v>
      </c>
      <c r="F1725" t="s">
        <v>1452</v>
      </c>
      <c r="G1725" s="72" t="s">
        <v>2083</v>
      </c>
    </row>
    <row r="1726" spans="5:7" x14ac:dyDescent="0.3">
      <c r="E1726" t="s">
        <v>2366</v>
      </c>
      <c r="F1726" t="s">
        <v>2051</v>
      </c>
      <c r="G1726" s="72" t="s">
        <v>2083</v>
      </c>
    </row>
    <row r="1727" spans="5:7" x14ac:dyDescent="0.3">
      <c r="E1727" t="s">
        <v>2366</v>
      </c>
      <c r="F1727" t="s">
        <v>2051</v>
      </c>
      <c r="G1727" s="72" t="s">
        <v>2082</v>
      </c>
    </row>
    <row r="1728" spans="5:7" x14ac:dyDescent="0.3">
      <c r="E1728" t="s">
        <v>1857</v>
      </c>
      <c r="F1728" t="s">
        <v>2019</v>
      </c>
      <c r="G1728" s="72" t="s">
        <v>2083</v>
      </c>
    </row>
    <row r="1729" spans="5:7" x14ac:dyDescent="0.3">
      <c r="E1729" t="s">
        <v>2304</v>
      </c>
      <c r="F1729" t="s">
        <v>2069</v>
      </c>
      <c r="G1729" t="s">
        <v>2083</v>
      </c>
    </row>
    <row r="1730" spans="5:7" x14ac:dyDescent="0.3">
      <c r="E1730" t="s">
        <v>1972</v>
      </c>
      <c r="F1730" t="s">
        <v>2069</v>
      </c>
      <c r="G1730" s="72" t="s">
        <v>2082</v>
      </c>
    </row>
    <row r="1731" spans="5:7" x14ac:dyDescent="0.3">
      <c r="E1731" t="s">
        <v>1966</v>
      </c>
      <c r="F1731" t="s">
        <v>1664</v>
      </c>
      <c r="G1731" s="72" t="s">
        <v>2082</v>
      </c>
    </row>
    <row r="1732" spans="5:7" x14ac:dyDescent="0.3">
      <c r="E1732" t="s">
        <v>1969</v>
      </c>
      <c r="F1732" t="s">
        <v>2012</v>
      </c>
      <c r="G1732" s="72" t="s">
        <v>2082</v>
      </c>
    </row>
    <row r="1733" spans="5:7" x14ac:dyDescent="0.3">
      <c r="E1733" t="s">
        <v>2367</v>
      </c>
      <c r="F1733" t="s">
        <v>2035</v>
      </c>
      <c r="G1733" s="72" t="s">
        <v>2082</v>
      </c>
    </row>
    <row r="1734" spans="5:7" x14ac:dyDescent="0.3">
      <c r="E1734" t="s">
        <v>2368</v>
      </c>
      <c r="F1734" t="s">
        <v>1678</v>
      </c>
      <c r="G1734" s="72" t="s">
        <v>2082</v>
      </c>
    </row>
    <row r="1735" spans="5:7" x14ac:dyDescent="0.3">
      <c r="E1735" t="s">
        <v>2369</v>
      </c>
      <c r="F1735" t="s">
        <v>2041</v>
      </c>
      <c r="G1735" s="72" t="s">
        <v>2082</v>
      </c>
    </row>
    <row r="1736" spans="5:7" x14ac:dyDescent="0.3">
      <c r="E1736" t="s">
        <v>2370</v>
      </c>
      <c r="F1736" t="s">
        <v>1713</v>
      </c>
      <c r="G1736" s="72" t="s">
        <v>2082</v>
      </c>
    </row>
    <row r="1737" spans="5:7" x14ac:dyDescent="0.3">
      <c r="E1737" t="s">
        <v>2371</v>
      </c>
      <c r="F1737" t="s">
        <v>2061</v>
      </c>
      <c r="G1737" s="72" t="s">
        <v>2082</v>
      </c>
    </row>
    <row r="1738" spans="5:7" x14ac:dyDescent="0.3">
      <c r="E1738" t="s">
        <v>2372</v>
      </c>
      <c r="F1738" t="s">
        <v>1681</v>
      </c>
      <c r="G1738" s="72" t="s">
        <v>2082</v>
      </c>
    </row>
    <row r="1739" spans="5:7" x14ac:dyDescent="0.3">
      <c r="E1739" t="s">
        <v>2373</v>
      </c>
      <c r="F1739" t="s">
        <v>1673</v>
      </c>
      <c r="G1739" s="72" t="s">
        <v>2082</v>
      </c>
    </row>
    <row r="1740" spans="5:7" x14ac:dyDescent="0.3">
      <c r="E1740" t="s">
        <v>2374</v>
      </c>
      <c r="F1740" t="s">
        <v>1647</v>
      </c>
      <c r="G1740" s="72" t="s">
        <v>2082</v>
      </c>
    </row>
    <row r="1741" spans="5:7" x14ac:dyDescent="0.3">
      <c r="E1741" t="s">
        <v>2375</v>
      </c>
      <c r="F1741" t="s">
        <v>2042</v>
      </c>
      <c r="G1741" s="72" t="s">
        <v>2082</v>
      </c>
    </row>
    <row r="1742" spans="5:7" x14ac:dyDescent="0.3">
      <c r="E1742" t="s">
        <v>2376</v>
      </c>
      <c r="F1742" s="79" t="s">
        <v>1700</v>
      </c>
      <c r="G1742" s="72" t="s">
        <v>2082</v>
      </c>
    </row>
    <row r="1743" spans="5:7" x14ac:dyDescent="0.3">
      <c r="E1743" t="s">
        <v>2377</v>
      </c>
      <c r="F1743" t="s">
        <v>1436</v>
      </c>
      <c r="G1743" s="72" t="s">
        <v>2082</v>
      </c>
    </row>
    <row r="1744" spans="5:7" x14ac:dyDescent="0.3">
      <c r="E1744" t="s">
        <v>2378</v>
      </c>
      <c r="F1744" t="s">
        <v>1409</v>
      </c>
      <c r="G1744" s="72" t="s">
        <v>2082</v>
      </c>
    </row>
    <row r="1745" spans="5:7" x14ac:dyDescent="0.3">
      <c r="E1745" t="s">
        <v>2379</v>
      </c>
      <c r="F1745" t="s">
        <v>1404</v>
      </c>
      <c r="G1745" s="72" t="s">
        <v>2082</v>
      </c>
    </row>
    <row r="1746" spans="5:7" x14ac:dyDescent="0.3">
      <c r="E1746" t="s">
        <v>2380</v>
      </c>
      <c r="F1746" t="s">
        <v>2011</v>
      </c>
      <c r="G1746" s="72" t="s">
        <v>2082</v>
      </c>
    </row>
    <row r="1747" spans="5:7" x14ac:dyDescent="0.3">
      <c r="E1747" t="s">
        <v>2381</v>
      </c>
      <c r="F1747" t="s">
        <v>2018</v>
      </c>
      <c r="G1747" s="72" t="s">
        <v>2082</v>
      </c>
    </row>
    <row r="1748" spans="5:7" x14ac:dyDescent="0.3">
      <c r="E1748" t="s">
        <v>2382</v>
      </c>
      <c r="F1748" t="s">
        <v>2008</v>
      </c>
      <c r="G1748" s="72" t="s">
        <v>2082</v>
      </c>
    </row>
    <row r="1749" spans="5:7" x14ac:dyDescent="0.3">
      <c r="E1749" t="s">
        <v>2383</v>
      </c>
      <c r="F1749" t="s">
        <v>1618</v>
      </c>
      <c r="G1749" s="72" t="s">
        <v>2082</v>
      </c>
    </row>
    <row r="1750" spans="5:7" x14ac:dyDescent="0.3">
      <c r="E1750" t="s">
        <v>2384</v>
      </c>
      <c r="F1750" t="s">
        <v>1713</v>
      </c>
      <c r="G1750" s="72" t="s">
        <v>2082</v>
      </c>
    </row>
    <row r="1751" spans="5:7" x14ac:dyDescent="0.3">
      <c r="E1751" t="s">
        <v>2385</v>
      </c>
      <c r="F1751" t="s">
        <v>1408</v>
      </c>
      <c r="G1751" s="72" t="s">
        <v>2082</v>
      </c>
    </row>
    <row r="1752" spans="5:7" x14ac:dyDescent="0.3">
      <c r="E1752" t="s">
        <v>2386</v>
      </c>
      <c r="F1752" t="s">
        <v>1779</v>
      </c>
      <c r="G1752" s="72" t="s">
        <v>2082</v>
      </c>
    </row>
    <row r="1753" spans="5:7" x14ac:dyDescent="0.3">
      <c r="E1753" t="s">
        <v>2387</v>
      </c>
      <c r="F1753" t="s">
        <v>1687</v>
      </c>
      <c r="G1753" s="72" t="s">
        <v>2082</v>
      </c>
    </row>
    <row r="1754" spans="5:7" x14ac:dyDescent="0.3">
      <c r="E1754" t="s">
        <v>1955</v>
      </c>
      <c r="F1754" t="s">
        <v>1605</v>
      </c>
      <c r="G1754" s="72" t="s">
        <v>2082</v>
      </c>
    </row>
    <row r="1755" spans="5:7" x14ac:dyDescent="0.3">
      <c r="E1755" t="s">
        <v>2388</v>
      </c>
      <c r="F1755" t="s">
        <v>1759</v>
      </c>
      <c r="G1755" s="72" t="s">
        <v>2082</v>
      </c>
    </row>
    <row r="1756" spans="5:7" x14ac:dyDescent="0.3">
      <c r="E1756" t="s">
        <v>1970</v>
      </c>
      <c r="F1756" t="s">
        <v>2273</v>
      </c>
      <c r="G1756" s="72" t="s">
        <v>2082</v>
      </c>
    </row>
    <row r="1757" spans="5:7" x14ac:dyDescent="0.3">
      <c r="E1757" t="s">
        <v>2389</v>
      </c>
      <c r="F1757" t="s">
        <v>2034</v>
      </c>
      <c r="G1757" s="72" t="s">
        <v>2082</v>
      </c>
    </row>
    <row r="1758" spans="5:7" x14ac:dyDescent="0.3">
      <c r="E1758" t="s">
        <v>2390</v>
      </c>
      <c r="F1758" s="79" t="s">
        <v>1771</v>
      </c>
      <c r="G1758" s="72" t="s">
        <v>2082</v>
      </c>
    </row>
    <row r="1759" spans="5:7" x14ac:dyDescent="0.3">
      <c r="E1759" t="s">
        <v>2391</v>
      </c>
      <c r="F1759" t="s">
        <v>2034</v>
      </c>
      <c r="G1759" s="72" t="s">
        <v>2082</v>
      </c>
    </row>
    <row r="1760" spans="5:7" x14ac:dyDescent="0.3">
      <c r="E1760" t="s">
        <v>2392</v>
      </c>
      <c r="F1760" t="s">
        <v>1615</v>
      </c>
      <c r="G1760" s="72" t="s">
        <v>2082</v>
      </c>
    </row>
    <row r="1761" spans="5:7" x14ac:dyDescent="0.3">
      <c r="E1761" t="s">
        <v>1922</v>
      </c>
      <c r="F1761" t="s">
        <v>1451</v>
      </c>
      <c r="G1761" s="72" t="s">
        <v>1890</v>
      </c>
    </row>
    <row r="1762" spans="5:7" x14ac:dyDescent="0.3">
      <c r="E1762" t="s">
        <v>1799</v>
      </c>
      <c r="F1762" t="s">
        <v>1451</v>
      </c>
      <c r="G1762" s="72" t="s">
        <v>1890</v>
      </c>
    </row>
    <row r="1763" spans="5:7" x14ac:dyDescent="0.3">
      <c r="E1763" t="s">
        <v>1921</v>
      </c>
      <c r="F1763" t="s">
        <v>1451</v>
      </c>
      <c r="G1763" s="72" t="s">
        <v>1890</v>
      </c>
    </row>
    <row r="1764" spans="5:7" x14ac:dyDescent="0.3">
      <c r="E1764" t="s">
        <v>1918</v>
      </c>
      <c r="F1764" t="s">
        <v>1451</v>
      </c>
      <c r="G1764" s="72" t="s">
        <v>1890</v>
      </c>
    </row>
    <row r="1765" spans="5:7" x14ac:dyDescent="0.3">
      <c r="E1765" t="s">
        <v>1923</v>
      </c>
      <c r="F1765" t="s">
        <v>1451</v>
      </c>
      <c r="G1765" s="72" t="s">
        <v>1890</v>
      </c>
    </row>
    <row r="1766" spans="5:7" x14ac:dyDescent="0.3">
      <c r="E1766" t="s">
        <v>1917</v>
      </c>
      <c r="F1766" t="s">
        <v>1451</v>
      </c>
      <c r="G1766" s="72" t="s">
        <v>1890</v>
      </c>
    </row>
    <row r="1767" spans="5:7" x14ac:dyDescent="0.3">
      <c r="E1767" t="s">
        <v>1791</v>
      </c>
      <c r="F1767" t="s">
        <v>1451</v>
      </c>
      <c r="G1767" s="72" t="s">
        <v>1890</v>
      </c>
    </row>
    <row r="1768" spans="5:7" x14ac:dyDescent="0.3">
      <c r="E1768" t="s">
        <v>2393</v>
      </c>
      <c r="F1768" t="s">
        <v>1451</v>
      </c>
      <c r="G1768" s="72" t="s">
        <v>1890</v>
      </c>
    </row>
    <row r="1769" spans="5:7" x14ac:dyDescent="0.3">
      <c r="E1769" t="s">
        <v>1919</v>
      </c>
      <c r="F1769" t="s">
        <v>1451</v>
      </c>
      <c r="G1769" s="72" t="s">
        <v>1890</v>
      </c>
    </row>
    <row r="1770" spans="5:7" x14ac:dyDescent="0.3">
      <c r="E1770" t="s">
        <v>1916</v>
      </c>
      <c r="F1770" t="s">
        <v>1451</v>
      </c>
      <c r="G1770" s="72" t="s">
        <v>1890</v>
      </c>
    </row>
    <row r="1771" spans="5:7" x14ac:dyDescent="0.3">
      <c r="E1771" t="s">
        <v>1412</v>
      </c>
      <c r="F1771" t="s">
        <v>1451</v>
      </c>
      <c r="G1771" s="72" t="s">
        <v>1890</v>
      </c>
    </row>
    <row r="1772" spans="5:7" x14ac:dyDescent="0.3">
      <c r="E1772" t="s">
        <v>1931</v>
      </c>
      <c r="F1772" t="s">
        <v>1451</v>
      </c>
      <c r="G1772" s="72" t="s">
        <v>1890</v>
      </c>
    </row>
    <row r="1773" spans="5:7" x14ac:dyDescent="0.3">
      <c r="E1773" t="s">
        <v>1847</v>
      </c>
      <c r="F1773" t="s">
        <v>1451</v>
      </c>
      <c r="G1773" s="72" t="s">
        <v>1890</v>
      </c>
    </row>
    <row r="1774" spans="5:7" x14ac:dyDescent="0.3">
      <c r="E1774" t="s">
        <v>1849</v>
      </c>
      <c r="F1774" t="s">
        <v>1451</v>
      </c>
      <c r="G1774" s="72" t="s">
        <v>1890</v>
      </c>
    </row>
    <row r="1775" spans="5:7" x14ac:dyDescent="0.3">
      <c r="E1775" t="s">
        <v>1929</v>
      </c>
      <c r="F1775" t="s">
        <v>1451</v>
      </c>
      <c r="G1775" s="72" t="s">
        <v>1890</v>
      </c>
    </row>
    <row r="1776" spans="5:7" x14ac:dyDescent="0.3">
      <c r="E1776" t="s">
        <v>1930</v>
      </c>
      <c r="F1776" t="s">
        <v>1451</v>
      </c>
      <c r="G1776" s="72" t="s">
        <v>1890</v>
      </c>
    </row>
    <row r="1777" spans="5:7" x14ac:dyDescent="0.3">
      <c r="E1777" t="s">
        <v>1422</v>
      </c>
      <c r="F1777" t="s">
        <v>1451</v>
      </c>
      <c r="G1777" s="72" t="s">
        <v>1890</v>
      </c>
    </row>
    <row r="1778" spans="5:7" x14ac:dyDescent="0.3">
      <c r="E1778" t="s">
        <v>1818</v>
      </c>
      <c r="F1778" t="s">
        <v>1451</v>
      </c>
      <c r="G1778" s="72" t="s">
        <v>1890</v>
      </c>
    </row>
    <row r="1779" spans="5:7" x14ac:dyDescent="0.3">
      <c r="E1779" t="s">
        <v>1924</v>
      </c>
      <c r="F1779" t="s">
        <v>1451</v>
      </c>
      <c r="G1779" s="72" t="s">
        <v>1890</v>
      </c>
    </row>
    <row r="1780" spans="5:7" x14ac:dyDescent="0.3">
      <c r="E1780" t="s">
        <v>1810</v>
      </c>
      <c r="F1780" t="s">
        <v>1451</v>
      </c>
      <c r="G1780" s="72" t="s">
        <v>1890</v>
      </c>
    </row>
    <row r="1781" spans="5:7" x14ac:dyDescent="0.3">
      <c r="E1781" t="s">
        <v>1926</v>
      </c>
      <c r="F1781" t="s">
        <v>1451</v>
      </c>
      <c r="G1781" s="72" t="s">
        <v>1890</v>
      </c>
    </row>
    <row r="1782" spans="5:7" x14ac:dyDescent="0.3">
      <c r="E1782" t="s">
        <v>1928</v>
      </c>
      <c r="F1782" t="s">
        <v>1451</v>
      </c>
      <c r="G1782" s="72" t="s">
        <v>1890</v>
      </c>
    </row>
    <row r="1783" spans="5:7" x14ac:dyDescent="0.3">
      <c r="E1783" t="s">
        <v>1927</v>
      </c>
      <c r="F1783" t="s">
        <v>1451</v>
      </c>
      <c r="G1783" s="72" t="s">
        <v>1890</v>
      </c>
    </row>
    <row r="1784" spans="5:7" x14ac:dyDescent="0.3">
      <c r="E1784" t="s">
        <v>1418</v>
      </c>
      <c r="F1784" t="s">
        <v>1451</v>
      </c>
      <c r="G1784" s="72" t="s">
        <v>1890</v>
      </c>
    </row>
    <row r="1785" spans="5:7" x14ac:dyDescent="0.3">
      <c r="E1785" s="79" t="s">
        <v>1422</v>
      </c>
      <c r="F1785" t="s">
        <v>1451</v>
      </c>
      <c r="G1785" s="72" t="s">
        <v>1934</v>
      </c>
    </row>
    <row r="1786" spans="5:7" x14ac:dyDescent="0.3">
      <c r="E1786" s="79" t="s">
        <v>1930</v>
      </c>
      <c r="F1786" t="s">
        <v>1451</v>
      </c>
      <c r="G1786" s="72" t="s">
        <v>1934</v>
      </c>
    </row>
    <row r="1787" spans="5:7" x14ac:dyDescent="0.3">
      <c r="E1787" s="79" t="s">
        <v>1931</v>
      </c>
      <c r="F1787" t="s">
        <v>1451</v>
      </c>
      <c r="G1787" s="72" t="s">
        <v>1934</v>
      </c>
    </row>
    <row r="1788" spans="5:7" x14ac:dyDescent="0.3">
      <c r="E1788" s="79" t="s">
        <v>1849</v>
      </c>
      <c r="F1788" t="s">
        <v>1451</v>
      </c>
      <c r="G1788" s="72" t="s">
        <v>1934</v>
      </c>
    </row>
    <row r="1789" spans="5:7" x14ac:dyDescent="0.3">
      <c r="E1789" s="79" t="s">
        <v>1847</v>
      </c>
      <c r="F1789" t="s">
        <v>1451</v>
      </c>
      <c r="G1789" s="72" t="s">
        <v>1934</v>
      </c>
    </row>
    <row r="1790" spans="5:7" x14ac:dyDescent="0.3">
      <c r="E1790" s="79" t="s">
        <v>1929</v>
      </c>
      <c r="F1790" t="s">
        <v>1451</v>
      </c>
      <c r="G1790" s="72" t="s">
        <v>1934</v>
      </c>
    </row>
    <row r="1791" spans="5:7" x14ac:dyDescent="0.3">
      <c r="E1791" s="79" t="s">
        <v>1921</v>
      </c>
      <c r="F1791" t="s">
        <v>1451</v>
      </c>
      <c r="G1791" s="72" t="s">
        <v>1934</v>
      </c>
    </row>
    <row r="1792" spans="5:7" x14ac:dyDescent="0.3">
      <c r="E1792" s="79" t="s">
        <v>1926</v>
      </c>
      <c r="F1792" t="s">
        <v>1451</v>
      </c>
      <c r="G1792" s="72" t="s">
        <v>1934</v>
      </c>
    </row>
    <row r="1793" spans="5:7" x14ac:dyDescent="0.3">
      <c r="E1793" s="79" t="s">
        <v>1810</v>
      </c>
      <c r="F1793" t="s">
        <v>1451</v>
      </c>
      <c r="G1793" s="72" t="s">
        <v>1934</v>
      </c>
    </row>
    <row r="1794" spans="5:7" x14ac:dyDescent="0.3">
      <c r="E1794" s="79" t="s">
        <v>1923</v>
      </c>
      <c r="F1794" t="s">
        <v>1451</v>
      </c>
      <c r="G1794" s="72" t="s">
        <v>1934</v>
      </c>
    </row>
    <row r="1795" spans="5:7" x14ac:dyDescent="0.3">
      <c r="E1795" s="79" t="s">
        <v>1418</v>
      </c>
      <c r="F1795" t="s">
        <v>1451</v>
      </c>
      <c r="G1795" s="72" t="s">
        <v>1934</v>
      </c>
    </row>
    <row r="1796" spans="5:7" x14ac:dyDescent="0.3">
      <c r="E1796" s="79" t="s">
        <v>1818</v>
      </c>
      <c r="F1796" t="s">
        <v>1451</v>
      </c>
      <c r="G1796" s="72" t="s">
        <v>1934</v>
      </c>
    </row>
    <row r="1797" spans="5:7" x14ac:dyDescent="0.3">
      <c r="E1797" s="79" t="s">
        <v>1924</v>
      </c>
      <c r="F1797" t="s">
        <v>1451</v>
      </c>
      <c r="G1797" s="72" t="s">
        <v>1934</v>
      </c>
    </row>
    <row r="1798" spans="5:7" x14ac:dyDescent="0.3">
      <c r="E1798" s="79" t="s">
        <v>1928</v>
      </c>
      <c r="F1798" t="s">
        <v>1451</v>
      </c>
      <c r="G1798" s="72" t="s">
        <v>1934</v>
      </c>
    </row>
    <row r="1799" spans="5:7" x14ac:dyDescent="0.3">
      <c r="E1799" s="79" t="s">
        <v>1927</v>
      </c>
      <c r="F1799" t="s">
        <v>1451</v>
      </c>
      <c r="G1799" s="72" t="s">
        <v>1934</v>
      </c>
    </row>
    <row r="1800" spans="5:7" x14ac:dyDescent="0.3">
      <c r="E1800" s="79" t="s">
        <v>1791</v>
      </c>
      <c r="F1800" t="s">
        <v>1451</v>
      </c>
      <c r="G1800" s="72" t="s">
        <v>1934</v>
      </c>
    </row>
    <row r="1801" spans="5:7" x14ac:dyDescent="0.3">
      <c r="E1801" s="79" t="s">
        <v>2393</v>
      </c>
      <c r="F1801" t="s">
        <v>1451</v>
      </c>
      <c r="G1801" s="72" t="s">
        <v>1934</v>
      </c>
    </row>
    <row r="1802" spans="5:7" x14ac:dyDescent="0.3">
      <c r="E1802" s="79" t="s">
        <v>1919</v>
      </c>
      <c r="F1802" t="s">
        <v>1451</v>
      </c>
      <c r="G1802" s="72" t="s">
        <v>1934</v>
      </c>
    </row>
    <row r="1803" spans="5:7" x14ac:dyDescent="0.3">
      <c r="E1803" s="79" t="s">
        <v>1918</v>
      </c>
      <c r="F1803" t="s">
        <v>1451</v>
      </c>
      <c r="G1803" s="72" t="s">
        <v>1934</v>
      </c>
    </row>
    <row r="1804" spans="5:7" x14ac:dyDescent="0.3">
      <c r="E1804" s="79" t="s">
        <v>1917</v>
      </c>
      <c r="F1804" t="s">
        <v>1451</v>
      </c>
      <c r="G1804" s="72" t="s">
        <v>1934</v>
      </c>
    </row>
    <row r="1805" spans="5:7" x14ac:dyDescent="0.3">
      <c r="E1805" s="79" t="s">
        <v>1799</v>
      </c>
      <c r="F1805" t="s">
        <v>1451</v>
      </c>
      <c r="G1805" s="72" t="s">
        <v>1934</v>
      </c>
    </row>
    <row r="1806" spans="5:7" x14ac:dyDescent="0.3">
      <c r="E1806" s="79" t="s">
        <v>1922</v>
      </c>
      <c r="F1806" t="s">
        <v>1451</v>
      </c>
      <c r="G1806" s="72" t="s">
        <v>1934</v>
      </c>
    </row>
    <row r="1807" spans="5:7" x14ac:dyDescent="0.3">
      <c r="E1807" s="79" t="s">
        <v>1412</v>
      </c>
      <c r="F1807" t="s">
        <v>1451</v>
      </c>
      <c r="G1807" s="72" t="s">
        <v>1934</v>
      </c>
    </row>
    <row r="1808" spans="5:7" x14ac:dyDescent="0.3">
      <c r="E1808" s="79" t="s">
        <v>1916</v>
      </c>
      <c r="F1808" t="s">
        <v>1451</v>
      </c>
      <c r="G1808" s="72" t="s">
        <v>1934</v>
      </c>
    </row>
    <row r="1809" spans="5:7" x14ac:dyDescent="0.3">
      <c r="E1809" t="s">
        <v>2394</v>
      </c>
      <c r="F1809" t="s">
        <v>2066</v>
      </c>
      <c r="G1809" s="72" t="s">
        <v>2082</v>
      </c>
    </row>
    <row r="1810" spans="5:7" x14ac:dyDescent="0.3">
      <c r="E1810" t="s">
        <v>1725</v>
      </c>
      <c r="F1810" t="s">
        <v>1725</v>
      </c>
      <c r="G1810" s="72">
        <v>26</v>
      </c>
    </row>
    <row r="1811" spans="5:7" x14ac:dyDescent="0.3">
      <c r="E1811" t="s">
        <v>2395</v>
      </c>
      <c r="F1811" t="s">
        <v>1619</v>
      </c>
      <c r="G1811" s="72" t="s">
        <v>2083</v>
      </c>
    </row>
    <row r="1812" spans="5:7" x14ac:dyDescent="0.3">
      <c r="E1812" t="s">
        <v>2396</v>
      </c>
      <c r="F1812" t="s">
        <v>1681</v>
      </c>
      <c r="G1812" s="72" t="s">
        <v>2082</v>
      </c>
    </row>
    <row r="1813" spans="5:7" x14ac:dyDescent="0.3">
      <c r="E1813" t="s">
        <v>2397</v>
      </c>
      <c r="F1813" t="s">
        <v>1717</v>
      </c>
      <c r="G1813" s="72" t="s">
        <v>2082</v>
      </c>
    </row>
    <row r="1814" spans="5:7" x14ac:dyDescent="0.3">
      <c r="E1814" t="s">
        <v>2398</v>
      </c>
      <c r="F1814" t="s">
        <v>1417</v>
      </c>
      <c r="G1814" s="72" t="s">
        <v>2082</v>
      </c>
    </row>
    <row r="1815" spans="5:7" x14ac:dyDescent="0.3">
      <c r="E1815" t="s">
        <v>1417</v>
      </c>
      <c r="F1815" t="s">
        <v>1417</v>
      </c>
      <c r="G1815" s="84" t="s">
        <v>1787</v>
      </c>
    </row>
    <row r="1816" spans="5:7" x14ac:dyDescent="0.3">
      <c r="E1816" s="79" t="s">
        <v>1877</v>
      </c>
      <c r="F1816" t="s">
        <v>1661</v>
      </c>
      <c r="G1816" s="72">
        <v>26</v>
      </c>
    </row>
    <row r="1817" spans="5:7" x14ac:dyDescent="0.3">
      <c r="E1817" s="79" t="s">
        <v>1724</v>
      </c>
      <c r="F1817" t="s">
        <v>1724</v>
      </c>
      <c r="G1817" s="72">
        <v>26</v>
      </c>
    </row>
    <row r="1818" spans="5:7" x14ac:dyDescent="0.3">
      <c r="E1818" s="79" t="s">
        <v>1873</v>
      </c>
      <c r="F1818" t="s">
        <v>1661</v>
      </c>
      <c r="G1818" s="72">
        <v>26</v>
      </c>
    </row>
    <row r="1819" spans="5:7" x14ac:dyDescent="0.3">
      <c r="E1819" s="79" t="s">
        <v>1804</v>
      </c>
      <c r="F1819" s="79" t="s">
        <v>1409</v>
      </c>
      <c r="G1819" s="81" t="s">
        <v>1787</v>
      </c>
    </row>
    <row r="1820" spans="5:7" x14ac:dyDescent="0.3">
      <c r="E1820" s="79" t="s">
        <v>2399</v>
      </c>
      <c r="F1820" s="79" t="s">
        <v>1618</v>
      </c>
      <c r="G1820" s="81" t="s">
        <v>1787</v>
      </c>
    </row>
    <row r="1821" spans="5:7" x14ac:dyDescent="0.3">
      <c r="E1821" s="79" t="s">
        <v>1805</v>
      </c>
      <c r="F1821" s="79" t="s">
        <v>1764</v>
      </c>
      <c r="G1821" s="81" t="s">
        <v>1787</v>
      </c>
    </row>
    <row r="1822" spans="5:7" x14ac:dyDescent="0.3">
      <c r="E1822" s="79" t="s">
        <v>1858</v>
      </c>
      <c r="F1822" s="79" t="s">
        <v>1425</v>
      </c>
      <c r="G1822" s="81" t="s">
        <v>1787</v>
      </c>
    </row>
    <row r="1823" spans="5:7" x14ac:dyDescent="0.3">
      <c r="E1823" s="79" t="s">
        <v>2400</v>
      </c>
      <c r="F1823" s="79" t="s">
        <v>1403</v>
      </c>
      <c r="G1823" s="81" t="s">
        <v>1787</v>
      </c>
    </row>
    <row r="1824" spans="5:7" x14ac:dyDescent="0.3">
      <c r="E1824" s="79" t="s">
        <v>1812</v>
      </c>
      <c r="F1824" s="79" t="s">
        <v>1404</v>
      </c>
      <c r="G1824" s="81" t="s">
        <v>1787</v>
      </c>
    </row>
    <row r="1825" spans="5:7" x14ac:dyDescent="0.3">
      <c r="E1825" s="79" t="s">
        <v>1809</v>
      </c>
      <c r="F1825" s="79" t="s">
        <v>1411</v>
      </c>
      <c r="G1825" s="81" t="s">
        <v>1787</v>
      </c>
    </row>
    <row r="1826" spans="5:7" x14ac:dyDescent="0.3">
      <c r="E1826" s="79" t="s">
        <v>1796</v>
      </c>
      <c r="F1826" s="79" t="s">
        <v>1409</v>
      </c>
      <c r="G1826" s="81" t="s">
        <v>1787</v>
      </c>
    </row>
    <row r="1827" spans="5:7" x14ac:dyDescent="0.3">
      <c r="E1827" s="79" t="s">
        <v>2401</v>
      </c>
      <c r="F1827" s="79" t="s">
        <v>1429</v>
      </c>
      <c r="G1827" s="81" t="s">
        <v>1787</v>
      </c>
    </row>
    <row r="1828" spans="5:7" x14ac:dyDescent="0.3">
      <c r="E1828" s="79" t="s">
        <v>1794</v>
      </c>
      <c r="F1828" s="79" t="s">
        <v>1409</v>
      </c>
      <c r="G1828" s="81" t="s">
        <v>1787</v>
      </c>
    </row>
    <row r="1829" spans="5:7" x14ac:dyDescent="0.3">
      <c r="E1829" s="79" t="s">
        <v>1793</v>
      </c>
      <c r="F1829" s="79" t="s">
        <v>1766</v>
      </c>
      <c r="G1829" s="81" t="s">
        <v>1787</v>
      </c>
    </row>
    <row r="1830" spans="5:7" x14ac:dyDescent="0.3">
      <c r="E1830" s="79" t="s">
        <v>2402</v>
      </c>
      <c r="F1830" s="79" t="s">
        <v>1763</v>
      </c>
      <c r="G1830" s="81" t="s">
        <v>1787</v>
      </c>
    </row>
    <row r="1831" spans="5:7" x14ac:dyDescent="0.3">
      <c r="E1831" s="79" t="s">
        <v>1839</v>
      </c>
      <c r="F1831" s="79" t="s">
        <v>1615</v>
      </c>
      <c r="G1831" s="81" t="s">
        <v>1787</v>
      </c>
    </row>
    <row r="1832" spans="5:7" x14ac:dyDescent="0.3">
      <c r="E1832" s="79" t="s">
        <v>1859</v>
      </c>
      <c r="F1832" s="79" t="s">
        <v>1777</v>
      </c>
      <c r="G1832" s="81" t="s">
        <v>1787</v>
      </c>
    </row>
    <row r="1833" spans="5:7" x14ac:dyDescent="0.3">
      <c r="E1833" s="79" t="s">
        <v>1856</v>
      </c>
      <c r="F1833" s="79" t="s">
        <v>1776</v>
      </c>
      <c r="G1833" s="81" t="s">
        <v>1787</v>
      </c>
    </row>
    <row r="1834" spans="5:7" x14ac:dyDescent="0.3">
      <c r="E1834" s="79" t="s">
        <v>1851</v>
      </c>
      <c r="F1834" s="79" t="s">
        <v>1408</v>
      </c>
      <c r="G1834" s="81" t="s">
        <v>1787</v>
      </c>
    </row>
    <row r="1835" spans="5:7" x14ac:dyDescent="0.3">
      <c r="E1835" s="79" t="s">
        <v>1855</v>
      </c>
      <c r="F1835" s="79" t="s">
        <v>1617</v>
      </c>
      <c r="G1835" s="81" t="s">
        <v>1787</v>
      </c>
    </row>
    <row r="1836" spans="5:7" x14ac:dyDescent="0.3">
      <c r="E1836" s="79" t="s">
        <v>1838</v>
      </c>
      <c r="F1836" s="79" t="s">
        <v>1401</v>
      </c>
      <c r="G1836" s="81" t="s">
        <v>1787</v>
      </c>
    </row>
    <row r="1837" spans="5:7" x14ac:dyDescent="0.3">
      <c r="E1837" s="79" t="s">
        <v>1854</v>
      </c>
      <c r="F1837" s="79" t="s">
        <v>1402</v>
      </c>
      <c r="G1837" s="81" t="s">
        <v>1787</v>
      </c>
    </row>
    <row r="1838" spans="5:7" x14ac:dyDescent="0.3">
      <c r="E1838" s="79" t="s">
        <v>1792</v>
      </c>
      <c r="F1838" s="79" t="s">
        <v>1616</v>
      </c>
      <c r="G1838" s="81" t="s">
        <v>1787</v>
      </c>
    </row>
    <row r="1839" spans="5:7" x14ac:dyDescent="0.3">
      <c r="E1839" s="79" t="s">
        <v>1813</v>
      </c>
      <c r="F1839" s="79" t="s">
        <v>1599</v>
      </c>
      <c r="G1839" s="81" t="s">
        <v>1787</v>
      </c>
    </row>
    <row r="1840" spans="5:7" x14ac:dyDescent="0.3">
      <c r="E1840" s="79" t="s">
        <v>1814</v>
      </c>
      <c r="F1840" s="79" t="s">
        <v>1779</v>
      </c>
      <c r="G1840" s="81" t="s">
        <v>1787</v>
      </c>
    </row>
    <row r="1841" spans="5:7" x14ac:dyDescent="0.3">
      <c r="E1841" s="79" t="s">
        <v>2041</v>
      </c>
      <c r="F1841" s="79" t="s">
        <v>2041</v>
      </c>
      <c r="G1841" s="81" t="s">
        <v>1787</v>
      </c>
    </row>
    <row r="1842" spans="5:7" x14ac:dyDescent="0.3">
      <c r="E1842" s="79" t="s">
        <v>1604</v>
      </c>
      <c r="F1842" s="79" t="s">
        <v>1604</v>
      </c>
      <c r="G1842" s="81" t="s">
        <v>1787</v>
      </c>
    </row>
    <row r="1843" spans="5:7" x14ac:dyDescent="0.3">
      <c r="E1843" s="79" t="s">
        <v>1807</v>
      </c>
      <c r="F1843" s="79" t="s">
        <v>1609</v>
      </c>
      <c r="G1843" s="81" t="s">
        <v>1787</v>
      </c>
    </row>
    <row r="1844" spans="5:7" x14ac:dyDescent="0.3">
      <c r="E1844" s="79" t="s">
        <v>1806</v>
      </c>
      <c r="F1844" s="79" t="s">
        <v>1436</v>
      </c>
      <c r="G1844" s="81" t="s">
        <v>1787</v>
      </c>
    </row>
    <row r="1845" spans="5:7" x14ac:dyDescent="0.3">
      <c r="E1845" s="79" t="s">
        <v>1803</v>
      </c>
      <c r="F1845" s="79" t="s">
        <v>1647</v>
      </c>
      <c r="G1845" s="81" t="s">
        <v>1787</v>
      </c>
    </row>
    <row r="1846" spans="5:7" x14ac:dyDescent="0.3">
      <c r="E1846" s="79" t="s">
        <v>2223</v>
      </c>
      <c r="F1846" s="79" t="s">
        <v>1646</v>
      </c>
      <c r="G1846" s="81" t="s">
        <v>1787</v>
      </c>
    </row>
    <row r="1847" spans="5:7" x14ac:dyDescent="0.3">
      <c r="E1847" s="79" t="s">
        <v>1642</v>
      </c>
      <c r="F1847" s="79" t="s">
        <v>2042</v>
      </c>
      <c r="G1847" s="81" t="s">
        <v>1787</v>
      </c>
    </row>
    <row r="1848" spans="5:7" x14ac:dyDescent="0.3">
      <c r="E1848" s="79" t="s">
        <v>1860</v>
      </c>
      <c r="F1848" s="79" t="s">
        <v>1415</v>
      </c>
      <c r="G1848" s="81" t="s">
        <v>1787</v>
      </c>
    </row>
    <row r="1849" spans="5:7" x14ac:dyDescent="0.3">
      <c r="E1849" s="79" t="s">
        <v>1840</v>
      </c>
      <c r="F1849" s="79" t="s">
        <v>1608</v>
      </c>
      <c r="G1849" s="81" t="s">
        <v>1787</v>
      </c>
    </row>
    <row r="1850" spans="5:7" x14ac:dyDescent="0.3">
      <c r="E1850" s="79" t="s">
        <v>1788</v>
      </c>
      <c r="F1850" s="79" t="s">
        <v>1438</v>
      </c>
      <c r="G1850" s="81" t="s">
        <v>1787</v>
      </c>
    </row>
    <row r="1851" spans="5:7" x14ac:dyDescent="0.3">
      <c r="E1851" s="79" t="s">
        <v>1789</v>
      </c>
      <c r="F1851" s="79" t="s">
        <v>1438</v>
      </c>
      <c r="G1851" s="81" t="s">
        <v>1787</v>
      </c>
    </row>
    <row r="1852" spans="5:7" x14ac:dyDescent="0.3">
      <c r="E1852" s="79" t="s">
        <v>1841</v>
      </c>
      <c r="F1852" s="79" t="s">
        <v>1438</v>
      </c>
      <c r="G1852" s="81" t="s">
        <v>1787</v>
      </c>
    </row>
    <row r="1853" spans="5:7" x14ac:dyDescent="0.3">
      <c r="E1853" s="79" t="s">
        <v>1819</v>
      </c>
      <c r="F1853" s="79" t="s">
        <v>2272</v>
      </c>
      <c r="G1853" s="81" t="s">
        <v>1787</v>
      </c>
    </row>
    <row r="1854" spans="5:7" x14ac:dyDescent="0.3">
      <c r="E1854" s="79" t="s">
        <v>1823</v>
      </c>
      <c r="F1854" s="79" t="s">
        <v>2034</v>
      </c>
      <c r="G1854" s="81" t="s">
        <v>1787</v>
      </c>
    </row>
    <row r="1855" spans="5:7" x14ac:dyDescent="0.3">
      <c r="E1855" s="79" t="s">
        <v>1825</v>
      </c>
      <c r="F1855" s="79" t="s">
        <v>2273</v>
      </c>
      <c r="G1855" s="81" t="s">
        <v>1787</v>
      </c>
    </row>
    <row r="1856" spans="5:7" x14ac:dyDescent="0.3">
      <c r="E1856" s="79" t="s">
        <v>1831</v>
      </c>
      <c r="F1856" s="79" t="s">
        <v>2035</v>
      </c>
      <c r="G1856" s="81" t="s">
        <v>1787</v>
      </c>
    </row>
    <row r="1857" spans="5:7" x14ac:dyDescent="0.3">
      <c r="E1857" s="79" t="s">
        <v>1820</v>
      </c>
      <c r="F1857" s="79" t="s">
        <v>2014</v>
      </c>
      <c r="G1857" s="81" t="s">
        <v>1787</v>
      </c>
    </row>
    <row r="1858" spans="5:7" x14ac:dyDescent="0.3">
      <c r="E1858" s="79" t="s">
        <v>2281</v>
      </c>
      <c r="F1858" s="79" t="s">
        <v>2013</v>
      </c>
      <c r="G1858" s="81" t="s">
        <v>1787</v>
      </c>
    </row>
    <row r="1859" spans="5:7" x14ac:dyDescent="0.3">
      <c r="E1859" s="79" t="s">
        <v>1824</v>
      </c>
      <c r="F1859" s="79" t="s">
        <v>2012</v>
      </c>
      <c r="G1859" s="81" t="s">
        <v>1787</v>
      </c>
    </row>
    <row r="1860" spans="5:7" x14ac:dyDescent="0.3">
      <c r="E1860" s="79" t="s">
        <v>1826</v>
      </c>
      <c r="F1860" s="79" t="s">
        <v>2011</v>
      </c>
      <c r="G1860" s="81" t="s">
        <v>1787</v>
      </c>
    </row>
    <row r="1861" spans="5:7" x14ac:dyDescent="0.3">
      <c r="E1861" s="79" t="s">
        <v>1832</v>
      </c>
      <c r="F1861" s="79" t="s">
        <v>2006</v>
      </c>
      <c r="G1861" s="81" t="s">
        <v>1787</v>
      </c>
    </row>
    <row r="1862" spans="5:7" x14ac:dyDescent="0.3">
      <c r="E1862" s="79" t="s">
        <v>1834</v>
      </c>
      <c r="F1862" s="79" t="s">
        <v>2010</v>
      </c>
      <c r="G1862" s="81" t="s">
        <v>1787</v>
      </c>
    </row>
    <row r="1863" spans="5:7" x14ac:dyDescent="0.3">
      <c r="E1863" s="79" t="s">
        <v>1837</v>
      </c>
      <c r="F1863" s="79" t="s">
        <v>1433</v>
      </c>
      <c r="G1863" s="81" t="s">
        <v>1787</v>
      </c>
    </row>
    <row r="1864" spans="5:7" x14ac:dyDescent="0.3">
      <c r="E1864" s="79" t="s">
        <v>1857</v>
      </c>
      <c r="F1864" s="79" t="s">
        <v>1422</v>
      </c>
      <c r="G1864" s="81" t="s">
        <v>1787</v>
      </c>
    </row>
    <row r="1865" spans="5:7" x14ac:dyDescent="0.3">
      <c r="E1865" s="79" t="s">
        <v>1423</v>
      </c>
      <c r="F1865" s="79" t="s">
        <v>1423</v>
      </c>
      <c r="G1865" s="81" t="s">
        <v>1787</v>
      </c>
    </row>
    <row r="1866" spans="5:7" x14ac:dyDescent="0.3">
      <c r="E1866" s="79" t="s">
        <v>1830</v>
      </c>
      <c r="F1866" s="79" t="s">
        <v>2034</v>
      </c>
      <c r="G1866" s="81" t="s">
        <v>1787</v>
      </c>
    </row>
    <row r="1867" spans="5:7" x14ac:dyDescent="0.3">
      <c r="E1867" s="79" t="s">
        <v>1829</v>
      </c>
      <c r="F1867" s="79" t="s">
        <v>2008</v>
      </c>
      <c r="G1867" s="81" t="s">
        <v>1787</v>
      </c>
    </row>
    <row r="1868" spans="5:7" x14ac:dyDescent="0.3">
      <c r="E1868" s="79" t="s">
        <v>1847</v>
      </c>
      <c r="F1868" s="79" t="s">
        <v>1426</v>
      </c>
      <c r="G1868" s="81" t="s">
        <v>1787</v>
      </c>
    </row>
    <row r="1869" spans="5:7" x14ac:dyDescent="0.3">
      <c r="E1869" s="79" t="s">
        <v>1849</v>
      </c>
      <c r="F1869" s="79" t="s">
        <v>1427</v>
      </c>
      <c r="G1869" s="81" t="s">
        <v>1787</v>
      </c>
    </row>
    <row r="1870" spans="5:7" x14ac:dyDescent="0.3">
      <c r="E1870" s="79" t="s">
        <v>1850</v>
      </c>
      <c r="F1870" s="79" t="s">
        <v>1605</v>
      </c>
      <c r="G1870" s="81" t="s">
        <v>1787</v>
      </c>
    </row>
    <row r="1871" spans="5:7" x14ac:dyDescent="0.3">
      <c r="E1871" s="79" t="s">
        <v>1827</v>
      </c>
      <c r="F1871" s="79" t="s">
        <v>2018</v>
      </c>
      <c r="G1871" s="81" t="s">
        <v>1787</v>
      </c>
    </row>
    <row r="1872" spans="5:7" x14ac:dyDescent="0.3">
      <c r="E1872" s="79" t="s">
        <v>1836</v>
      </c>
      <c r="F1872" s="79" t="s">
        <v>2016</v>
      </c>
      <c r="G1872" s="81" t="s">
        <v>1787</v>
      </c>
    </row>
    <row r="1873" spans="5:7" x14ac:dyDescent="0.3">
      <c r="E1873" s="79" t="s">
        <v>1797</v>
      </c>
      <c r="F1873" s="79" t="s">
        <v>1438</v>
      </c>
      <c r="G1873" s="81" t="s">
        <v>1787</v>
      </c>
    </row>
    <row r="1874" spans="5:7" x14ac:dyDescent="0.3">
      <c r="E1874" s="79" t="s">
        <v>1808</v>
      </c>
      <c r="F1874" s="79" t="s">
        <v>1438</v>
      </c>
      <c r="G1874" s="81" t="s">
        <v>1787</v>
      </c>
    </row>
    <row r="1875" spans="5:7" x14ac:dyDescent="0.3">
      <c r="E1875" s="79" t="s">
        <v>1431</v>
      </c>
      <c r="F1875" s="79" t="s">
        <v>1616</v>
      </c>
      <c r="G1875" s="81" t="s">
        <v>1787</v>
      </c>
    </row>
    <row r="1876" spans="5:7" x14ac:dyDescent="0.3">
      <c r="E1876" s="79" t="s">
        <v>1852</v>
      </c>
      <c r="F1876" s="79" t="s">
        <v>1430</v>
      </c>
      <c r="G1876" s="81" t="s">
        <v>1787</v>
      </c>
    </row>
    <row r="1877" spans="5:7" x14ac:dyDescent="0.3">
      <c r="E1877" s="79" t="s">
        <v>1742</v>
      </c>
      <c r="F1877" s="79" t="s">
        <v>1742</v>
      </c>
      <c r="G1877" s="81" t="s">
        <v>1787</v>
      </c>
    </row>
    <row r="1878" spans="5:7" x14ac:dyDescent="0.3">
      <c r="E1878" s="79" t="s">
        <v>1770</v>
      </c>
      <c r="F1878" s="79" t="s">
        <v>1770</v>
      </c>
      <c r="G1878" s="81" t="s">
        <v>1787</v>
      </c>
    </row>
    <row r="1879" spans="5:7" x14ac:dyDescent="0.3">
      <c r="E1879" s="79" t="s">
        <v>1817</v>
      </c>
      <c r="F1879" s="79" t="s">
        <v>2034</v>
      </c>
      <c r="G1879" s="81" t="s">
        <v>1787</v>
      </c>
    </row>
    <row r="1880" spans="5:7" x14ac:dyDescent="0.3">
      <c r="E1880" s="79" t="s">
        <v>2331</v>
      </c>
      <c r="F1880" s="79" t="s">
        <v>2034</v>
      </c>
      <c r="G1880" s="81" t="s">
        <v>1787</v>
      </c>
    </row>
    <row r="1881" spans="5:7" x14ac:dyDescent="0.3">
      <c r="E1881" s="79" t="s">
        <v>1835</v>
      </c>
      <c r="F1881" s="79" t="s">
        <v>2034</v>
      </c>
      <c r="G1881" s="81" t="s">
        <v>1787</v>
      </c>
    </row>
    <row r="1882" spans="5:7" x14ac:dyDescent="0.3">
      <c r="E1882" s="79" t="s">
        <v>2333</v>
      </c>
      <c r="F1882" s="79" t="s">
        <v>1771</v>
      </c>
      <c r="G1882" s="81" t="s">
        <v>1787</v>
      </c>
    </row>
    <row r="1883" spans="5:7" x14ac:dyDescent="0.3">
      <c r="E1883" s="79" t="s">
        <v>2334</v>
      </c>
      <c r="F1883" s="79" t="s">
        <v>1771</v>
      </c>
      <c r="G1883" s="81" t="s">
        <v>1787</v>
      </c>
    </row>
    <row r="1884" spans="5:7" x14ac:dyDescent="0.3">
      <c r="E1884" s="79" t="s">
        <v>2337</v>
      </c>
      <c r="F1884" s="79" t="s">
        <v>2022</v>
      </c>
      <c r="G1884" s="81" t="s">
        <v>1787</v>
      </c>
    </row>
    <row r="1885" spans="5:7" x14ac:dyDescent="0.3">
      <c r="E1885" s="79" t="s">
        <v>1818</v>
      </c>
      <c r="F1885" s="79" t="s">
        <v>2020</v>
      </c>
      <c r="G1885" s="81" t="s">
        <v>1787</v>
      </c>
    </row>
    <row r="1886" spans="5:7" x14ac:dyDescent="0.3">
      <c r="E1886" s="79" t="s">
        <v>1651</v>
      </c>
      <c r="F1886" s="79" t="s">
        <v>1651</v>
      </c>
      <c r="G1886" s="81" t="s">
        <v>1787</v>
      </c>
    </row>
    <row r="1887" spans="5:7" x14ac:dyDescent="0.3">
      <c r="E1887" s="79" t="s">
        <v>1413</v>
      </c>
      <c r="F1887" s="79" t="s">
        <v>1413</v>
      </c>
      <c r="G1887" s="81" t="s">
        <v>1787</v>
      </c>
    </row>
    <row r="1888" spans="5:7" x14ac:dyDescent="0.3">
      <c r="E1888" s="79" t="s">
        <v>1412</v>
      </c>
      <c r="F1888" s="79" t="s">
        <v>1412</v>
      </c>
      <c r="G1888" s="81" t="s">
        <v>1787</v>
      </c>
    </row>
    <row r="1889" spans="5:7" x14ac:dyDescent="0.3">
      <c r="E1889" s="79" t="s">
        <v>1601</v>
      </c>
      <c r="F1889" s="79" t="s">
        <v>1601</v>
      </c>
      <c r="G1889" s="81" t="s">
        <v>1787</v>
      </c>
    </row>
    <row r="1890" spans="5:7" x14ac:dyDescent="0.3">
      <c r="E1890" t="s">
        <v>1790</v>
      </c>
      <c r="F1890" t="s">
        <v>1437</v>
      </c>
      <c r="G1890" s="81" t="s">
        <v>1787</v>
      </c>
    </row>
    <row r="1891" spans="5:7" x14ac:dyDescent="0.3">
      <c r="E1891" t="s">
        <v>2403</v>
      </c>
      <c r="F1891" t="s">
        <v>1437</v>
      </c>
      <c r="G1891" s="81" t="s">
        <v>1787</v>
      </c>
    </row>
    <row r="1892" spans="5:7" x14ac:dyDescent="0.3">
      <c r="E1892" t="s">
        <v>2404</v>
      </c>
      <c r="F1892" t="s">
        <v>1438</v>
      </c>
      <c r="G1892" s="81" t="s">
        <v>1787</v>
      </c>
    </row>
    <row r="1893" spans="5:7" x14ac:dyDescent="0.3">
      <c r="E1893" t="s">
        <v>1418</v>
      </c>
      <c r="F1893" t="s">
        <v>1418</v>
      </c>
      <c r="G1893" s="81" t="s">
        <v>1787</v>
      </c>
    </row>
    <row r="1894" spans="5:7" x14ac:dyDescent="0.3">
      <c r="E1894" t="s">
        <v>1641</v>
      </c>
      <c r="F1894" t="s">
        <v>2041</v>
      </c>
      <c r="G1894" s="81" t="s">
        <v>1787</v>
      </c>
    </row>
    <row r="1895" spans="5:7" x14ac:dyDescent="0.3">
      <c r="E1895" t="s">
        <v>1416</v>
      </c>
      <c r="F1895" t="s">
        <v>1416</v>
      </c>
      <c r="G1895" s="81" t="s">
        <v>1787</v>
      </c>
    </row>
    <row r="1896" spans="5:7" x14ac:dyDescent="0.3">
      <c r="E1896" s="79" t="s">
        <v>1801</v>
      </c>
      <c r="F1896" t="s">
        <v>1773</v>
      </c>
      <c r="G1896" s="81" t="s">
        <v>1787</v>
      </c>
    </row>
    <row r="1897" spans="5:7" x14ac:dyDescent="0.3">
      <c r="E1897" s="79" t="s">
        <v>1800</v>
      </c>
      <c r="F1897" t="s">
        <v>1609</v>
      </c>
      <c r="G1897" s="81" t="s">
        <v>1787</v>
      </c>
    </row>
    <row r="1898" spans="5:7" x14ac:dyDescent="0.3">
      <c r="E1898" s="79" t="s">
        <v>1810</v>
      </c>
      <c r="F1898" t="s">
        <v>1407</v>
      </c>
      <c r="G1898" s="81" t="s">
        <v>1787</v>
      </c>
    </row>
    <row r="1899" spans="5:7" x14ac:dyDescent="0.3">
      <c r="E1899" s="79" t="s">
        <v>1811</v>
      </c>
      <c r="F1899" t="s">
        <v>1773</v>
      </c>
      <c r="G1899" s="81" t="s">
        <v>1787</v>
      </c>
    </row>
    <row r="1900" spans="5:7" x14ac:dyDescent="0.3">
      <c r="E1900" s="79" t="s">
        <v>2405</v>
      </c>
      <c r="F1900" t="s">
        <v>1609</v>
      </c>
      <c r="G1900" s="81" t="s">
        <v>1787</v>
      </c>
    </row>
    <row r="1901" spans="5:7" x14ac:dyDescent="0.3">
      <c r="E1901" s="79" t="s">
        <v>1799</v>
      </c>
      <c r="F1901" t="s">
        <v>1407</v>
      </c>
      <c r="G1901" s="81" t="s">
        <v>1787</v>
      </c>
    </row>
    <row r="1902" spans="5:7" x14ac:dyDescent="0.3">
      <c r="E1902" s="79" t="s">
        <v>1791</v>
      </c>
      <c r="F1902" t="s">
        <v>1407</v>
      </c>
      <c r="G1902" s="81" t="s">
        <v>1787</v>
      </c>
    </row>
    <row r="1903" spans="5:7" x14ac:dyDescent="0.3">
      <c r="E1903" s="79" t="s">
        <v>1600</v>
      </c>
      <c r="F1903" t="s">
        <v>1609</v>
      </c>
      <c r="G1903" s="81" t="s">
        <v>1787</v>
      </c>
    </row>
    <row r="1904" spans="5:7" x14ac:dyDescent="0.3">
      <c r="E1904" s="79" t="s">
        <v>1798</v>
      </c>
      <c r="F1904" t="s">
        <v>1649</v>
      </c>
      <c r="G1904" s="81" t="s">
        <v>1787</v>
      </c>
    </row>
    <row r="1905" spans="5:7" x14ac:dyDescent="0.3">
      <c r="E1905" s="79" t="s">
        <v>1774</v>
      </c>
      <c r="F1905" t="s">
        <v>1773</v>
      </c>
      <c r="G1905" s="81" t="s">
        <v>1787</v>
      </c>
    </row>
    <row r="1906" spans="5:7" x14ac:dyDescent="0.3">
      <c r="E1906" t="s">
        <v>1817</v>
      </c>
      <c r="F1906" t="s">
        <v>2005</v>
      </c>
      <c r="G1906" s="72" t="s">
        <v>1890</v>
      </c>
    </row>
    <row r="1907" spans="5:7" x14ac:dyDescent="0.3">
      <c r="E1907" t="s">
        <v>1817</v>
      </c>
      <c r="F1907" t="s">
        <v>2005</v>
      </c>
      <c r="G1907" s="72" t="s">
        <v>1934</v>
      </c>
    </row>
    <row r="1908" spans="5:7" x14ac:dyDescent="0.3">
      <c r="E1908" t="s">
        <v>1705</v>
      </c>
      <c r="F1908" t="s">
        <v>1705</v>
      </c>
      <c r="G1908" s="83" t="s">
        <v>1782</v>
      </c>
    </row>
    <row r="1909" spans="5:7" x14ac:dyDescent="0.3">
      <c r="E1909" t="s">
        <v>1889</v>
      </c>
      <c r="F1909" t="s">
        <v>1438</v>
      </c>
      <c r="G1909" s="83" t="s">
        <v>1787</v>
      </c>
    </row>
    <row r="1910" spans="5:7" x14ac:dyDescent="0.3">
      <c r="E1910" s="79" t="s">
        <v>1828</v>
      </c>
      <c r="F1910" s="79" t="s">
        <v>2034</v>
      </c>
      <c r="G1910" s="83" t="s">
        <v>1787</v>
      </c>
    </row>
    <row r="1911" spans="5:7" x14ac:dyDescent="0.3">
      <c r="E1911" s="79" t="s">
        <v>1822</v>
      </c>
      <c r="F1911" s="79" t="s">
        <v>2034</v>
      </c>
      <c r="G1911" s="83" t="s">
        <v>1787</v>
      </c>
    </row>
    <row r="1912" spans="5:7" x14ac:dyDescent="0.3">
      <c r="E1912" s="79" t="s">
        <v>1821</v>
      </c>
      <c r="F1912" s="79" t="s">
        <v>2012</v>
      </c>
      <c r="G1912" s="83" t="s">
        <v>1787</v>
      </c>
    </row>
    <row r="1913" spans="5:7" x14ac:dyDescent="0.3">
      <c r="E1913" s="79" t="s">
        <v>1769</v>
      </c>
      <c r="F1913" s="79" t="s">
        <v>1769</v>
      </c>
      <c r="G1913" s="83" t="s">
        <v>1787</v>
      </c>
    </row>
    <row r="1914" spans="5:7" x14ac:dyDescent="0.3">
      <c r="E1914" s="79" t="s">
        <v>2356</v>
      </c>
      <c r="F1914" s="79" t="s">
        <v>2006</v>
      </c>
      <c r="G1914" s="83" t="s">
        <v>1787</v>
      </c>
    </row>
    <row r="1915" spans="5:7" x14ac:dyDescent="0.3">
      <c r="E1915" s="79" t="s">
        <v>2406</v>
      </c>
      <c r="F1915" s="79" t="s">
        <v>1764</v>
      </c>
      <c r="G1915" s="83" t="s">
        <v>1787</v>
      </c>
    </row>
    <row r="1916" spans="5:7" x14ac:dyDescent="0.3">
      <c r="E1916" s="79" t="s">
        <v>1795</v>
      </c>
      <c r="F1916" s="79" t="s">
        <v>1618</v>
      </c>
      <c r="G1916" s="83" t="s">
        <v>1787</v>
      </c>
    </row>
    <row r="1917" spans="5:7" x14ac:dyDescent="0.3">
      <c r="E1917" s="79" t="s">
        <v>2407</v>
      </c>
      <c r="F1917" s="79" t="s">
        <v>1409</v>
      </c>
      <c r="G1917" s="83" t="s">
        <v>1787</v>
      </c>
    </row>
    <row r="1918" spans="5:7" x14ac:dyDescent="0.3">
      <c r="E1918" s="79" t="s">
        <v>1815</v>
      </c>
      <c r="F1918" t="s">
        <v>2034</v>
      </c>
      <c r="G1918" s="83" t="s">
        <v>1787</v>
      </c>
    </row>
    <row r="1919" spans="5:7" x14ac:dyDescent="0.3">
      <c r="E1919" s="79" t="s">
        <v>2408</v>
      </c>
      <c r="F1919" s="79" t="s">
        <v>1739</v>
      </c>
      <c r="G1919" s="83" t="s">
        <v>1787</v>
      </c>
    </row>
    <row r="1920" spans="5:7" x14ac:dyDescent="0.3">
      <c r="E1920" s="79" t="s">
        <v>2247</v>
      </c>
      <c r="F1920" s="79" t="s">
        <v>1773</v>
      </c>
      <c r="G1920" s="83" t="s">
        <v>1787</v>
      </c>
    </row>
    <row r="1921" spans="5:7" x14ac:dyDescent="0.3">
      <c r="E1921" s="79" t="s">
        <v>1925</v>
      </c>
      <c r="F1921" t="s">
        <v>1440</v>
      </c>
      <c r="G1921" s="83" t="s">
        <v>1890</v>
      </c>
    </row>
    <row r="1922" spans="5:7" x14ac:dyDescent="0.3">
      <c r="E1922" s="79" t="s">
        <v>1925</v>
      </c>
      <c r="F1922" t="s">
        <v>1440</v>
      </c>
      <c r="G1922" s="83" t="s">
        <v>1934</v>
      </c>
    </row>
    <row r="1923" spans="5:7" x14ac:dyDescent="0.3">
      <c r="E1923" t="s">
        <v>2324</v>
      </c>
      <c r="F1923" t="s">
        <v>2067</v>
      </c>
      <c r="G1923" s="83" t="s">
        <v>2083</v>
      </c>
    </row>
    <row r="1924" spans="5:7" x14ac:dyDescent="0.3">
      <c r="E1924" t="s">
        <v>2409</v>
      </c>
      <c r="F1924" t="s">
        <v>2051</v>
      </c>
      <c r="G1924" s="83" t="s">
        <v>2082</v>
      </c>
    </row>
    <row r="1925" spans="5:7" x14ac:dyDescent="0.3">
      <c r="E1925" t="s">
        <v>2410</v>
      </c>
      <c r="F1925" t="s">
        <v>2007</v>
      </c>
      <c r="G1925" s="83" t="s">
        <v>2082</v>
      </c>
    </row>
    <row r="1926" spans="5:7" x14ac:dyDescent="0.3">
      <c r="E1926" t="s">
        <v>2411</v>
      </c>
      <c r="F1926" t="s">
        <v>1652</v>
      </c>
      <c r="G1926" s="83" t="s">
        <v>2082</v>
      </c>
    </row>
    <row r="1927" spans="5:7" x14ac:dyDescent="0.3">
      <c r="E1927" t="s">
        <v>2412</v>
      </c>
      <c r="F1927" t="s">
        <v>1404</v>
      </c>
      <c r="G1927" s="83" t="s">
        <v>2082</v>
      </c>
    </row>
    <row r="1928" spans="5:7" x14ac:dyDescent="0.3">
      <c r="E1928" t="s">
        <v>1920</v>
      </c>
      <c r="F1928" t="s">
        <v>1451</v>
      </c>
      <c r="G1928" s="83" t="s">
        <v>1890</v>
      </c>
    </row>
    <row r="1929" spans="5:7" x14ac:dyDescent="0.3">
      <c r="E1929" s="79" t="s">
        <v>1816</v>
      </c>
      <c r="F1929" t="s">
        <v>2007</v>
      </c>
      <c r="G1929" s="98" t="s">
        <v>1787</v>
      </c>
    </row>
    <row r="1930" spans="5:7" x14ac:dyDescent="0.3">
      <c r="E1930" s="79" t="s">
        <v>1833</v>
      </c>
      <c r="F1930" t="s">
        <v>2007</v>
      </c>
      <c r="G1930" s="98" t="s">
        <v>1787</v>
      </c>
    </row>
    <row r="1931" spans="5:7" x14ac:dyDescent="0.3">
      <c r="E1931" s="79" t="s">
        <v>1833</v>
      </c>
      <c r="F1931" t="s">
        <v>1996</v>
      </c>
      <c r="G1931" s="83" t="s">
        <v>1890</v>
      </c>
    </row>
    <row r="1932" spans="5:7" x14ac:dyDescent="0.3">
      <c r="E1932" s="79" t="s">
        <v>1816</v>
      </c>
      <c r="F1932" t="s">
        <v>1996</v>
      </c>
      <c r="G1932" s="83" t="s">
        <v>1890</v>
      </c>
    </row>
    <row r="1933" spans="5:7" x14ac:dyDescent="0.3">
      <c r="E1933" s="79" t="s">
        <v>1815</v>
      </c>
      <c r="F1933" t="s">
        <v>1996</v>
      </c>
      <c r="G1933" s="83" t="s">
        <v>1890</v>
      </c>
    </row>
    <row r="1934" spans="5:7" x14ac:dyDescent="0.3">
      <c r="E1934" s="79" t="s">
        <v>1899</v>
      </c>
      <c r="F1934" t="s">
        <v>1996</v>
      </c>
      <c r="G1934" s="83" t="s">
        <v>1890</v>
      </c>
    </row>
    <row r="1935" spans="5:7" x14ac:dyDescent="0.3">
      <c r="E1935" s="79" t="s">
        <v>1899</v>
      </c>
      <c r="F1935" t="s">
        <v>1996</v>
      </c>
      <c r="G1935" s="83" t="s">
        <v>1934</v>
      </c>
    </row>
    <row r="1936" spans="5:7" x14ac:dyDescent="0.3">
      <c r="E1936" s="79" t="s">
        <v>1920</v>
      </c>
      <c r="F1936" s="79" t="s">
        <v>1451</v>
      </c>
      <c r="G1936" s="83" t="s">
        <v>1934</v>
      </c>
    </row>
    <row r="1937" spans="5:7" x14ac:dyDescent="0.3">
      <c r="E1937" s="79" t="s">
        <v>1816</v>
      </c>
      <c r="F1937" t="s">
        <v>1996</v>
      </c>
      <c r="G1937" s="83" t="s">
        <v>1934</v>
      </c>
    </row>
    <row r="1938" spans="5:7" x14ac:dyDescent="0.3">
      <c r="E1938" s="79" t="s">
        <v>1944</v>
      </c>
      <c r="F1938" t="s">
        <v>1442</v>
      </c>
      <c r="G1938" s="83" t="s">
        <v>2083</v>
      </c>
    </row>
    <row r="1939" spans="5:7" x14ac:dyDescent="0.3">
      <c r="E1939" s="79" t="s">
        <v>1943</v>
      </c>
      <c r="F1939" t="s">
        <v>1644</v>
      </c>
      <c r="G1939" s="83" t="s">
        <v>2083</v>
      </c>
    </row>
    <row r="1940" spans="5:7" x14ac:dyDescent="0.3">
      <c r="E1940" s="79" t="s">
        <v>2413</v>
      </c>
      <c r="F1940" t="s">
        <v>1775</v>
      </c>
      <c r="G1940" s="99" t="s">
        <v>1787</v>
      </c>
    </row>
    <row r="1941" spans="5:7" x14ac:dyDescent="0.3">
      <c r="E1941" s="79" t="s">
        <v>2414</v>
      </c>
      <c r="F1941" s="79" t="s">
        <v>2034</v>
      </c>
      <c r="G1941" s="99" t="s">
        <v>1787</v>
      </c>
    </row>
    <row r="1942" spans="5:7" x14ac:dyDescent="0.3">
      <c r="E1942" s="79" t="s">
        <v>2415</v>
      </c>
      <c r="F1942" t="s">
        <v>1775</v>
      </c>
      <c r="G1942" s="99" t="s">
        <v>1787</v>
      </c>
    </row>
    <row r="1943" spans="5:7" x14ac:dyDescent="0.3">
      <c r="E1943" s="79" t="s">
        <v>1853</v>
      </c>
      <c r="F1943" t="s">
        <v>1610</v>
      </c>
      <c r="G1943" s="99" t="s">
        <v>1787</v>
      </c>
    </row>
    <row r="1944" spans="5:7" x14ac:dyDescent="0.3">
      <c r="E1944" s="79" t="s">
        <v>1848</v>
      </c>
      <c r="F1944" t="s">
        <v>1775</v>
      </c>
      <c r="G1944" s="99" t="s">
        <v>1787</v>
      </c>
    </row>
    <row r="1945" spans="5:7" x14ac:dyDescent="0.3">
      <c r="E1945" s="79" t="s">
        <v>2416</v>
      </c>
      <c r="F1945" s="79" t="s">
        <v>2012</v>
      </c>
      <c r="G1945" s="99" t="s">
        <v>1787</v>
      </c>
    </row>
    <row r="1946" spans="5:7" x14ac:dyDescent="0.3">
      <c r="E1946" s="79" t="s">
        <v>1603</v>
      </c>
      <c r="F1946" t="s">
        <v>1603</v>
      </c>
      <c r="G1946" s="99" t="s">
        <v>1787</v>
      </c>
    </row>
    <row r="1947" spans="5:7" x14ac:dyDescent="0.3">
      <c r="E1947" t="s">
        <v>1864</v>
      </c>
      <c r="F1947" t="s">
        <v>1394</v>
      </c>
      <c r="G1947" s="72">
        <v>26</v>
      </c>
    </row>
    <row r="1948" spans="5:7" x14ac:dyDescent="0.3">
      <c r="E1948" s="79" t="s">
        <v>1865</v>
      </c>
      <c r="F1948" t="s">
        <v>1675</v>
      </c>
      <c r="G1948" s="72">
        <v>26</v>
      </c>
    </row>
    <row r="1949" spans="5:7" x14ac:dyDescent="0.3">
      <c r="E1949" s="79" t="s">
        <v>2414</v>
      </c>
      <c r="F1949" t="s">
        <v>2027</v>
      </c>
      <c r="G1949" s="99" t="s">
        <v>1890</v>
      </c>
    </row>
    <row r="1950" spans="5:7" x14ac:dyDescent="0.3">
      <c r="E1950" s="79" t="s">
        <v>2414</v>
      </c>
      <c r="F1950" t="s">
        <v>2027</v>
      </c>
      <c r="G1950" s="72" t="s">
        <v>1934</v>
      </c>
    </row>
    <row r="1951" spans="5:7" x14ac:dyDescent="0.3">
      <c r="E1951" s="79" t="s">
        <v>1895</v>
      </c>
      <c r="F1951" t="s">
        <v>2027</v>
      </c>
      <c r="G1951" s="99" t="s">
        <v>1890</v>
      </c>
    </row>
    <row r="1952" spans="5:7" x14ac:dyDescent="0.3">
      <c r="E1952" s="79" t="s">
        <v>2417</v>
      </c>
      <c r="F1952" t="s">
        <v>2027</v>
      </c>
      <c r="G1952" s="99" t="s">
        <v>1890</v>
      </c>
    </row>
    <row r="1953" spans="5:7" x14ac:dyDescent="0.3">
      <c r="E1953" s="79" t="s">
        <v>1895</v>
      </c>
      <c r="F1953" t="s">
        <v>2027</v>
      </c>
      <c r="G1953" s="72" t="s">
        <v>1934</v>
      </c>
    </row>
    <row r="1954" spans="5:7" x14ac:dyDescent="0.3">
      <c r="E1954" s="79" t="s">
        <v>2417</v>
      </c>
      <c r="F1954" t="s">
        <v>2027</v>
      </c>
      <c r="G1954" s="72" t="s">
        <v>1934</v>
      </c>
    </row>
    <row r="1955" spans="5:7" x14ac:dyDescent="0.3">
      <c r="E1955" s="79" t="s">
        <v>1910</v>
      </c>
      <c r="F1955" t="s">
        <v>1996</v>
      </c>
      <c r="G1955" s="99" t="s">
        <v>1890</v>
      </c>
    </row>
    <row r="1956" spans="5:7" x14ac:dyDescent="0.3">
      <c r="E1956" s="79" t="s">
        <v>2418</v>
      </c>
      <c r="F1956" t="s">
        <v>1996</v>
      </c>
      <c r="G1956" s="99" t="s">
        <v>1890</v>
      </c>
    </row>
    <row r="1957" spans="5:7" x14ac:dyDescent="0.3">
      <c r="E1957" s="79" t="s">
        <v>2419</v>
      </c>
      <c r="F1957" t="s">
        <v>1996</v>
      </c>
      <c r="G1957" s="99" t="s">
        <v>1890</v>
      </c>
    </row>
    <row r="1958" spans="5:7" x14ac:dyDescent="0.3">
      <c r="E1958" s="79" t="s">
        <v>2416</v>
      </c>
      <c r="F1958" t="s">
        <v>1996</v>
      </c>
      <c r="G1958" s="72" t="s">
        <v>1890</v>
      </c>
    </row>
    <row r="1959" spans="5:7" x14ac:dyDescent="0.3">
      <c r="E1959" s="79" t="s">
        <v>1932</v>
      </c>
      <c r="F1959" s="79" t="s">
        <v>1451</v>
      </c>
      <c r="G1959" s="72" t="s">
        <v>1890</v>
      </c>
    </row>
    <row r="1960" spans="5:7" x14ac:dyDescent="0.3">
      <c r="E1960" s="79" t="s">
        <v>1790</v>
      </c>
      <c r="F1960" s="79" t="s">
        <v>1451</v>
      </c>
      <c r="G1960" s="72" t="s">
        <v>1890</v>
      </c>
    </row>
    <row r="1961" spans="5:7" x14ac:dyDescent="0.3">
      <c r="E1961" s="79" t="s">
        <v>1932</v>
      </c>
      <c r="F1961" s="79" t="s">
        <v>1451</v>
      </c>
      <c r="G1961" s="72" t="s">
        <v>1934</v>
      </c>
    </row>
    <row r="1962" spans="5:7" x14ac:dyDescent="0.3">
      <c r="E1962" s="79" t="s">
        <v>1790</v>
      </c>
      <c r="F1962" s="79" t="s">
        <v>1451</v>
      </c>
      <c r="G1962" s="100" t="s">
        <v>1934</v>
      </c>
    </row>
    <row r="1963" spans="5:7" x14ac:dyDescent="0.3">
      <c r="E1963" s="79" t="s">
        <v>1833</v>
      </c>
      <c r="F1963" t="s">
        <v>1996</v>
      </c>
      <c r="G1963" s="100" t="s">
        <v>1934</v>
      </c>
    </row>
    <row r="1964" spans="5:7" x14ac:dyDescent="0.3">
      <c r="E1964" s="79" t="s">
        <v>1815</v>
      </c>
      <c r="F1964" t="s">
        <v>1996</v>
      </c>
      <c r="G1964" s="100" t="s">
        <v>1934</v>
      </c>
    </row>
    <row r="1965" spans="5:7" x14ac:dyDescent="0.3">
      <c r="E1965" s="79" t="s">
        <v>2418</v>
      </c>
      <c r="F1965" t="s">
        <v>1996</v>
      </c>
      <c r="G1965" s="100" t="s">
        <v>1934</v>
      </c>
    </row>
    <row r="1966" spans="5:7" x14ac:dyDescent="0.3">
      <c r="E1966" s="79" t="s">
        <v>2419</v>
      </c>
      <c r="F1966" t="s">
        <v>1996</v>
      </c>
      <c r="G1966" s="100" t="s">
        <v>1934</v>
      </c>
    </row>
    <row r="1967" spans="5:7" x14ac:dyDescent="0.3">
      <c r="E1967" s="79" t="s">
        <v>2416</v>
      </c>
      <c r="F1967" t="s">
        <v>1996</v>
      </c>
      <c r="G1967" s="100" t="s">
        <v>1934</v>
      </c>
    </row>
    <row r="1968" spans="5:7" x14ac:dyDescent="0.3">
      <c r="E1968" s="79" t="s">
        <v>1948</v>
      </c>
      <c r="F1968" t="s">
        <v>1683</v>
      </c>
      <c r="G1968" s="83" t="s">
        <v>2083</v>
      </c>
    </row>
    <row r="1969" spans="5:7" x14ac:dyDescent="0.3">
      <c r="E1969" s="79" t="s">
        <v>1950</v>
      </c>
      <c r="F1969" t="s">
        <v>1683</v>
      </c>
      <c r="G1969" s="83" t="s">
        <v>2083</v>
      </c>
    </row>
    <row r="1970" spans="5:7" x14ac:dyDescent="0.3">
      <c r="E1970" s="79" t="s">
        <v>2420</v>
      </c>
      <c r="F1970" s="79" t="s">
        <v>1427</v>
      </c>
      <c r="G1970" s="83" t="s">
        <v>2082</v>
      </c>
    </row>
    <row r="1971" spans="5:7" x14ac:dyDescent="0.3">
      <c r="E1971" s="79" t="s">
        <v>2421</v>
      </c>
      <c r="F1971" t="s">
        <v>1676</v>
      </c>
      <c r="G1971" s="83" t="s">
        <v>2082</v>
      </c>
    </row>
    <row r="1972" spans="5:7" x14ac:dyDescent="0.3">
      <c r="E1972" t="s">
        <v>1973</v>
      </c>
      <c r="F1972" t="s">
        <v>1699</v>
      </c>
      <c r="G1972" s="83" t="s">
        <v>2082</v>
      </c>
    </row>
    <row r="1973" spans="5:7" x14ac:dyDescent="0.3">
      <c r="E1973" s="79" t="s">
        <v>2422</v>
      </c>
      <c r="F1973" t="s">
        <v>1731</v>
      </c>
      <c r="G1973" s="72" t="s">
        <v>2083</v>
      </c>
    </row>
    <row r="1974" spans="5:7" x14ac:dyDescent="0.3">
      <c r="E1974" t="s">
        <v>2423</v>
      </c>
      <c r="F1974" t="s">
        <v>1451</v>
      </c>
      <c r="G1974" s="72" t="s">
        <v>1890</v>
      </c>
    </row>
    <row r="1975" spans="5:7" x14ac:dyDescent="0.3">
      <c r="E1975" t="s">
        <v>2423</v>
      </c>
      <c r="F1975" t="s">
        <v>1451</v>
      </c>
      <c r="G1975" s="72" t="s">
        <v>1934</v>
      </c>
    </row>
    <row r="1976" spans="5:7" x14ac:dyDescent="0.3">
      <c r="E1976" t="s">
        <v>1910</v>
      </c>
      <c r="F1976" t="s">
        <v>1996</v>
      </c>
      <c r="G1976" s="83" t="s">
        <v>1934</v>
      </c>
    </row>
    <row r="1977" spans="5:7" x14ac:dyDescent="0.3">
      <c r="E1977" t="s">
        <v>1962</v>
      </c>
      <c r="F1977" t="s">
        <v>1962</v>
      </c>
      <c r="G1977" s="83" t="s">
        <v>2083</v>
      </c>
    </row>
    <row r="1978" spans="5:7" x14ac:dyDescent="0.3">
      <c r="E1978" t="s">
        <v>2421</v>
      </c>
      <c r="F1978" t="s">
        <v>1676</v>
      </c>
      <c r="G1978" s="83" t="s">
        <v>2082</v>
      </c>
    </row>
    <row r="1979" spans="5:7" x14ac:dyDescent="0.3">
      <c r="E1979" t="s">
        <v>1975</v>
      </c>
      <c r="F1979" t="s">
        <v>1654</v>
      </c>
      <c r="G1979" s="83" t="s">
        <v>2082</v>
      </c>
    </row>
    <row r="1980" spans="5:7" x14ac:dyDescent="0.3">
      <c r="E1980" s="79" t="s">
        <v>1940</v>
      </c>
      <c r="F1980" s="79" t="s">
        <v>1940</v>
      </c>
      <c r="G1980" s="72" t="s">
        <v>2083</v>
      </c>
    </row>
    <row r="1981" spans="5:7" x14ac:dyDescent="0.3">
      <c r="E1981" s="79" t="s">
        <v>1941</v>
      </c>
      <c r="F1981" s="79" t="s">
        <v>1941</v>
      </c>
      <c r="G1981" s="81" t="s">
        <v>2082</v>
      </c>
    </row>
    <row r="1982" spans="5:7" x14ac:dyDescent="0.3">
      <c r="E1982" s="79" t="s">
        <v>1819</v>
      </c>
      <c r="F1982" s="79" t="s">
        <v>2026</v>
      </c>
      <c r="G1982" s="83" t="s">
        <v>2783</v>
      </c>
    </row>
    <row r="1983" spans="5:7" x14ac:dyDescent="0.3">
      <c r="E1983" s="79" t="s">
        <v>1823</v>
      </c>
      <c r="F1983" s="79" t="s">
        <v>2027</v>
      </c>
      <c r="G1983" s="83" t="s">
        <v>2783</v>
      </c>
    </row>
    <row r="1984" spans="5:7" x14ac:dyDescent="0.3">
      <c r="E1984" s="79" t="s">
        <v>1825</v>
      </c>
      <c r="F1984" s="79" t="s">
        <v>2030</v>
      </c>
      <c r="G1984" s="83" t="s">
        <v>2783</v>
      </c>
    </row>
    <row r="1985" spans="5:7" x14ac:dyDescent="0.3">
      <c r="E1985" s="79" t="s">
        <v>2274</v>
      </c>
      <c r="F1985" s="79" t="s">
        <v>2029</v>
      </c>
      <c r="G1985" s="83" t="s">
        <v>2783</v>
      </c>
    </row>
    <row r="1986" spans="5:7" x14ac:dyDescent="0.3">
      <c r="E1986" s="79" t="s">
        <v>1831</v>
      </c>
      <c r="F1986" s="79" t="s">
        <v>2029</v>
      </c>
      <c r="G1986" s="83" t="s">
        <v>2783</v>
      </c>
    </row>
    <row r="1987" spans="5:7" x14ac:dyDescent="0.3">
      <c r="E1987" s="79" t="s">
        <v>2276</v>
      </c>
      <c r="F1987" s="79" t="s">
        <v>2025</v>
      </c>
      <c r="G1987" s="83" t="s">
        <v>2783</v>
      </c>
    </row>
    <row r="1988" spans="5:7" x14ac:dyDescent="0.3">
      <c r="E1988" s="79" t="s">
        <v>1896</v>
      </c>
      <c r="F1988" s="79" t="s">
        <v>2028</v>
      </c>
      <c r="G1988" s="83" t="s">
        <v>2783</v>
      </c>
    </row>
    <row r="1989" spans="5:7" x14ac:dyDescent="0.3">
      <c r="E1989" s="79" t="s">
        <v>1900</v>
      </c>
      <c r="F1989" s="79" t="s">
        <v>2033</v>
      </c>
      <c r="G1989" s="83" t="s">
        <v>2783</v>
      </c>
    </row>
    <row r="1990" spans="5:7" x14ac:dyDescent="0.3">
      <c r="E1990" s="79" t="s">
        <v>1902</v>
      </c>
      <c r="F1990" s="79" t="s">
        <v>2032</v>
      </c>
      <c r="G1990" s="83" t="s">
        <v>2783</v>
      </c>
    </row>
    <row r="1991" spans="5:7" x14ac:dyDescent="0.3">
      <c r="E1991" s="79" t="s">
        <v>2278</v>
      </c>
      <c r="F1991" s="79" t="s">
        <v>2031</v>
      </c>
      <c r="G1991" s="83" t="s">
        <v>2783</v>
      </c>
    </row>
    <row r="1992" spans="5:7" x14ac:dyDescent="0.3">
      <c r="E1992" s="79" t="s">
        <v>1908</v>
      </c>
      <c r="F1992" s="79" t="s">
        <v>2031</v>
      </c>
      <c r="G1992" s="83" t="s">
        <v>2783</v>
      </c>
    </row>
    <row r="1993" spans="5:7" x14ac:dyDescent="0.3">
      <c r="E1993" s="79" t="s">
        <v>2279</v>
      </c>
      <c r="F1993" s="79" t="s">
        <v>2024</v>
      </c>
      <c r="G1993" s="83" t="s">
        <v>2783</v>
      </c>
    </row>
    <row r="1994" spans="5:7" x14ac:dyDescent="0.3">
      <c r="E1994" s="79" t="s">
        <v>1820</v>
      </c>
      <c r="F1994" s="79" t="s">
        <v>1997</v>
      </c>
      <c r="G1994" s="83" t="s">
        <v>2783</v>
      </c>
    </row>
    <row r="1995" spans="5:7" x14ac:dyDescent="0.3">
      <c r="E1995" s="79" t="s">
        <v>1821</v>
      </c>
      <c r="F1995" s="79" t="s">
        <v>1993</v>
      </c>
      <c r="G1995" s="83" t="s">
        <v>2783</v>
      </c>
    </row>
    <row r="1996" spans="5:7" x14ac:dyDescent="0.3">
      <c r="E1996" s="79" t="s">
        <v>2280</v>
      </c>
      <c r="F1996" s="79" t="s">
        <v>2005</v>
      </c>
      <c r="G1996" s="83" t="s">
        <v>2783</v>
      </c>
    </row>
    <row r="1997" spans="5:7" x14ac:dyDescent="0.3">
      <c r="E1997" s="79" t="s">
        <v>2281</v>
      </c>
      <c r="F1997" s="79" t="s">
        <v>1992</v>
      </c>
      <c r="G1997" s="83" t="s">
        <v>2783</v>
      </c>
    </row>
    <row r="1998" spans="5:7" x14ac:dyDescent="0.3">
      <c r="E1998" s="79" t="s">
        <v>1824</v>
      </c>
      <c r="F1998" s="79" t="s">
        <v>2005</v>
      </c>
      <c r="G1998" s="83" t="s">
        <v>2783</v>
      </c>
    </row>
    <row r="1999" spans="5:7" x14ac:dyDescent="0.3">
      <c r="E1999" s="79" t="s">
        <v>1826</v>
      </c>
      <c r="F1999" s="79" t="s">
        <v>2000</v>
      </c>
      <c r="G1999" s="83" t="s">
        <v>2783</v>
      </c>
    </row>
    <row r="2000" spans="5:7" x14ac:dyDescent="0.3">
      <c r="E2000" s="79" t="s">
        <v>2282</v>
      </c>
      <c r="F2000" s="79" t="s">
        <v>1990</v>
      </c>
      <c r="G2000" s="83" t="s">
        <v>2783</v>
      </c>
    </row>
    <row r="2001" spans="5:7" x14ac:dyDescent="0.3">
      <c r="E2001" s="79" t="s">
        <v>1832</v>
      </c>
      <c r="F2001" s="79" t="s">
        <v>1990</v>
      </c>
      <c r="G2001" s="83" t="s">
        <v>2783</v>
      </c>
    </row>
    <row r="2002" spans="5:7" x14ac:dyDescent="0.3">
      <c r="E2002" s="79" t="s">
        <v>1834</v>
      </c>
      <c r="F2002" s="79" t="s">
        <v>1989</v>
      </c>
      <c r="G2002" s="83" t="s">
        <v>2783</v>
      </c>
    </row>
    <row r="2003" spans="5:7" x14ac:dyDescent="0.3">
      <c r="E2003" s="79" t="s">
        <v>2283</v>
      </c>
      <c r="F2003" s="79" t="s">
        <v>1988</v>
      </c>
      <c r="G2003" s="83" t="s">
        <v>2783</v>
      </c>
    </row>
    <row r="2004" spans="5:7" x14ac:dyDescent="0.3">
      <c r="E2004" s="79" t="s">
        <v>1903</v>
      </c>
      <c r="F2004" s="83" t="s">
        <v>1998</v>
      </c>
      <c r="G2004" s="83" t="s">
        <v>2783</v>
      </c>
    </row>
    <row r="2005" spans="5:7" x14ac:dyDescent="0.3">
      <c r="E2005" s="79" t="s">
        <v>2284</v>
      </c>
      <c r="F2005" s="83" t="s">
        <v>1999</v>
      </c>
      <c r="G2005" s="83" t="s">
        <v>2783</v>
      </c>
    </row>
    <row r="2006" spans="5:7" x14ac:dyDescent="0.3">
      <c r="E2006" s="79" t="s">
        <v>1901</v>
      </c>
      <c r="F2006" s="83" t="s">
        <v>1999</v>
      </c>
      <c r="G2006" s="83" t="s">
        <v>2783</v>
      </c>
    </row>
    <row r="2007" spans="5:7" x14ac:dyDescent="0.3">
      <c r="E2007" s="79" t="s">
        <v>1897</v>
      </c>
      <c r="F2007" s="83" t="s">
        <v>1987</v>
      </c>
      <c r="G2007" s="83" t="s">
        <v>2783</v>
      </c>
    </row>
    <row r="2008" spans="5:7" x14ac:dyDescent="0.3">
      <c r="E2008" s="79" t="s">
        <v>1898</v>
      </c>
      <c r="F2008" s="83" t="s">
        <v>1991</v>
      </c>
      <c r="G2008" s="83" t="s">
        <v>2783</v>
      </c>
    </row>
    <row r="2009" spans="5:7" x14ac:dyDescent="0.3">
      <c r="E2009" s="79" t="s">
        <v>2285</v>
      </c>
      <c r="F2009" s="83" t="s">
        <v>1994</v>
      </c>
      <c r="G2009" s="83" t="s">
        <v>2783</v>
      </c>
    </row>
    <row r="2010" spans="5:7" x14ac:dyDescent="0.3">
      <c r="E2010" s="79" t="s">
        <v>1901</v>
      </c>
      <c r="F2010" s="83" t="s">
        <v>1999</v>
      </c>
      <c r="G2010" s="83" t="s">
        <v>2783</v>
      </c>
    </row>
    <row r="2011" spans="5:7" x14ac:dyDescent="0.3">
      <c r="E2011" s="79" t="s">
        <v>1903</v>
      </c>
      <c r="F2011" s="83" t="s">
        <v>1998</v>
      </c>
      <c r="G2011" s="83" t="s">
        <v>2783</v>
      </c>
    </row>
    <row r="2012" spans="5:7" x14ac:dyDescent="0.3">
      <c r="E2012" s="79" t="s">
        <v>1909</v>
      </c>
      <c r="F2012" s="83" t="s">
        <v>1995</v>
      </c>
      <c r="G2012" s="83" t="s">
        <v>2783</v>
      </c>
    </row>
    <row r="2013" spans="5:7" x14ac:dyDescent="0.3">
      <c r="E2013" s="79" t="s">
        <v>1897</v>
      </c>
      <c r="F2013" s="83" t="s">
        <v>1987</v>
      </c>
      <c r="G2013" s="83" t="s">
        <v>2783</v>
      </c>
    </row>
    <row r="2014" spans="5:7" x14ac:dyDescent="0.3">
      <c r="E2014" s="79" t="s">
        <v>2285</v>
      </c>
      <c r="F2014" s="83" t="s">
        <v>1994</v>
      </c>
      <c r="G2014" s="83" t="s">
        <v>2783</v>
      </c>
    </row>
    <row r="2015" spans="5:7" x14ac:dyDescent="0.3">
      <c r="E2015" s="79" t="s">
        <v>1898</v>
      </c>
      <c r="F2015" s="83" t="s">
        <v>1991</v>
      </c>
      <c r="G2015" s="83" t="s">
        <v>2783</v>
      </c>
    </row>
    <row r="2016" spans="5:7" x14ac:dyDescent="0.3">
      <c r="E2016" s="79" t="s">
        <v>2284</v>
      </c>
      <c r="F2016" s="83" t="s">
        <v>1999</v>
      </c>
      <c r="G2016" s="83" t="s">
        <v>2783</v>
      </c>
    </row>
    <row r="2017" spans="5:7" x14ac:dyDescent="0.3">
      <c r="E2017" s="79" t="s">
        <v>1828</v>
      </c>
      <c r="F2017" s="79" t="s">
        <v>2027</v>
      </c>
      <c r="G2017" s="83" t="s">
        <v>2783</v>
      </c>
    </row>
    <row r="2018" spans="5:7" x14ac:dyDescent="0.3">
      <c r="E2018" s="79" t="s">
        <v>1822</v>
      </c>
      <c r="F2018" s="79" t="s">
        <v>2027</v>
      </c>
      <c r="G2018" s="83" t="s">
        <v>2783</v>
      </c>
    </row>
    <row r="2019" spans="5:7" x14ac:dyDescent="0.3">
      <c r="E2019" s="79" t="s">
        <v>1830</v>
      </c>
      <c r="F2019" s="79" t="s">
        <v>2027</v>
      </c>
      <c r="G2019" s="83" t="s">
        <v>2783</v>
      </c>
    </row>
    <row r="2020" spans="5:7" x14ac:dyDescent="0.3">
      <c r="E2020" s="79" t="s">
        <v>1829</v>
      </c>
      <c r="F2020" s="79" t="s">
        <v>1984</v>
      </c>
      <c r="G2020" s="83" t="s">
        <v>2783</v>
      </c>
    </row>
    <row r="2021" spans="5:7" x14ac:dyDescent="0.3">
      <c r="E2021" s="79" t="s">
        <v>1906</v>
      </c>
      <c r="F2021" s="79" t="s">
        <v>1986</v>
      </c>
      <c r="G2021" s="83" t="s">
        <v>2783</v>
      </c>
    </row>
    <row r="2022" spans="5:7" x14ac:dyDescent="0.3">
      <c r="E2022" s="79" t="s">
        <v>1905</v>
      </c>
      <c r="F2022" s="79" t="s">
        <v>2033</v>
      </c>
      <c r="G2022" s="83" t="s">
        <v>2783</v>
      </c>
    </row>
    <row r="2023" spans="5:7" x14ac:dyDescent="0.3">
      <c r="E2023" s="79" t="s">
        <v>1907</v>
      </c>
      <c r="F2023" s="79" t="s">
        <v>2033</v>
      </c>
      <c r="G2023" s="83" t="s">
        <v>2783</v>
      </c>
    </row>
    <row r="2024" spans="5:7" x14ac:dyDescent="0.3">
      <c r="E2024" s="79" t="s">
        <v>1827</v>
      </c>
      <c r="F2024" s="79" t="s">
        <v>2002</v>
      </c>
      <c r="G2024" s="83" t="s">
        <v>2783</v>
      </c>
    </row>
    <row r="2025" spans="5:7" x14ac:dyDescent="0.3">
      <c r="E2025" s="79" t="s">
        <v>1904</v>
      </c>
      <c r="F2025" s="79" t="s">
        <v>2004</v>
      </c>
      <c r="G2025" s="83" t="s">
        <v>2783</v>
      </c>
    </row>
    <row r="2026" spans="5:7" x14ac:dyDescent="0.3">
      <c r="E2026" s="79" t="s">
        <v>1836</v>
      </c>
      <c r="F2026" s="79" t="s">
        <v>2003</v>
      </c>
      <c r="G2026" s="83" t="s">
        <v>2783</v>
      </c>
    </row>
    <row r="2027" spans="5:7" x14ac:dyDescent="0.3">
      <c r="E2027" s="79" t="s">
        <v>1913</v>
      </c>
      <c r="F2027" s="79" t="s">
        <v>2001</v>
      </c>
      <c r="G2027" s="83" t="s">
        <v>2783</v>
      </c>
    </row>
    <row r="2028" spans="5:7" x14ac:dyDescent="0.3">
      <c r="E2028" s="79" t="s">
        <v>1911</v>
      </c>
      <c r="F2028" s="79" t="s">
        <v>1985</v>
      </c>
      <c r="G2028" s="83" t="s">
        <v>2783</v>
      </c>
    </row>
    <row r="2029" spans="5:7" x14ac:dyDescent="0.3">
      <c r="E2029" s="79" t="s">
        <v>1915</v>
      </c>
      <c r="F2029" s="79" t="s">
        <v>1596</v>
      </c>
      <c r="G2029" s="83" t="s">
        <v>2783</v>
      </c>
    </row>
    <row r="2030" spans="5:7" x14ac:dyDescent="0.3">
      <c r="E2030" s="79" t="s">
        <v>1889</v>
      </c>
      <c r="F2030" s="79" t="s">
        <v>1449</v>
      </c>
      <c r="G2030" s="83" t="s">
        <v>2783</v>
      </c>
    </row>
    <row r="2031" spans="5:7" x14ac:dyDescent="0.3">
      <c r="E2031" s="79" t="s">
        <v>1914</v>
      </c>
      <c r="F2031" s="79" t="s">
        <v>2039</v>
      </c>
      <c r="G2031" s="83" t="s">
        <v>2783</v>
      </c>
    </row>
    <row r="2032" spans="5:7" x14ac:dyDescent="0.3">
      <c r="E2032" s="79" t="s">
        <v>2331</v>
      </c>
      <c r="F2032" s="79" t="s">
        <v>2027</v>
      </c>
      <c r="G2032" s="83" t="s">
        <v>2783</v>
      </c>
    </row>
    <row r="2033" spans="5:7" x14ac:dyDescent="0.3">
      <c r="E2033" s="79" t="s">
        <v>1835</v>
      </c>
      <c r="F2033" s="79" t="s">
        <v>2027</v>
      </c>
      <c r="G2033" s="83" t="s">
        <v>2783</v>
      </c>
    </row>
    <row r="2034" spans="5:7" x14ac:dyDescent="0.3">
      <c r="E2034" s="79" t="s">
        <v>2332</v>
      </c>
      <c r="F2034" s="79" t="s">
        <v>2027</v>
      </c>
      <c r="G2034" s="83" t="s">
        <v>2783</v>
      </c>
    </row>
    <row r="2035" spans="5:7" x14ac:dyDescent="0.3">
      <c r="E2035" s="79" t="s">
        <v>1912</v>
      </c>
      <c r="F2035" s="79" t="s">
        <v>2027</v>
      </c>
      <c r="G2035" s="83" t="s">
        <v>2783</v>
      </c>
    </row>
    <row r="2036" spans="5:7" x14ac:dyDescent="0.3">
      <c r="E2036" s="79" t="s">
        <v>2335</v>
      </c>
      <c r="F2036" s="79" t="s">
        <v>1752</v>
      </c>
      <c r="G2036" s="83" t="s">
        <v>2783</v>
      </c>
    </row>
    <row r="2037" spans="5:7" x14ac:dyDescent="0.3">
      <c r="E2037" s="79" t="s">
        <v>2336</v>
      </c>
      <c r="F2037" s="79" t="s">
        <v>1752</v>
      </c>
      <c r="G2037" s="83" t="s">
        <v>2783</v>
      </c>
    </row>
    <row r="2038" spans="5:7" x14ac:dyDescent="0.3">
      <c r="E2038" s="79" t="s">
        <v>2333</v>
      </c>
      <c r="F2038" s="79" t="s">
        <v>1752</v>
      </c>
      <c r="G2038" s="83" t="s">
        <v>2783</v>
      </c>
    </row>
    <row r="2039" spans="5:7" x14ac:dyDescent="0.3">
      <c r="E2039" s="79" t="s">
        <v>2334</v>
      </c>
      <c r="F2039" s="79" t="s">
        <v>1752</v>
      </c>
      <c r="G2039" s="83" t="s">
        <v>2783</v>
      </c>
    </row>
    <row r="2040" spans="5:7" x14ac:dyDescent="0.3">
      <c r="E2040" s="79" t="s">
        <v>2339</v>
      </c>
      <c r="F2040" s="79" t="s">
        <v>1981</v>
      </c>
      <c r="G2040" s="83" t="s">
        <v>2783</v>
      </c>
    </row>
    <row r="2041" spans="5:7" x14ac:dyDescent="0.3">
      <c r="E2041" s="79" t="s">
        <v>2340</v>
      </c>
      <c r="F2041" s="79" t="s">
        <v>2027</v>
      </c>
      <c r="G2041" s="83" t="s">
        <v>2783</v>
      </c>
    </row>
    <row r="2042" spans="5:7" x14ac:dyDescent="0.3">
      <c r="E2042" s="79" t="s">
        <v>2348</v>
      </c>
      <c r="F2042" s="79" t="s">
        <v>2027</v>
      </c>
      <c r="G2042" s="83" t="s">
        <v>2783</v>
      </c>
    </row>
    <row r="2043" spans="5:7" x14ac:dyDescent="0.3">
      <c r="E2043" s="79" t="s">
        <v>2349</v>
      </c>
      <c r="F2043" s="79" t="s">
        <v>2027</v>
      </c>
      <c r="G2043" s="83" t="s">
        <v>2783</v>
      </c>
    </row>
    <row r="2044" spans="5:7" x14ac:dyDescent="0.3">
      <c r="E2044" s="79" t="s">
        <v>2352</v>
      </c>
      <c r="F2044" s="79" t="s">
        <v>2027</v>
      </c>
      <c r="G2044" s="83" t="s">
        <v>2783</v>
      </c>
    </row>
    <row r="2045" spans="5:7" x14ac:dyDescent="0.3">
      <c r="E2045" s="79" t="s">
        <v>1643</v>
      </c>
      <c r="F2045" s="79" t="s">
        <v>1643</v>
      </c>
      <c r="G2045" s="83" t="s">
        <v>2783</v>
      </c>
    </row>
    <row r="2046" spans="5:7" x14ac:dyDescent="0.3">
      <c r="E2046" s="79" t="s">
        <v>2356</v>
      </c>
      <c r="F2046" s="79" t="s">
        <v>1990</v>
      </c>
      <c r="G2046" s="83" t="s">
        <v>2783</v>
      </c>
    </row>
    <row r="2047" spans="5:7" x14ac:dyDescent="0.3">
      <c r="E2047" s="79" t="s">
        <v>2357</v>
      </c>
      <c r="F2047" s="79" t="s">
        <v>1995</v>
      </c>
      <c r="G2047" s="83" t="s">
        <v>2783</v>
      </c>
    </row>
    <row r="2048" spans="5:7" x14ac:dyDescent="0.3">
      <c r="E2048" s="79" t="s">
        <v>2360</v>
      </c>
      <c r="F2048" s="79" t="s">
        <v>1978</v>
      </c>
      <c r="G2048" s="83" t="s">
        <v>2783</v>
      </c>
    </row>
    <row r="2049" spans="5:7" x14ac:dyDescent="0.3">
      <c r="E2049" s="79" t="s">
        <v>2365</v>
      </c>
      <c r="F2049" s="79" t="s">
        <v>2365</v>
      </c>
      <c r="G2049" s="83" t="s">
        <v>2783</v>
      </c>
    </row>
    <row r="2050" spans="5:7" x14ac:dyDescent="0.3">
      <c r="E2050" s="79" t="s">
        <v>1922</v>
      </c>
      <c r="F2050" s="79" t="s">
        <v>1451</v>
      </c>
      <c r="G2050" s="83" t="s">
        <v>2783</v>
      </c>
    </row>
    <row r="2051" spans="5:7" x14ac:dyDescent="0.3">
      <c r="E2051" s="79" t="s">
        <v>1799</v>
      </c>
      <c r="F2051" s="79" t="s">
        <v>1451</v>
      </c>
      <c r="G2051" s="83" t="s">
        <v>2783</v>
      </c>
    </row>
    <row r="2052" spans="5:7" x14ac:dyDescent="0.3">
      <c r="E2052" s="79" t="s">
        <v>1921</v>
      </c>
      <c r="F2052" s="79" t="s">
        <v>1451</v>
      </c>
      <c r="G2052" s="83" t="s">
        <v>2783</v>
      </c>
    </row>
    <row r="2053" spans="5:7" x14ac:dyDescent="0.3">
      <c r="E2053" s="79" t="s">
        <v>1918</v>
      </c>
      <c r="F2053" s="79" t="s">
        <v>1451</v>
      </c>
      <c r="G2053" s="83" t="s">
        <v>2783</v>
      </c>
    </row>
    <row r="2054" spans="5:7" x14ac:dyDescent="0.3">
      <c r="E2054" s="79" t="s">
        <v>1923</v>
      </c>
      <c r="F2054" s="79" t="s">
        <v>1451</v>
      </c>
      <c r="G2054" s="83" t="s">
        <v>2783</v>
      </c>
    </row>
    <row r="2055" spans="5:7" x14ac:dyDescent="0.3">
      <c r="E2055" s="79" t="s">
        <v>1917</v>
      </c>
      <c r="F2055" s="79" t="s">
        <v>1451</v>
      </c>
      <c r="G2055" s="83" t="s">
        <v>2783</v>
      </c>
    </row>
    <row r="2056" spans="5:7" x14ac:dyDescent="0.3">
      <c r="E2056" s="79" t="s">
        <v>1791</v>
      </c>
      <c r="F2056" s="79" t="s">
        <v>1451</v>
      </c>
      <c r="G2056" s="83" t="s">
        <v>2783</v>
      </c>
    </row>
    <row r="2057" spans="5:7" x14ac:dyDescent="0.3">
      <c r="E2057" s="79" t="s">
        <v>2393</v>
      </c>
      <c r="F2057" s="79" t="s">
        <v>1451</v>
      </c>
      <c r="G2057" s="83" t="s">
        <v>2783</v>
      </c>
    </row>
    <row r="2058" spans="5:7" x14ac:dyDescent="0.3">
      <c r="E2058" s="79" t="s">
        <v>1919</v>
      </c>
      <c r="F2058" s="79" t="s">
        <v>1451</v>
      </c>
      <c r="G2058" s="83" t="s">
        <v>2783</v>
      </c>
    </row>
    <row r="2059" spans="5:7" x14ac:dyDescent="0.3">
      <c r="E2059" s="79" t="s">
        <v>1916</v>
      </c>
      <c r="F2059" s="79" t="s">
        <v>1451</v>
      </c>
      <c r="G2059" s="83" t="s">
        <v>2783</v>
      </c>
    </row>
    <row r="2060" spans="5:7" x14ac:dyDescent="0.3">
      <c r="E2060" s="79" t="s">
        <v>1412</v>
      </c>
      <c r="F2060" s="79" t="s">
        <v>1451</v>
      </c>
      <c r="G2060" s="83" t="s">
        <v>2783</v>
      </c>
    </row>
    <row r="2061" spans="5:7" x14ac:dyDescent="0.3">
      <c r="E2061" s="79" t="s">
        <v>1931</v>
      </c>
      <c r="F2061" s="79" t="s">
        <v>1451</v>
      </c>
      <c r="G2061" s="83" t="s">
        <v>2783</v>
      </c>
    </row>
    <row r="2062" spans="5:7" x14ac:dyDescent="0.3">
      <c r="E2062" s="79" t="s">
        <v>1847</v>
      </c>
      <c r="F2062" s="79" t="s">
        <v>1451</v>
      </c>
      <c r="G2062" s="83" t="s">
        <v>2783</v>
      </c>
    </row>
    <row r="2063" spans="5:7" x14ac:dyDescent="0.3">
      <c r="E2063" s="79" t="s">
        <v>1849</v>
      </c>
      <c r="F2063" s="79" t="s">
        <v>1451</v>
      </c>
      <c r="G2063" s="83" t="s">
        <v>2783</v>
      </c>
    </row>
    <row r="2064" spans="5:7" x14ac:dyDescent="0.3">
      <c r="E2064" s="79" t="s">
        <v>1929</v>
      </c>
      <c r="F2064" s="79" t="s">
        <v>1451</v>
      </c>
      <c r="G2064" s="83" t="s">
        <v>2783</v>
      </c>
    </row>
    <row r="2065" spans="5:7" x14ac:dyDescent="0.3">
      <c r="E2065" s="79" t="s">
        <v>1930</v>
      </c>
      <c r="F2065" s="79" t="s">
        <v>1451</v>
      </c>
      <c r="G2065" s="83" t="s">
        <v>2783</v>
      </c>
    </row>
    <row r="2066" spans="5:7" x14ac:dyDescent="0.3">
      <c r="E2066" s="79" t="s">
        <v>1422</v>
      </c>
      <c r="F2066" s="79" t="s">
        <v>1451</v>
      </c>
      <c r="G2066" s="83" t="s">
        <v>2783</v>
      </c>
    </row>
    <row r="2067" spans="5:7" x14ac:dyDescent="0.3">
      <c r="E2067" s="79" t="s">
        <v>1818</v>
      </c>
      <c r="F2067" s="79" t="s">
        <v>1451</v>
      </c>
      <c r="G2067" s="83" t="s">
        <v>2783</v>
      </c>
    </row>
    <row r="2068" spans="5:7" x14ac:dyDescent="0.3">
      <c r="E2068" s="79" t="s">
        <v>1924</v>
      </c>
      <c r="F2068" s="79" t="s">
        <v>1451</v>
      </c>
      <c r="G2068" s="83" t="s">
        <v>2783</v>
      </c>
    </row>
    <row r="2069" spans="5:7" x14ac:dyDescent="0.3">
      <c r="E2069" s="79" t="s">
        <v>1810</v>
      </c>
      <c r="F2069" s="79" t="s">
        <v>1451</v>
      </c>
      <c r="G2069" s="83" t="s">
        <v>2783</v>
      </c>
    </row>
    <row r="2070" spans="5:7" x14ac:dyDescent="0.3">
      <c r="E2070" s="79" t="s">
        <v>1926</v>
      </c>
      <c r="F2070" s="79" t="s">
        <v>1451</v>
      </c>
      <c r="G2070" s="83" t="s">
        <v>2783</v>
      </c>
    </row>
    <row r="2071" spans="5:7" x14ac:dyDescent="0.3">
      <c r="E2071" s="79" t="s">
        <v>1928</v>
      </c>
      <c r="F2071" s="79" t="s">
        <v>1451</v>
      </c>
      <c r="G2071" s="83" t="s">
        <v>2783</v>
      </c>
    </row>
    <row r="2072" spans="5:7" x14ac:dyDescent="0.3">
      <c r="E2072" s="79" t="s">
        <v>1927</v>
      </c>
      <c r="F2072" s="79" t="s">
        <v>1451</v>
      </c>
      <c r="G2072" s="83" t="s">
        <v>2783</v>
      </c>
    </row>
    <row r="2073" spans="5:7" x14ac:dyDescent="0.3">
      <c r="E2073" s="79" t="s">
        <v>1418</v>
      </c>
      <c r="F2073" s="79" t="s">
        <v>1451</v>
      </c>
      <c r="G2073" s="83" t="s">
        <v>2783</v>
      </c>
    </row>
    <row r="2074" spans="5:7" x14ac:dyDescent="0.3">
      <c r="E2074" s="79" t="s">
        <v>1817</v>
      </c>
      <c r="F2074" s="79" t="s">
        <v>2005</v>
      </c>
      <c r="G2074" s="83" t="s">
        <v>2783</v>
      </c>
    </row>
    <row r="2075" spans="5:7" x14ac:dyDescent="0.3">
      <c r="E2075" s="79" t="s">
        <v>1925</v>
      </c>
      <c r="F2075" s="79" t="s">
        <v>1440</v>
      </c>
      <c r="G2075" s="83" t="s">
        <v>2783</v>
      </c>
    </row>
    <row r="2076" spans="5:7" x14ac:dyDescent="0.3">
      <c r="E2076" s="79" t="s">
        <v>1920</v>
      </c>
      <c r="F2076" s="79" t="s">
        <v>1451</v>
      </c>
      <c r="G2076" s="83" t="s">
        <v>2783</v>
      </c>
    </row>
    <row r="2077" spans="5:7" x14ac:dyDescent="0.3">
      <c r="E2077" s="79" t="s">
        <v>1833</v>
      </c>
      <c r="F2077" s="79" t="s">
        <v>1996</v>
      </c>
      <c r="G2077" s="83" t="s">
        <v>2783</v>
      </c>
    </row>
    <row r="2078" spans="5:7" x14ac:dyDescent="0.3">
      <c r="E2078" s="79" t="s">
        <v>1816</v>
      </c>
      <c r="F2078" s="79" t="s">
        <v>1996</v>
      </c>
      <c r="G2078" s="83" t="s">
        <v>2783</v>
      </c>
    </row>
    <row r="2079" spans="5:7" x14ac:dyDescent="0.3">
      <c r="E2079" s="79" t="s">
        <v>1815</v>
      </c>
      <c r="F2079" s="79" t="s">
        <v>1996</v>
      </c>
      <c r="G2079" s="83" t="s">
        <v>2783</v>
      </c>
    </row>
    <row r="2080" spans="5:7" x14ac:dyDescent="0.3">
      <c r="E2080" s="79" t="s">
        <v>1899</v>
      </c>
      <c r="F2080" s="79" t="s">
        <v>1996</v>
      </c>
      <c r="G2080" s="83" t="s">
        <v>2783</v>
      </c>
    </row>
    <row r="2081" spans="5:7" x14ac:dyDescent="0.3">
      <c r="E2081" s="79" t="s">
        <v>2414</v>
      </c>
      <c r="F2081" s="79" t="s">
        <v>2027</v>
      </c>
      <c r="G2081" s="83" t="s">
        <v>2783</v>
      </c>
    </row>
    <row r="2082" spans="5:7" x14ac:dyDescent="0.3">
      <c r="E2082" s="79" t="s">
        <v>1895</v>
      </c>
      <c r="F2082" s="79" t="s">
        <v>2027</v>
      </c>
      <c r="G2082" s="83" t="s">
        <v>2783</v>
      </c>
    </row>
    <row r="2083" spans="5:7" x14ac:dyDescent="0.3">
      <c r="E2083" s="79" t="s">
        <v>2417</v>
      </c>
      <c r="F2083" s="79" t="s">
        <v>2027</v>
      </c>
      <c r="G2083" s="83" t="s">
        <v>2783</v>
      </c>
    </row>
    <row r="2084" spans="5:7" x14ac:dyDescent="0.3">
      <c r="E2084" s="79" t="s">
        <v>1910</v>
      </c>
      <c r="F2084" s="79" t="s">
        <v>1996</v>
      </c>
      <c r="G2084" s="83" t="s">
        <v>2783</v>
      </c>
    </row>
    <row r="2085" spans="5:7" x14ac:dyDescent="0.3">
      <c r="E2085" s="79" t="s">
        <v>2418</v>
      </c>
      <c r="F2085" s="79" t="s">
        <v>1996</v>
      </c>
      <c r="G2085" s="83" t="s">
        <v>2783</v>
      </c>
    </row>
    <row r="2086" spans="5:7" x14ac:dyDescent="0.3">
      <c r="E2086" s="79" t="s">
        <v>2419</v>
      </c>
      <c r="F2086" s="79" t="s">
        <v>1996</v>
      </c>
      <c r="G2086" s="83" t="s">
        <v>2783</v>
      </c>
    </row>
    <row r="2087" spans="5:7" x14ac:dyDescent="0.3">
      <c r="E2087" s="79" t="s">
        <v>2416</v>
      </c>
      <c r="F2087" s="79" t="s">
        <v>1996</v>
      </c>
      <c r="G2087" s="83" t="s">
        <v>2783</v>
      </c>
    </row>
    <row r="2088" spans="5:7" x14ac:dyDescent="0.3">
      <c r="E2088" s="79" t="s">
        <v>1932</v>
      </c>
      <c r="F2088" s="79" t="s">
        <v>1451</v>
      </c>
      <c r="G2088" s="83" t="s">
        <v>2783</v>
      </c>
    </row>
    <row r="2089" spans="5:7" x14ac:dyDescent="0.3">
      <c r="E2089" s="79" t="s">
        <v>1790</v>
      </c>
      <c r="F2089" s="79" t="s">
        <v>1451</v>
      </c>
      <c r="G2089" s="83" t="s">
        <v>2783</v>
      </c>
    </row>
    <row r="2090" spans="5:7" x14ac:dyDescent="0.3">
      <c r="E2090" s="79" t="s">
        <v>2423</v>
      </c>
      <c r="F2090" s="79" t="s">
        <v>1451</v>
      </c>
      <c r="G2090" s="83" t="s">
        <v>2783</v>
      </c>
    </row>
    <row r="2091" spans="5:7" x14ac:dyDescent="0.3">
      <c r="E2091" t="s">
        <v>2424</v>
      </c>
      <c r="F2091" t="s">
        <v>2054</v>
      </c>
      <c r="G2091" s="72" t="s">
        <v>1935</v>
      </c>
    </row>
    <row r="2092" spans="5:7" x14ac:dyDescent="0.3">
      <c r="E2092" t="s">
        <v>1435</v>
      </c>
      <c r="F2092" t="s">
        <v>1445</v>
      </c>
      <c r="G2092" s="72" t="s">
        <v>1935</v>
      </c>
    </row>
    <row r="2093" spans="5:7" x14ac:dyDescent="0.3">
      <c r="E2093" t="s">
        <v>2535</v>
      </c>
      <c r="F2093" t="s">
        <v>2056</v>
      </c>
      <c r="G2093" s="72" t="s">
        <v>1935</v>
      </c>
    </row>
    <row r="2094" spans="5:7" x14ac:dyDescent="0.3">
      <c r="E2094" t="s">
        <v>2536</v>
      </c>
      <c r="F2094" t="s">
        <v>2056</v>
      </c>
      <c r="G2094" s="72" t="s">
        <v>1935</v>
      </c>
    </row>
    <row r="2095" spans="5:7" x14ac:dyDescent="0.3">
      <c r="E2095" t="s">
        <v>2537</v>
      </c>
      <c r="F2095" t="s">
        <v>2055</v>
      </c>
      <c r="G2095" s="72" t="s">
        <v>1935</v>
      </c>
    </row>
    <row r="2096" spans="5:7" x14ac:dyDescent="0.3">
      <c r="E2096" t="s">
        <v>2538</v>
      </c>
      <c r="F2096" t="s">
        <v>2055</v>
      </c>
      <c r="G2096" s="72" t="s">
        <v>1935</v>
      </c>
    </row>
    <row r="2097" spans="5:7" x14ac:dyDescent="0.3">
      <c r="E2097" t="s">
        <v>2539</v>
      </c>
      <c r="F2097" t="s">
        <v>1596</v>
      </c>
      <c r="G2097" s="72" t="s">
        <v>1935</v>
      </c>
    </row>
    <row r="2098" spans="5:7" x14ac:dyDescent="0.3">
      <c r="E2098" t="s">
        <v>2424</v>
      </c>
      <c r="F2098" t="s">
        <v>2054</v>
      </c>
      <c r="G2098" s="72" t="s">
        <v>1935</v>
      </c>
    </row>
    <row r="2099" spans="5:7" x14ac:dyDescent="0.3">
      <c r="E2099" t="s">
        <v>2540</v>
      </c>
      <c r="F2099" t="s">
        <v>2053</v>
      </c>
      <c r="G2099" s="72" t="s">
        <v>1935</v>
      </c>
    </row>
    <row r="2100" spans="5:7" x14ac:dyDescent="0.3">
      <c r="E2100" t="s">
        <v>2541</v>
      </c>
      <c r="F2100" t="s">
        <v>2106</v>
      </c>
      <c r="G2100" s="72" t="s">
        <v>1935</v>
      </c>
    </row>
    <row r="2101" spans="5:7" x14ac:dyDescent="0.3">
      <c r="E2101" t="s">
        <v>2542</v>
      </c>
      <c r="F2101" t="s">
        <v>2051</v>
      </c>
      <c r="G2101" s="72" t="s">
        <v>1935</v>
      </c>
    </row>
    <row r="2102" spans="5:7" x14ac:dyDescent="0.3">
      <c r="E2102" t="s">
        <v>2542</v>
      </c>
      <c r="F2102" t="s">
        <v>2051</v>
      </c>
      <c r="G2102" s="72" t="s">
        <v>1935</v>
      </c>
    </row>
    <row r="2103" spans="5:7" x14ac:dyDescent="0.3">
      <c r="E2103" t="s">
        <v>1435</v>
      </c>
      <c r="F2103" t="s">
        <v>1445</v>
      </c>
      <c r="G2103" s="72" t="s">
        <v>1935</v>
      </c>
    </row>
    <row r="2104" spans="5:7" x14ac:dyDescent="0.3">
      <c r="E2104" t="s">
        <v>2546</v>
      </c>
      <c r="F2104" t="s">
        <v>2057</v>
      </c>
      <c r="G2104" s="72" t="s">
        <v>1935</v>
      </c>
    </row>
    <row r="2105" spans="5:7" x14ac:dyDescent="0.3">
      <c r="E2105" t="s">
        <v>2585</v>
      </c>
      <c r="F2105" t="s">
        <v>2051</v>
      </c>
      <c r="G2105" s="72" t="s">
        <v>1935</v>
      </c>
    </row>
    <row r="2106" spans="5:7" x14ac:dyDescent="0.3">
      <c r="E2106" t="s">
        <v>1957</v>
      </c>
      <c r="F2106" t="s">
        <v>2056</v>
      </c>
      <c r="G2106" s="72" t="s">
        <v>1935</v>
      </c>
    </row>
    <row r="2107" spans="5:7" x14ac:dyDescent="0.3">
      <c r="E2107" t="s">
        <v>2539</v>
      </c>
      <c r="F2107" t="s">
        <v>1596</v>
      </c>
      <c r="G2107" s="72" t="s">
        <v>1935</v>
      </c>
    </row>
    <row r="2108" spans="5:7" x14ac:dyDescent="0.3">
      <c r="E2108" t="s">
        <v>2610</v>
      </c>
      <c r="F2108" t="s">
        <v>1754</v>
      </c>
      <c r="G2108" s="72" t="s">
        <v>1935</v>
      </c>
    </row>
    <row r="2109" spans="5:7" x14ac:dyDescent="0.3">
      <c r="E2109" t="s">
        <v>2615</v>
      </c>
      <c r="F2109" t="s">
        <v>2091</v>
      </c>
      <c r="G2109" s="72" t="s">
        <v>1935</v>
      </c>
    </row>
    <row r="2110" spans="5:7" x14ac:dyDescent="0.3">
      <c r="E2110" t="s">
        <v>2618</v>
      </c>
      <c r="F2110" t="s">
        <v>1751</v>
      </c>
      <c r="G2110" s="72" t="s">
        <v>1935</v>
      </c>
    </row>
    <row r="2111" spans="5:7" x14ac:dyDescent="0.3">
      <c r="E2111" t="s">
        <v>2610</v>
      </c>
      <c r="F2111" t="s">
        <v>1754</v>
      </c>
      <c r="G2111" s="72" t="s">
        <v>1935</v>
      </c>
    </row>
    <row r="2112" spans="5:7" x14ac:dyDescent="0.3">
      <c r="E2112" t="s">
        <v>2241</v>
      </c>
      <c r="F2112" t="s">
        <v>1683</v>
      </c>
      <c r="G2112" s="72" t="s">
        <v>1935</v>
      </c>
    </row>
    <row r="2113" spans="5:7" x14ac:dyDescent="0.3">
      <c r="E2113" t="s">
        <v>2622</v>
      </c>
      <c r="F2113" t="s">
        <v>2056</v>
      </c>
      <c r="G2113" s="72" t="s">
        <v>1935</v>
      </c>
    </row>
    <row r="2114" spans="5:7" x14ac:dyDescent="0.3">
      <c r="E2114" t="s">
        <v>2644</v>
      </c>
      <c r="F2114" t="s">
        <v>2051</v>
      </c>
      <c r="G2114" s="72" t="s">
        <v>1935</v>
      </c>
    </row>
    <row r="2115" spans="5:7" x14ac:dyDescent="0.3">
      <c r="E2115" t="s">
        <v>2645</v>
      </c>
      <c r="F2115" t="s">
        <v>2051</v>
      </c>
      <c r="G2115" s="72" t="s">
        <v>1935</v>
      </c>
    </row>
    <row r="2116" spans="5:7" x14ac:dyDescent="0.3">
      <c r="E2116" t="s">
        <v>2652</v>
      </c>
      <c r="F2116" t="s">
        <v>2051</v>
      </c>
      <c r="G2116" s="72" t="s">
        <v>1935</v>
      </c>
    </row>
    <row r="2117" spans="5:7" x14ac:dyDescent="0.3">
      <c r="E2117" t="s">
        <v>2548</v>
      </c>
      <c r="F2117" t="s">
        <v>2091</v>
      </c>
      <c r="G2117" s="72" t="s">
        <v>1935</v>
      </c>
    </row>
    <row r="2118" spans="5:7" x14ac:dyDescent="0.3">
      <c r="E2118" t="s">
        <v>2618</v>
      </c>
      <c r="F2118" t="s">
        <v>1751</v>
      </c>
      <c r="G2118" s="72" t="s">
        <v>1935</v>
      </c>
    </row>
    <row r="2119" spans="5:7" x14ac:dyDescent="0.3">
      <c r="E2119" t="s">
        <v>2670</v>
      </c>
      <c r="F2119" t="s">
        <v>1391</v>
      </c>
      <c r="G2119" s="72" t="s">
        <v>1935</v>
      </c>
    </row>
    <row r="2120" spans="5:7" x14ac:dyDescent="0.3">
      <c r="E2120" t="s">
        <v>2679</v>
      </c>
      <c r="F2120" t="s">
        <v>2051</v>
      </c>
      <c r="G2120" s="72" t="s">
        <v>1935</v>
      </c>
    </row>
    <row r="2121" spans="5:7" x14ac:dyDescent="0.3">
      <c r="E2121" t="s">
        <v>2578</v>
      </c>
      <c r="F2121" t="s">
        <v>2051</v>
      </c>
      <c r="G2121" s="72" t="s">
        <v>1935</v>
      </c>
    </row>
    <row r="2122" spans="5:7" x14ac:dyDescent="0.3">
      <c r="E2122" t="s">
        <v>2547</v>
      </c>
      <c r="F2122" t="s">
        <v>2057</v>
      </c>
      <c r="G2122" s="72" t="s">
        <v>1935</v>
      </c>
    </row>
    <row r="2123" spans="5:7" x14ac:dyDescent="0.3">
      <c r="E2123" t="s">
        <v>2677</v>
      </c>
      <c r="F2123" t="s">
        <v>2051</v>
      </c>
      <c r="G2123" s="72" t="s">
        <v>1935</v>
      </c>
    </row>
    <row r="2124" spans="5:7" x14ac:dyDescent="0.3">
      <c r="E2124" t="s">
        <v>2687</v>
      </c>
      <c r="F2124" t="s">
        <v>2053</v>
      </c>
      <c r="G2124" s="72" t="s">
        <v>1935</v>
      </c>
    </row>
    <row r="2125" spans="5:7" x14ac:dyDescent="0.3">
      <c r="E2125" t="s">
        <v>2221</v>
      </c>
      <c r="F2125" t="s">
        <v>2051</v>
      </c>
      <c r="G2125" s="72" t="s">
        <v>1935</v>
      </c>
    </row>
    <row r="2126" spans="5:7" x14ac:dyDescent="0.3">
      <c r="E2126" t="s">
        <v>1957</v>
      </c>
      <c r="F2126" t="s">
        <v>2056</v>
      </c>
      <c r="G2126" s="72" t="s">
        <v>1935</v>
      </c>
    </row>
    <row r="2127" spans="5:7" x14ac:dyDescent="0.3">
      <c r="E2127" t="s">
        <v>2537</v>
      </c>
      <c r="F2127" t="s">
        <v>2055</v>
      </c>
      <c r="G2127" s="72" t="s">
        <v>1935</v>
      </c>
    </row>
    <row r="2128" spans="5:7" x14ac:dyDescent="0.3">
      <c r="E2128" t="s">
        <v>2687</v>
      </c>
      <c r="F2128" t="s">
        <v>2053</v>
      </c>
      <c r="G2128" s="72" t="s">
        <v>1935</v>
      </c>
    </row>
    <row r="2129" spans="5:7" x14ac:dyDescent="0.3">
      <c r="E2129" t="s">
        <v>2665</v>
      </c>
      <c r="F2129" t="s">
        <v>2091</v>
      </c>
      <c r="G2129" s="72" t="s">
        <v>1935</v>
      </c>
    </row>
    <row r="2130" spans="5:7" x14ac:dyDescent="0.3">
      <c r="E2130" t="s">
        <v>2687</v>
      </c>
      <c r="F2130" t="s">
        <v>2053</v>
      </c>
      <c r="G2130" s="72" t="s">
        <v>1935</v>
      </c>
    </row>
    <row r="2131" spans="5:7" x14ac:dyDescent="0.3">
      <c r="E2131" t="s">
        <v>2547</v>
      </c>
      <c r="F2131" t="s">
        <v>2051</v>
      </c>
      <c r="G2131" s="72" t="s">
        <v>1935</v>
      </c>
    </row>
    <row r="2132" spans="5:7" x14ac:dyDescent="0.3">
      <c r="E2132" t="s">
        <v>2645</v>
      </c>
      <c r="F2132" t="s">
        <v>2051</v>
      </c>
      <c r="G2132" s="72" t="s">
        <v>1935</v>
      </c>
    </row>
    <row r="2133" spans="5:7" x14ac:dyDescent="0.3">
      <c r="E2133" t="s">
        <v>2677</v>
      </c>
      <c r="F2133" t="s">
        <v>2051</v>
      </c>
      <c r="G2133" s="72" t="s">
        <v>1935</v>
      </c>
    </row>
    <row r="2134" spans="5:7" x14ac:dyDescent="0.3">
      <c r="E2134" t="s">
        <v>2718</v>
      </c>
      <c r="F2134" t="s">
        <v>2051</v>
      </c>
      <c r="G2134" s="72" t="s">
        <v>1935</v>
      </c>
    </row>
    <row r="2135" spans="5:7" x14ac:dyDescent="0.3">
      <c r="E2135" t="s">
        <v>2718</v>
      </c>
      <c r="F2135" t="s">
        <v>2051</v>
      </c>
      <c r="G2135" s="72" t="s">
        <v>1935</v>
      </c>
    </row>
    <row r="2136" spans="5:7" x14ac:dyDescent="0.3">
      <c r="E2136" t="s">
        <v>2729</v>
      </c>
      <c r="F2136" t="s">
        <v>2051</v>
      </c>
      <c r="G2136" s="72" t="s">
        <v>1935</v>
      </c>
    </row>
    <row r="2137" spans="5:7" x14ac:dyDescent="0.3">
      <c r="E2137" t="s">
        <v>2729</v>
      </c>
      <c r="F2137" t="s">
        <v>2051</v>
      </c>
      <c r="G2137" s="72" t="s">
        <v>1935</v>
      </c>
    </row>
    <row r="2138" spans="5:7" x14ac:dyDescent="0.3">
      <c r="E2138" t="s">
        <v>2735</v>
      </c>
      <c r="F2138" t="s">
        <v>2051</v>
      </c>
      <c r="G2138" s="72" t="s">
        <v>1935</v>
      </c>
    </row>
    <row r="2139" spans="5:7" x14ac:dyDescent="0.3">
      <c r="E2139" t="s">
        <v>2149</v>
      </c>
      <c r="F2139" t="s">
        <v>1407</v>
      </c>
      <c r="G2139" s="72" t="s">
        <v>1935</v>
      </c>
    </row>
    <row r="2140" spans="5:7" x14ac:dyDescent="0.3">
      <c r="E2140" t="s">
        <v>2730</v>
      </c>
      <c r="F2140" t="s">
        <v>2051</v>
      </c>
      <c r="G2140" s="72" t="s">
        <v>1935</v>
      </c>
    </row>
    <row r="2141" spans="5:7" x14ac:dyDescent="0.3">
      <c r="E2141" t="s">
        <v>2775</v>
      </c>
      <c r="F2141" t="s">
        <v>2051</v>
      </c>
      <c r="G2141" s="72" t="s">
        <v>1935</v>
      </c>
    </row>
    <row r="2142" spans="5:7" x14ac:dyDescent="0.3">
      <c r="E2142" t="s">
        <v>2772</v>
      </c>
      <c r="F2142" t="s">
        <v>2057</v>
      </c>
      <c r="G2142" s="72" t="s">
        <v>1935</v>
      </c>
    </row>
    <row r="2143" spans="5:7" x14ac:dyDescent="0.3">
      <c r="E2143" t="s">
        <v>2778</v>
      </c>
      <c r="F2143" t="s">
        <v>1658</v>
      </c>
      <c r="G2143" s="72" t="s">
        <v>1935</v>
      </c>
    </row>
    <row r="2144" spans="5:7" x14ac:dyDescent="0.3">
      <c r="E2144" t="s">
        <v>2778</v>
      </c>
      <c r="F2144" t="s">
        <v>1658</v>
      </c>
      <c r="G2144" s="72" t="s">
        <v>1935</v>
      </c>
    </row>
    <row r="2145" spans="5:7" x14ac:dyDescent="0.3">
      <c r="E2145" t="s">
        <v>2781</v>
      </c>
      <c r="F2145" t="s">
        <v>2051</v>
      </c>
      <c r="G2145" s="72" t="s">
        <v>1935</v>
      </c>
    </row>
    <row r="2146" spans="5:7" x14ac:dyDescent="0.3">
      <c r="E2146" t="s">
        <v>2158</v>
      </c>
      <c r="F2146" t="s">
        <v>2054</v>
      </c>
      <c r="G2146" s="72" t="s">
        <v>1935</v>
      </c>
    </row>
    <row r="2147" spans="5:7" x14ac:dyDescent="0.3">
      <c r="E2147" t="s">
        <v>2159</v>
      </c>
      <c r="F2147" t="s">
        <v>1621</v>
      </c>
      <c r="G2147" s="72" t="s">
        <v>1935</v>
      </c>
    </row>
    <row r="2148" spans="5:7" x14ac:dyDescent="0.3">
      <c r="E2148" t="s">
        <v>2162</v>
      </c>
      <c r="F2148" t="s">
        <v>2074</v>
      </c>
      <c r="G2148" s="72" t="s">
        <v>1935</v>
      </c>
    </row>
    <row r="2149" spans="5:7" x14ac:dyDescent="0.3">
      <c r="E2149" t="s">
        <v>2163</v>
      </c>
      <c r="F2149" t="s">
        <v>2079</v>
      </c>
      <c r="G2149" s="72" t="s">
        <v>1935</v>
      </c>
    </row>
    <row r="2150" spans="5:7" x14ac:dyDescent="0.3">
      <c r="E2150" t="s">
        <v>1806</v>
      </c>
      <c r="F2150" t="s">
        <v>1436</v>
      </c>
      <c r="G2150" s="72" t="s">
        <v>1935</v>
      </c>
    </row>
    <row r="2151" spans="5:7" x14ac:dyDescent="0.3">
      <c r="E2151" t="s">
        <v>2164</v>
      </c>
      <c r="F2151" t="s">
        <v>2046</v>
      </c>
      <c r="G2151" s="72" t="s">
        <v>1935</v>
      </c>
    </row>
    <row r="2152" spans="5:7" x14ac:dyDescent="0.3">
      <c r="E2152" t="s">
        <v>2165</v>
      </c>
      <c r="F2152" t="s">
        <v>2046</v>
      </c>
      <c r="G2152" s="72" t="s">
        <v>1935</v>
      </c>
    </row>
    <row r="2153" spans="5:7" x14ac:dyDescent="0.3">
      <c r="E2153" s="79" t="s">
        <v>1807</v>
      </c>
      <c r="F2153" t="s">
        <v>1609</v>
      </c>
      <c r="G2153" s="72" t="s">
        <v>1935</v>
      </c>
    </row>
    <row r="2154" spans="5:7" x14ac:dyDescent="0.3">
      <c r="E2154" t="s">
        <v>2243</v>
      </c>
      <c r="F2154" t="s">
        <v>1713</v>
      </c>
      <c r="G2154" s="72" t="s">
        <v>1935</v>
      </c>
    </row>
    <row r="2155" spans="5:7" x14ac:dyDescent="0.3">
      <c r="E2155" t="s">
        <v>2247</v>
      </c>
      <c r="F2155" t="s">
        <v>1773</v>
      </c>
      <c r="G2155" s="72" t="s">
        <v>1935</v>
      </c>
    </row>
    <row r="2156" spans="5:7" x14ac:dyDescent="0.3">
      <c r="E2156" t="s">
        <v>2240</v>
      </c>
      <c r="F2156" t="s">
        <v>2051</v>
      </c>
      <c r="G2156" s="72" t="s">
        <v>1935</v>
      </c>
    </row>
    <row r="2157" spans="5:7" x14ac:dyDescent="0.3">
      <c r="E2157" s="79" t="s">
        <v>2257</v>
      </c>
      <c r="F2157" t="s">
        <v>1596</v>
      </c>
      <c r="G2157" s="72" t="s">
        <v>1935</v>
      </c>
    </row>
    <row r="2158" spans="5:7" x14ac:dyDescent="0.3">
      <c r="E2158" s="79" t="s">
        <v>2258</v>
      </c>
      <c r="F2158" t="s">
        <v>2051</v>
      </c>
      <c r="G2158" s="72" t="s">
        <v>1935</v>
      </c>
    </row>
    <row r="2159" spans="5:7" x14ac:dyDescent="0.3">
      <c r="E2159" s="79" t="s">
        <v>2259</v>
      </c>
      <c r="F2159" t="s">
        <v>2051</v>
      </c>
      <c r="G2159" s="72" t="s">
        <v>1935</v>
      </c>
    </row>
    <row r="2160" spans="5:7" x14ac:dyDescent="0.3">
      <c r="E2160" t="s">
        <v>2238</v>
      </c>
      <c r="F2160" t="s">
        <v>1673</v>
      </c>
      <c r="G2160" s="72" t="s">
        <v>1935</v>
      </c>
    </row>
    <row r="2161" spans="5:7" x14ac:dyDescent="0.3">
      <c r="E2161" s="79" t="s">
        <v>1837</v>
      </c>
      <c r="F2161" t="s">
        <v>1439</v>
      </c>
      <c r="G2161" s="72" t="s">
        <v>1935</v>
      </c>
    </row>
    <row r="2162" spans="5:7" x14ac:dyDescent="0.3">
      <c r="E2162" t="s">
        <v>2300</v>
      </c>
      <c r="F2162" t="s">
        <v>2054</v>
      </c>
      <c r="G2162" s="72" t="s">
        <v>1935</v>
      </c>
    </row>
    <row r="2163" spans="5:7" x14ac:dyDescent="0.3">
      <c r="E2163" t="s">
        <v>1937</v>
      </c>
      <c r="F2163" t="s">
        <v>2055</v>
      </c>
      <c r="G2163" s="72" t="s">
        <v>1935</v>
      </c>
    </row>
    <row r="2164" spans="5:7" x14ac:dyDescent="0.3">
      <c r="E2164" t="s">
        <v>1936</v>
      </c>
      <c r="F2164" t="s">
        <v>2070</v>
      </c>
      <c r="G2164" s="72" t="s">
        <v>1935</v>
      </c>
    </row>
    <row r="2165" spans="5:7" x14ac:dyDescent="0.3">
      <c r="E2165" t="s">
        <v>2066</v>
      </c>
      <c r="F2165" t="s">
        <v>2066</v>
      </c>
      <c r="G2165" s="72" t="s">
        <v>1935</v>
      </c>
    </row>
    <row r="2166" spans="5:7" x14ac:dyDescent="0.3">
      <c r="E2166" t="s">
        <v>2301</v>
      </c>
      <c r="F2166" t="s">
        <v>1620</v>
      </c>
      <c r="G2166" s="72" t="s">
        <v>1935</v>
      </c>
    </row>
    <row r="2167" spans="5:7" x14ac:dyDescent="0.3">
      <c r="E2167" t="s">
        <v>1939</v>
      </c>
      <c r="F2167" t="s">
        <v>2053</v>
      </c>
      <c r="G2167" s="72" t="s">
        <v>1935</v>
      </c>
    </row>
    <row r="2168" spans="5:7" x14ac:dyDescent="0.3">
      <c r="E2168" t="s">
        <v>1938</v>
      </c>
      <c r="F2168" t="s">
        <v>2318</v>
      </c>
      <c r="G2168" s="72" t="s">
        <v>1935</v>
      </c>
    </row>
    <row r="2169" spans="5:7" x14ac:dyDescent="0.3">
      <c r="E2169" t="s">
        <v>2067</v>
      </c>
      <c r="F2169" t="s">
        <v>2067</v>
      </c>
      <c r="G2169" s="72" t="s">
        <v>1935</v>
      </c>
    </row>
    <row r="2170" spans="5:7" x14ac:dyDescent="0.3">
      <c r="E2170" t="s">
        <v>1968</v>
      </c>
      <c r="F2170" t="s">
        <v>2051</v>
      </c>
      <c r="G2170" s="72" t="s">
        <v>1935</v>
      </c>
    </row>
    <row r="2171" spans="5:7" x14ac:dyDescent="0.3">
      <c r="E2171" t="s">
        <v>1942</v>
      </c>
      <c r="F2171" t="s">
        <v>2051</v>
      </c>
      <c r="G2171" s="72" t="s">
        <v>1935</v>
      </c>
    </row>
    <row r="2172" spans="5:7" x14ac:dyDescent="0.3">
      <c r="E2172" s="79" t="s">
        <v>1861</v>
      </c>
      <c r="F2172" t="s">
        <v>2318</v>
      </c>
      <c r="G2172" s="72" t="s">
        <v>1935</v>
      </c>
    </row>
    <row r="2173" spans="5:7" x14ac:dyDescent="0.3">
      <c r="E2173" t="s">
        <v>2346</v>
      </c>
      <c r="F2173" t="s">
        <v>1391</v>
      </c>
      <c r="G2173" s="72" t="s">
        <v>1935</v>
      </c>
    </row>
    <row r="2174" spans="5:7" x14ac:dyDescent="0.3">
      <c r="E2174" t="s">
        <v>1442</v>
      </c>
      <c r="F2174" t="s">
        <v>1442</v>
      </c>
      <c r="G2174" s="72" t="s">
        <v>1935</v>
      </c>
    </row>
    <row r="2175" spans="5:7" x14ac:dyDescent="0.3">
      <c r="E2175" t="s">
        <v>1731</v>
      </c>
      <c r="F2175" t="s">
        <v>1731</v>
      </c>
      <c r="G2175" s="72" t="s">
        <v>1935</v>
      </c>
    </row>
    <row r="2176" spans="5:7" x14ac:dyDescent="0.3">
      <c r="E2176" t="s">
        <v>1644</v>
      </c>
      <c r="F2176" t="s">
        <v>1644</v>
      </c>
      <c r="G2176" s="72" t="s">
        <v>1935</v>
      </c>
    </row>
    <row r="2177" spans="5:7" x14ac:dyDescent="0.3">
      <c r="E2177" t="s">
        <v>1947</v>
      </c>
      <c r="F2177" t="s">
        <v>1683</v>
      </c>
      <c r="G2177" s="72" t="s">
        <v>1935</v>
      </c>
    </row>
    <row r="2178" spans="5:7" x14ac:dyDescent="0.3">
      <c r="E2178" t="s">
        <v>2330</v>
      </c>
      <c r="F2178" t="s">
        <v>2046</v>
      </c>
      <c r="G2178" s="72" t="s">
        <v>1935</v>
      </c>
    </row>
    <row r="2179" spans="5:7" x14ac:dyDescent="0.3">
      <c r="E2179" t="s">
        <v>2359</v>
      </c>
      <c r="F2179" t="s">
        <v>1658</v>
      </c>
      <c r="G2179" s="72" t="s">
        <v>1935</v>
      </c>
    </row>
    <row r="2180" spans="5:7" x14ac:dyDescent="0.3">
      <c r="E2180" s="79" t="s">
        <v>1452</v>
      </c>
      <c r="F2180" t="s">
        <v>1452</v>
      </c>
      <c r="G2180" s="72" t="s">
        <v>1935</v>
      </c>
    </row>
    <row r="2181" spans="5:7" x14ac:dyDescent="0.3">
      <c r="E2181" t="s">
        <v>2366</v>
      </c>
      <c r="F2181" t="s">
        <v>2051</v>
      </c>
      <c r="G2181" s="72" t="s">
        <v>1935</v>
      </c>
    </row>
    <row r="2182" spans="5:7" x14ac:dyDescent="0.3">
      <c r="E2182" t="s">
        <v>1857</v>
      </c>
      <c r="F2182" t="s">
        <v>2019</v>
      </c>
      <c r="G2182" s="72" t="s">
        <v>1935</v>
      </c>
    </row>
    <row r="2183" spans="5:7" x14ac:dyDescent="0.3">
      <c r="E2183" t="s">
        <v>2304</v>
      </c>
      <c r="F2183" t="s">
        <v>2069</v>
      </c>
      <c r="G2183" s="72" t="s">
        <v>1935</v>
      </c>
    </row>
    <row r="2184" spans="5:7" x14ac:dyDescent="0.3">
      <c r="E2184" t="s">
        <v>2395</v>
      </c>
      <c r="F2184" t="s">
        <v>1619</v>
      </c>
      <c r="G2184" s="72" t="s">
        <v>1935</v>
      </c>
    </row>
    <row r="2185" spans="5:7" x14ac:dyDescent="0.3">
      <c r="E2185" t="s">
        <v>2324</v>
      </c>
      <c r="F2185" t="s">
        <v>2067</v>
      </c>
      <c r="G2185" s="72" t="s">
        <v>1935</v>
      </c>
    </row>
    <row r="2186" spans="5:7" x14ac:dyDescent="0.3">
      <c r="E2186" s="79" t="s">
        <v>1944</v>
      </c>
      <c r="F2186" t="s">
        <v>1442</v>
      </c>
      <c r="G2186" s="72" t="s">
        <v>1935</v>
      </c>
    </row>
    <row r="2187" spans="5:7" x14ac:dyDescent="0.3">
      <c r="E2187" s="79" t="s">
        <v>1943</v>
      </c>
      <c r="F2187" t="s">
        <v>1644</v>
      </c>
      <c r="G2187" s="72" t="s">
        <v>1935</v>
      </c>
    </row>
    <row r="2188" spans="5:7" x14ac:dyDescent="0.3">
      <c r="E2188" s="79" t="s">
        <v>1948</v>
      </c>
      <c r="F2188" t="s">
        <v>1683</v>
      </c>
      <c r="G2188" s="72" t="s">
        <v>1935</v>
      </c>
    </row>
    <row r="2189" spans="5:7" x14ac:dyDescent="0.3">
      <c r="E2189" s="79" t="s">
        <v>1950</v>
      </c>
      <c r="F2189" t="s">
        <v>1683</v>
      </c>
      <c r="G2189" s="72" t="s">
        <v>1935</v>
      </c>
    </row>
    <row r="2190" spans="5:7" x14ac:dyDescent="0.3">
      <c r="E2190" s="79" t="s">
        <v>2422</v>
      </c>
      <c r="F2190" t="s">
        <v>1731</v>
      </c>
      <c r="G2190" s="72" t="s">
        <v>1935</v>
      </c>
    </row>
    <row r="2191" spans="5:7" x14ac:dyDescent="0.3">
      <c r="E2191" t="s">
        <v>1962</v>
      </c>
      <c r="F2191" t="s">
        <v>1962</v>
      </c>
      <c r="G2191" s="72" t="s">
        <v>1935</v>
      </c>
    </row>
    <row r="2192" spans="5:7" x14ac:dyDescent="0.3">
      <c r="E2192" s="79" t="s">
        <v>1940</v>
      </c>
      <c r="F2192" s="79" t="s">
        <v>1940</v>
      </c>
      <c r="G2192" s="72" t="s">
        <v>1935</v>
      </c>
    </row>
    <row r="2193" spans="5:7" x14ac:dyDescent="0.3">
      <c r="E2193" t="s">
        <v>2424</v>
      </c>
      <c r="F2193" t="s">
        <v>2054</v>
      </c>
      <c r="G2193" s="72" t="s">
        <v>1945</v>
      </c>
    </row>
    <row r="2194" spans="5:7" x14ac:dyDescent="0.3">
      <c r="E2194" t="s">
        <v>2449</v>
      </c>
      <c r="F2194" t="s">
        <v>2057</v>
      </c>
      <c r="G2194" s="72" t="s">
        <v>1945</v>
      </c>
    </row>
    <row r="2195" spans="5:7" x14ac:dyDescent="0.3">
      <c r="E2195" t="s">
        <v>2241</v>
      </c>
      <c r="F2195" t="s">
        <v>1683</v>
      </c>
      <c r="G2195" s="72" t="s">
        <v>1945</v>
      </c>
    </row>
    <row r="2196" spans="5:7" x14ac:dyDescent="0.3">
      <c r="E2196" t="s">
        <v>2241</v>
      </c>
      <c r="F2196" t="s">
        <v>1683</v>
      </c>
      <c r="G2196" s="72" t="s">
        <v>1945</v>
      </c>
    </row>
    <row r="2197" spans="5:7" x14ac:dyDescent="0.3">
      <c r="E2197" t="s">
        <v>2535</v>
      </c>
      <c r="F2197" t="s">
        <v>2056</v>
      </c>
      <c r="G2197" s="72" t="s">
        <v>1945</v>
      </c>
    </row>
    <row r="2198" spans="5:7" x14ac:dyDescent="0.3">
      <c r="E2198" t="s">
        <v>1957</v>
      </c>
      <c r="F2198" t="s">
        <v>2056</v>
      </c>
      <c r="G2198" s="72" t="s">
        <v>1945</v>
      </c>
    </row>
    <row r="2199" spans="5:7" x14ac:dyDescent="0.3">
      <c r="E2199" t="s">
        <v>2536</v>
      </c>
      <c r="F2199" t="s">
        <v>2056</v>
      </c>
      <c r="G2199" s="72" t="s">
        <v>1945</v>
      </c>
    </row>
    <row r="2200" spans="5:7" x14ac:dyDescent="0.3">
      <c r="E2200" t="s">
        <v>2543</v>
      </c>
      <c r="F2200" t="s">
        <v>2057</v>
      </c>
      <c r="G2200" s="72" t="s">
        <v>1945</v>
      </c>
    </row>
    <row r="2201" spans="5:7" x14ac:dyDescent="0.3">
      <c r="E2201" t="s">
        <v>2149</v>
      </c>
      <c r="F2201" t="s">
        <v>1407</v>
      </c>
      <c r="G2201" s="72" t="s">
        <v>1945</v>
      </c>
    </row>
    <row r="2202" spans="5:7" x14ac:dyDescent="0.3">
      <c r="E2202" t="s">
        <v>2149</v>
      </c>
      <c r="F2202" t="s">
        <v>1407</v>
      </c>
      <c r="G2202" s="72" t="s">
        <v>1945</v>
      </c>
    </row>
    <row r="2203" spans="5:7" x14ac:dyDescent="0.3">
      <c r="E2203" t="s">
        <v>2539</v>
      </c>
      <c r="F2203" t="s">
        <v>1598</v>
      </c>
      <c r="G2203" s="72" t="s">
        <v>1945</v>
      </c>
    </row>
    <row r="2204" spans="5:7" x14ac:dyDescent="0.3">
      <c r="E2204" t="s">
        <v>2544</v>
      </c>
      <c r="F2204" t="s">
        <v>1437</v>
      </c>
      <c r="G2204" s="72" t="s">
        <v>1945</v>
      </c>
    </row>
    <row r="2205" spans="5:7" x14ac:dyDescent="0.3">
      <c r="E2205" t="s">
        <v>2545</v>
      </c>
      <c r="F2205" t="s">
        <v>1437</v>
      </c>
      <c r="G2205" s="72" t="s">
        <v>1945</v>
      </c>
    </row>
    <row r="2206" spans="5:7" x14ac:dyDescent="0.3">
      <c r="E2206" t="s">
        <v>2424</v>
      </c>
      <c r="F2206" t="s">
        <v>2054</v>
      </c>
      <c r="G2206" s="72" t="s">
        <v>1945</v>
      </c>
    </row>
    <row r="2207" spans="5:7" x14ac:dyDescent="0.3">
      <c r="E2207" t="s">
        <v>2546</v>
      </c>
      <c r="F2207" t="s">
        <v>2057</v>
      </c>
      <c r="G2207" s="72" t="s">
        <v>1945</v>
      </c>
    </row>
    <row r="2208" spans="5:7" x14ac:dyDescent="0.3">
      <c r="E2208" t="s">
        <v>2546</v>
      </c>
      <c r="F2208" t="s">
        <v>2057</v>
      </c>
      <c r="G2208" s="72" t="s">
        <v>1945</v>
      </c>
    </row>
    <row r="2209" spans="5:7" x14ac:dyDescent="0.3">
      <c r="E2209" t="s">
        <v>2547</v>
      </c>
      <c r="F2209" t="s">
        <v>2057</v>
      </c>
      <c r="G2209" s="72" t="s">
        <v>1945</v>
      </c>
    </row>
    <row r="2210" spans="5:7" x14ac:dyDescent="0.3">
      <c r="E2210" t="s">
        <v>2548</v>
      </c>
      <c r="F2210" t="s">
        <v>2107</v>
      </c>
      <c r="G2210" s="72" t="s">
        <v>1945</v>
      </c>
    </row>
    <row r="2211" spans="5:7" x14ac:dyDescent="0.3">
      <c r="E2211" t="s">
        <v>2540</v>
      </c>
      <c r="F2211" t="s">
        <v>1556</v>
      </c>
      <c r="G2211" s="72" t="s">
        <v>1945</v>
      </c>
    </row>
    <row r="2212" spans="5:7" x14ac:dyDescent="0.3">
      <c r="E2212" t="s">
        <v>2549</v>
      </c>
      <c r="F2212" t="s">
        <v>1406</v>
      </c>
      <c r="G2212" s="72" t="s">
        <v>1945</v>
      </c>
    </row>
    <row r="2213" spans="5:7" x14ac:dyDescent="0.3">
      <c r="E2213" t="s">
        <v>2550</v>
      </c>
      <c r="F2213" t="s">
        <v>2057</v>
      </c>
      <c r="G2213" s="72" t="s">
        <v>1945</v>
      </c>
    </row>
    <row r="2214" spans="5:7" x14ac:dyDescent="0.3">
      <c r="E2214" t="s">
        <v>2542</v>
      </c>
      <c r="F2214" t="s">
        <v>2057</v>
      </c>
      <c r="G2214" s="72" t="s">
        <v>1945</v>
      </c>
    </row>
    <row r="2215" spans="5:7" x14ac:dyDescent="0.3">
      <c r="E2215" t="s">
        <v>2542</v>
      </c>
      <c r="F2215" t="s">
        <v>2057</v>
      </c>
      <c r="G2215" s="72" t="s">
        <v>1945</v>
      </c>
    </row>
    <row r="2216" spans="5:7" x14ac:dyDescent="0.3">
      <c r="E2216" t="s">
        <v>2569</v>
      </c>
      <c r="F2216" t="s">
        <v>1401</v>
      </c>
      <c r="G2216" s="72" t="s">
        <v>1945</v>
      </c>
    </row>
    <row r="2217" spans="5:7" x14ac:dyDescent="0.3">
      <c r="E2217" t="s">
        <v>2577</v>
      </c>
      <c r="F2217" t="s">
        <v>2019</v>
      </c>
      <c r="G2217" s="72" t="s">
        <v>1945</v>
      </c>
    </row>
    <row r="2218" spans="5:7" x14ac:dyDescent="0.3">
      <c r="E2218" t="s">
        <v>2158</v>
      </c>
      <c r="F2218" t="s">
        <v>2054</v>
      </c>
      <c r="G2218" s="72" t="s">
        <v>1945</v>
      </c>
    </row>
    <row r="2219" spans="5:7" x14ac:dyDescent="0.3">
      <c r="E2219" t="s">
        <v>2157</v>
      </c>
      <c r="F2219" t="s">
        <v>1775</v>
      </c>
      <c r="G2219" s="72" t="s">
        <v>1945</v>
      </c>
    </row>
    <row r="2220" spans="5:7" x14ac:dyDescent="0.3">
      <c r="E2220" t="s">
        <v>2120</v>
      </c>
      <c r="F2220" t="s">
        <v>2120</v>
      </c>
      <c r="G2220" s="72" t="s">
        <v>1945</v>
      </c>
    </row>
    <row r="2221" spans="5:7" x14ac:dyDescent="0.3">
      <c r="E2221" t="s">
        <v>1857</v>
      </c>
      <c r="F2221" t="s">
        <v>2019</v>
      </c>
      <c r="G2221" s="72" t="s">
        <v>1945</v>
      </c>
    </row>
    <row r="2222" spans="5:7" x14ac:dyDescent="0.3">
      <c r="E2222" t="s">
        <v>2578</v>
      </c>
      <c r="F2222" t="s">
        <v>2057</v>
      </c>
      <c r="G2222" s="72" t="s">
        <v>1945</v>
      </c>
    </row>
    <row r="2223" spans="5:7" x14ac:dyDescent="0.3">
      <c r="E2223" t="s">
        <v>2582</v>
      </c>
      <c r="F2223" t="s">
        <v>2057</v>
      </c>
      <c r="G2223" s="72" t="s">
        <v>1945</v>
      </c>
    </row>
    <row r="2224" spans="5:7" x14ac:dyDescent="0.3">
      <c r="E2224" t="s">
        <v>2157</v>
      </c>
      <c r="F2224" t="s">
        <v>1764</v>
      </c>
      <c r="G2224" s="72" t="s">
        <v>1945</v>
      </c>
    </row>
    <row r="2225" spans="5:7" x14ac:dyDescent="0.3">
      <c r="E2225" t="s">
        <v>2539</v>
      </c>
      <c r="F2225" t="s">
        <v>1598</v>
      </c>
      <c r="G2225" s="72" t="s">
        <v>1945</v>
      </c>
    </row>
    <row r="2226" spans="5:7" x14ac:dyDescent="0.3">
      <c r="E2226" t="s">
        <v>2589</v>
      </c>
      <c r="F2226" t="s">
        <v>2057</v>
      </c>
      <c r="G2226" s="72" t="s">
        <v>1945</v>
      </c>
    </row>
    <row r="2227" spans="5:7" x14ac:dyDescent="0.3">
      <c r="E2227" t="s">
        <v>2602</v>
      </c>
      <c r="F2227" t="s">
        <v>1556</v>
      </c>
      <c r="G2227" s="72" t="s">
        <v>1945</v>
      </c>
    </row>
    <row r="2228" spans="5:7" x14ac:dyDescent="0.3">
      <c r="E2228" t="s">
        <v>2603</v>
      </c>
      <c r="F2228" t="s">
        <v>2057</v>
      </c>
      <c r="G2228" s="72" t="s">
        <v>1945</v>
      </c>
    </row>
    <row r="2229" spans="5:7" x14ac:dyDescent="0.3">
      <c r="E2229" t="s">
        <v>2606</v>
      </c>
      <c r="F2229" t="s">
        <v>1407</v>
      </c>
      <c r="G2229" s="72" t="s">
        <v>1945</v>
      </c>
    </row>
    <row r="2230" spans="5:7" x14ac:dyDescent="0.3">
      <c r="E2230" t="s">
        <v>2611</v>
      </c>
      <c r="F2230" t="s">
        <v>2057</v>
      </c>
      <c r="G2230" s="72" t="s">
        <v>1945</v>
      </c>
    </row>
    <row r="2231" spans="5:7" x14ac:dyDescent="0.3">
      <c r="E2231" t="s">
        <v>2582</v>
      </c>
      <c r="F2231" t="s">
        <v>2057</v>
      </c>
      <c r="G2231" s="72" t="s">
        <v>1945</v>
      </c>
    </row>
    <row r="2232" spans="5:7" x14ac:dyDescent="0.3">
      <c r="E2232" t="s">
        <v>2616</v>
      </c>
      <c r="F2232" t="s">
        <v>2057</v>
      </c>
      <c r="G2232" s="72" t="s">
        <v>1945</v>
      </c>
    </row>
    <row r="2233" spans="5:7" x14ac:dyDescent="0.3">
      <c r="E2233" t="s">
        <v>2615</v>
      </c>
      <c r="F2233" t="s">
        <v>2091</v>
      </c>
      <c r="G2233" s="72" t="s">
        <v>1945</v>
      </c>
    </row>
    <row r="2234" spans="5:7" x14ac:dyDescent="0.3">
      <c r="E2234" t="s">
        <v>2618</v>
      </c>
      <c r="F2234" t="s">
        <v>1411</v>
      </c>
      <c r="G2234" s="72" t="s">
        <v>1945</v>
      </c>
    </row>
    <row r="2235" spans="5:7" x14ac:dyDescent="0.3">
      <c r="E2235" t="s">
        <v>2622</v>
      </c>
      <c r="F2235" t="s">
        <v>2056</v>
      </c>
      <c r="G2235" s="72" t="s">
        <v>1945</v>
      </c>
    </row>
    <row r="2236" spans="5:7" x14ac:dyDescent="0.3">
      <c r="E2236" t="s">
        <v>2569</v>
      </c>
      <c r="F2236" t="s">
        <v>1401</v>
      </c>
      <c r="G2236" s="72" t="s">
        <v>1945</v>
      </c>
    </row>
    <row r="2237" spans="5:7" x14ac:dyDescent="0.3">
      <c r="E2237" t="s">
        <v>2638</v>
      </c>
      <c r="F2237" t="s">
        <v>1661</v>
      </c>
      <c r="G2237" s="72" t="s">
        <v>1945</v>
      </c>
    </row>
    <row r="2238" spans="5:7" x14ac:dyDescent="0.3">
      <c r="E2238" t="s">
        <v>2639</v>
      </c>
      <c r="F2238" t="s">
        <v>2057</v>
      </c>
      <c r="G2238" s="72" t="s">
        <v>1945</v>
      </c>
    </row>
    <row r="2239" spans="5:7" x14ac:dyDescent="0.3">
      <c r="E2239" t="s">
        <v>2640</v>
      </c>
      <c r="F2239" t="s">
        <v>2057</v>
      </c>
      <c r="G2239" s="72" t="s">
        <v>1945</v>
      </c>
    </row>
    <row r="2240" spans="5:7" x14ac:dyDescent="0.3">
      <c r="E2240" t="s">
        <v>2158</v>
      </c>
      <c r="F2240" t="s">
        <v>2054</v>
      </c>
      <c r="G2240" s="72" t="s">
        <v>1945</v>
      </c>
    </row>
    <row r="2241" spans="5:7" x14ac:dyDescent="0.3">
      <c r="E2241" t="s">
        <v>2642</v>
      </c>
      <c r="F2241" t="s">
        <v>2133</v>
      </c>
      <c r="G2241" s="72" t="s">
        <v>1945</v>
      </c>
    </row>
    <row r="2242" spans="5:7" x14ac:dyDescent="0.3">
      <c r="E2242" t="s">
        <v>2541</v>
      </c>
      <c r="F2242" t="s">
        <v>2091</v>
      </c>
      <c r="G2242" s="72" t="s">
        <v>1945</v>
      </c>
    </row>
    <row r="2243" spans="5:7" x14ac:dyDescent="0.3">
      <c r="E2243" t="s">
        <v>2652</v>
      </c>
      <c r="F2243" t="s">
        <v>2057</v>
      </c>
      <c r="G2243" s="72" t="s">
        <v>1945</v>
      </c>
    </row>
    <row r="2244" spans="5:7" x14ac:dyDescent="0.3">
      <c r="E2244" t="s">
        <v>2653</v>
      </c>
      <c r="F2244" t="s">
        <v>2057</v>
      </c>
      <c r="G2244" s="72" t="s">
        <v>1945</v>
      </c>
    </row>
    <row r="2245" spans="5:7" x14ac:dyDescent="0.3">
      <c r="E2245" t="s">
        <v>2665</v>
      </c>
      <c r="F2245" t="s">
        <v>2091</v>
      </c>
      <c r="G2245" s="72" t="s">
        <v>1945</v>
      </c>
    </row>
    <row r="2246" spans="5:7" x14ac:dyDescent="0.3">
      <c r="E2246" t="s">
        <v>2618</v>
      </c>
      <c r="F2246" t="s">
        <v>1411</v>
      </c>
      <c r="G2246" s="72" t="s">
        <v>1945</v>
      </c>
    </row>
    <row r="2247" spans="5:7" x14ac:dyDescent="0.3">
      <c r="E2247" t="s">
        <v>2666</v>
      </c>
      <c r="F2247" t="s">
        <v>1556</v>
      </c>
      <c r="G2247" s="72" t="s">
        <v>1945</v>
      </c>
    </row>
    <row r="2248" spans="5:7" x14ac:dyDescent="0.3">
      <c r="E2248" t="s">
        <v>2670</v>
      </c>
      <c r="F2248" t="s">
        <v>1391</v>
      </c>
      <c r="G2248" s="72" t="s">
        <v>1945</v>
      </c>
    </row>
    <row r="2249" spans="5:7" x14ac:dyDescent="0.3">
      <c r="E2249" t="s">
        <v>2671</v>
      </c>
      <c r="F2249" t="s">
        <v>2057</v>
      </c>
      <c r="G2249" s="72" t="s">
        <v>1945</v>
      </c>
    </row>
    <row r="2250" spans="5:7" x14ac:dyDescent="0.3">
      <c r="E2250" t="s">
        <v>2677</v>
      </c>
      <c r="F2250" t="s">
        <v>2057</v>
      </c>
      <c r="G2250" s="72" t="s">
        <v>1945</v>
      </c>
    </row>
    <row r="2251" spans="5:7" x14ac:dyDescent="0.3">
      <c r="E2251" t="s">
        <v>2680</v>
      </c>
      <c r="F2251" t="s">
        <v>2057</v>
      </c>
      <c r="G2251" s="72" t="s">
        <v>1945</v>
      </c>
    </row>
    <row r="2252" spans="5:7" x14ac:dyDescent="0.3">
      <c r="E2252" t="s">
        <v>2679</v>
      </c>
      <c r="F2252" t="s">
        <v>2057</v>
      </c>
      <c r="G2252" s="72" t="s">
        <v>1945</v>
      </c>
    </row>
    <row r="2253" spans="5:7" x14ac:dyDescent="0.3">
      <c r="E2253" t="s">
        <v>2681</v>
      </c>
      <c r="F2253" t="s">
        <v>2057</v>
      </c>
      <c r="G2253" s="72" t="s">
        <v>1945</v>
      </c>
    </row>
    <row r="2254" spans="5:7" x14ac:dyDescent="0.3">
      <c r="E2254" t="s">
        <v>2640</v>
      </c>
      <c r="F2254" t="s">
        <v>2057</v>
      </c>
      <c r="G2254" s="72" t="s">
        <v>1945</v>
      </c>
    </row>
    <row r="2255" spans="5:7" x14ac:dyDescent="0.3">
      <c r="E2255" t="s">
        <v>1957</v>
      </c>
      <c r="F2255" t="s">
        <v>2056</v>
      </c>
      <c r="G2255" s="72" t="s">
        <v>1945</v>
      </c>
    </row>
    <row r="2256" spans="5:7" x14ac:dyDescent="0.3">
      <c r="E2256" t="s">
        <v>2602</v>
      </c>
      <c r="F2256" t="s">
        <v>1556</v>
      </c>
      <c r="G2256" s="72" t="s">
        <v>1945</v>
      </c>
    </row>
    <row r="2257" spans="5:7" x14ac:dyDescent="0.3">
      <c r="E2257" t="s">
        <v>2547</v>
      </c>
      <c r="F2257" t="s">
        <v>2057</v>
      </c>
      <c r="G2257" s="72" t="s">
        <v>1945</v>
      </c>
    </row>
    <row r="2258" spans="5:7" x14ac:dyDescent="0.3">
      <c r="E2258" t="s">
        <v>2645</v>
      </c>
      <c r="F2258" t="s">
        <v>2057</v>
      </c>
      <c r="G2258" s="72" t="s">
        <v>1945</v>
      </c>
    </row>
    <row r="2259" spans="5:7" x14ac:dyDescent="0.3">
      <c r="E2259" t="s">
        <v>2645</v>
      </c>
      <c r="F2259" t="s">
        <v>2057</v>
      </c>
      <c r="G2259" s="72" t="s">
        <v>1945</v>
      </c>
    </row>
    <row r="2260" spans="5:7" x14ac:dyDescent="0.3">
      <c r="E2260" t="s">
        <v>1396</v>
      </c>
      <c r="F2260" t="s">
        <v>2057</v>
      </c>
      <c r="G2260" s="72" t="s">
        <v>1945</v>
      </c>
    </row>
    <row r="2261" spans="5:7" x14ac:dyDescent="0.3">
      <c r="E2261" t="s">
        <v>2718</v>
      </c>
      <c r="F2261" t="s">
        <v>2057</v>
      </c>
      <c r="G2261" s="72" t="s">
        <v>1945</v>
      </c>
    </row>
    <row r="2262" spans="5:7" x14ac:dyDescent="0.3">
      <c r="E2262" t="s">
        <v>2677</v>
      </c>
      <c r="F2262" t="s">
        <v>2057</v>
      </c>
      <c r="G2262" s="72" t="s">
        <v>1945</v>
      </c>
    </row>
    <row r="2263" spans="5:7" x14ac:dyDescent="0.3">
      <c r="E2263" t="s">
        <v>2718</v>
      </c>
      <c r="F2263" t="s">
        <v>2057</v>
      </c>
      <c r="G2263" s="72" t="s">
        <v>1945</v>
      </c>
    </row>
    <row r="2264" spans="5:7" x14ac:dyDescent="0.3">
      <c r="E2264" t="s">
        <v>2729</v>
      </c>
      <c r="F2264" t="s">
        <v>2057</v>
      </c>
      <c r="G2264" s="72" t="s">
        <v>1945</v>
      </c>
    </row>
    <row r="2265" spans="5:7" x14ac:dyDescent="0.3">
      <c r="E2265" t="s">
        <v>2729</v>
      </c>
      <c r="F2265" t="s">
        <v>2057</v>
      </c>
      <c r="G2265" s="72" t="s">
        <v>1945</v>
      </c>
    </row>
    <row r="2266" spans="5:7" x14ac:dyDescent="0.3">
      <c r="E2266" t="s">
        <v>2730</v>
      </c>
      <c r="F2266" t="s">
        <v>2057</v>
      </c>
      <c r="G2266" s="72" t="s">
        <v>1945</v>
      </c>
    </row>
    <row r="2267" spans="5:7" x14ac:dyDescent="0.3">
      <c r="E2267" t="s">
        <v>2736</v>
      </c>
      <c r="F2267" t="s">
        <v>2057</v>
      </c>
      <c r="G2267" s="72" t="s">
        <v>1945</v>
      </c>
    </row>
    <row r="2268" spans="5:7" x14ac:dyDescent="0.3">
      <c r="E2268" t="s">
        <v>2730</v>
      </c>
      <c r="F2268" t="s">
        <v>2057</v>
      </c>
      <c r="G2268" s="72" t="s">
        <v>1945</v>
      </c>
    </row>
    <row r="2269" spans="5:7" x14ac:dyDescent="0.3">
      <c r="E2269" t="s">
        <v>1435</v>
      </c>
      <c r="F2269" t="s">
        <v>2057</v>
      </c>
      <c r="G2269" s="72" t="s">
        <v>1945</v>
      </c>
    </row>
    <row r="2270" spans="5:7" x14ac:dyDescent="0.3">
      <c r="E2270" t="s">
        <v>2681</v>
      </c>
      <c r="F2270" t="s">
        <v>2057</v>
      </c>
      <c r="G2270" s="72" t="s">
        <v>1945</v>
      </c>
    </row>
    <row r="2271" spans="5:7" x14ac:dyDescent="0.3">
      <c r="E2271" t="s">
        <v>2781</v>
      </c>
      <c r="F2271" t="s">
        <v>2057</v>
      </c>
      <c r="G2271" s="72" t="s">
        <v>1945</v>
      </c>
    </row>
    <row r="2272" spans="5:7" x14ac:dyDescent="0.3">
      <c r="E2272" t="s">
        <v>2150</v>
      </c>
      <c r="F2272" t="s">
        <v>1645</v>
      </c>
      <c r="G2272" s="72" t="s">
        <v>1945</v>
      </c>
    </row>
    <row r="2273" spans="5:7" x14ac:dyDescent="0.3">
      <c r="E2273" t="s">
        <v>2151</v>
      </c>
      <c r="F2273" t="s">
        <v>2057</v>
      </c>
      <c r="G2273" s="72" t="s">
        <v>1945</v>
      </c>
    </row>
    <row r="2274" spans="5:7" x14ac:dyDescent="0.3">
      <c r="E2274" t="s">
        <v>1650</v>
      </c>
      <c r="F2274" t="s">
        <v>1650</v>
      </c>
      <c r="G2274" s="72" t="s">
        <v>1945</v>
      </c>
    </row>
    <row r="2275" spans="5:7" x14ac:dyDescent="0.3">
      <c r="E2275" t="s">
        <v>1405</v>
      </c>
      <c r="F2275" t="s">
        <v>1405</v>
      </c>
      <c r="G2275" s="72" t="s">
        <v>1945</v>
      </c>
    </row>
    <row r="2276" spans="5:7" x14ac:dyDescent="0.3">
      <c r="E2276" t="s">
        <v>1958</v>
      </c>
      <c r="F2276" t="s">
        <v>1958</v>
      </c>
      <c r="G2276" s="72" t="s">
        <v>1945</v>
      </c>
    </row>
    <row r="2277" spans="5:7" x14ac:dyDescent="0.3">
      <c r="E2277" t="s">
        <v>2156</v>
      </c>
      <c r="F2277" t="s">
        <v>2057</v>
      </c>
      <c r="G2277" s="72" t="s">
        <v>1945</v>
      </c>
    </row>
    <row r="2278" spans="5:7" x14ac:dyDescent="0.3">
      <c r="E2278" t="s">
        <v>2166</v>
      </c>
      <c r="F2278" t="s">
        <v>2061</v>
      </c>
      <c r="G2278" s="72" t="s">
        <v>1945</v>
      </c>
    </row>
    <row r="2279" spans="5:7" x14ac:dyDescent="0.3">
      <c r="E2279" t="s">
        <v>2159</v>
      </c>
      <c r="F2279" t="s">
        <v>1602</v>
      </c>
      <c r="G2279" s="72" t="s">
        <v>1945</v>
      </c>
    </row>
    <row r="2280" spans="5:7" x14ac:dyDescent="0.3">
      <c r="E2280" t="s">
        <v>2167</v>
      </c>
      <c r="F2280" t="s">
        <v>1664</v>
      </c>
      <c r="G2280" s="72" t="s">
        <v>1945</v>
      </c>
    </row>
    <row r="2281" spans="5:7" x14ac:dyDescent="0.3">
      <c r="E2281" t="s">
        <v>2164</v>
      </c>
      <c r="F2281" t="s">
        <v>2046</v>
      </c>
      <c r="G2281" s="72" t="s">
        <v>1945</v>
      </c>
    </row>
    <row r="2282" spans="5:7" x14ac:dyDescent="0.3">
      <c r="E2282" t="s">
        <v>2168</v>
      </c>
      <c r="F2282" t="s">
        <v>2076</v>
      </c>
      <c r="G2282" s="72" t="s">
        <v>1945</v>
      </c>
    </row>
    <row r="2283" spans="5:7" x14ac:dyDescent="0.3">
      <c r="E2283" t="s">
        <v>2169</v>
      </c>
      <c r="F2283" t="s">
        <v>2059</v>
      </c>
      <c r="G2283" s="72" t="s">
        <v>1945</v>
      </c>
    </row>
    <row r="2284" spans="5:7" x14ac:dyDescent="0.3">
      <c r="E2284" t="s">
        <v>2170</v>
      </c>
      <c r="F2284" t="s">
        <v>2075</v>
      </c>
      <c r="G2284" s="72" t="s">
        <v>1945</v>
      </c>
    </row>
    <row r="2285" spans="5:7" x14ac:dyDescent="0.3">
      <c r="E2285" t="s">
        <v>2171</v>
      </c>
      <c r="F2285" t="s">
        <v>2057</v>
      </c>
      <c r="G2285" s="72" t="s">
        <v>1945</v>
      </c>
    </row>
    <row r="2286" spans="5:7" x14ac:dyDescent="0.3">
      <c r="E2286" t="s">
        <v>2165</v>
      </c>
      <c r="F2286" t="s">
        <v>2046</v>
      </c>
      <c r="G2286" s="72" t="s">
        <v>1945</v>
      </c>
    </row>
    <row r="2287" spans="5:7" x14ac:dyDescent="0.3">
      <c r="E2287" t="s">
        <v>2172</v>
      </c>
      <c r="F2287" t="s">
        <v>2057</v>
      </c>
      <c r="G2287" s="72" t="s">
        <v>1945</v>
      </c>
    </row>
    <row r="2288" spans="5:7" x14ac:dyDescent="0.3">
      <c r="E2288" t="s">
        <v>2173</v>
      </c>
      <c r="F2288" t="s">
        <v>2078</v>
      </c>
      <c r="G2288" s="72" t="s">
        <v>1945</v>
      </c>
    </row>
    <row r="2289" spans="5:7" x14ac:dyDescent="0.3">
      <c r="E2289" t="s">
        <v>2174</v>
      </c>
      <c r="F2289" t="s">
        <v>2062</v>
      </c>
      <c r="G2289" s="72" t="s">
        <v>1945</v>
      </c>
    </row>
    <row r="2290" spans="5:7" x14ac:dyDescent="0.3">
      <c r="E2290" t="s">
        <v>2175</v>
      </c>
      <c r="F2290" t="s">
        <v>2078</v>
      </c>
      <c r="G2290" s="72" t="s">
        <v>1945</v>
      </c>
    </row>
    <row r="2291" spans="5:7" x14ac:dyDescent="0.3">
      <c r="E2291" t="s">
        <v>2176</v>
      </c>
      <c r="F2291" t="s">
        <v>2077</v>
      </c>
      <c r="G2291" s="72" t="s">
        <v>1945</v>
      </c>
    </row>
    <row r="2292" spans="5:7" x14ac:dyDescent="0.3">
      <c r="E2292" t="s">
        <v>2177</v>
      </c>
      <c r="F2292" t="s">
        <v>1408</v>
      </c>
      <c r="G2292" s="72" t="s">
        <v>1945</v>
      </c>
    </row>
    <row r="2293" spans="5:7" x14ac:dyDescent="0.3">
      <c r="E2293" t="s">
        <v>2178</v>
      </c>
      <c r="F2293" t="s">
        <v>1409</v>
      </c>
      <c r="G2293" s="72" t="s">
        <v>1945</v>
      </c>
    </row>
    <row r="2294" spans="5:7" x14ac:dyDescent="0.3">
      <c r="E2294" t="s">
        <v>2180</v>
      </c>
      <c r="F2294" t="s">
        <v>1749</v>
      </c>
      <c r="G2294" s="72" t="s">
        <v>1945</v>
      </c>
    </row>
    <row r="2295" spans="5:7" x14ac:dyDescent="0.3">
      <c r="E2295" t="s">
        <v>2181</v>
      </c>
      <c r="F2295" t="s">
        <v>1409</v>
      </c>
      <c r="G2295" s="72" t="s">
        <v>1945</v>
      </c>
    </row>
    <row r="2296" spans="5:7" x14ac:dyDescent="0.3">
      <c r="E2296" t="s">
        <v>2182</v>
      </c>
      <c r="F2296" t="s">
        <v>1739</v>
      </c>
      <c r="G2296" s="72" t="s">
        <v>1945</v>
      </c>
    </row>
    <row r="2297" spans="5:7" x14ac:dyDescent="0.3">
      <c r="E2297" t="s">
        <v>2183</v>
      </c>
      <c r="F2297" t="s">
        <v>1404</v>
      </c>
      <c r="G2297" s="72" t="s">
        <v>1945</v>
      </c>
    </row>
    <row r="2298" spans="5:7" x14ac:dyDescent="0.3">
      <c r="E2298" t="s">
        <v>2184</v>
      </c>
      <c r="F2298" t="s">
        <v>1747</v>
      </c>
      <c r="G2298" s="72" t="s">
        <v>1945</v>
      </c>
    </row>
    <row r="2299" spans="5:7" x14ac:dyDescent="0.3">
      <c r="E2299" t="s">
        <v>2185</v>
      </c>
      <c r="F2299" t="s">
        <v>1408</v>
      </c>
      <c r="G2299" s="72" t="s">
        <v>1945</v>
      </c>
    </row>
    <row r="2300" spans="5:7" x14ac:dyDescent="0.3">
      <c r="E2300" t="s">
        <v>2186</v>
      </c>
      <c r="F2300" t="s">
        <v>1748</v>
      </c>
      <c r="G2300" s="72" t="s">
        <v>1945</v>
      </c>
    </row>
    <row r="2301" spans="5:7" x14ac:dyDescent="0.3">
      <c r="E2301" t="s">
        <v>2187</v>
      </c>
      <c r="F2301" t="s">
        <v>1408</v>
      </c>
      <c r="G2301" s="72" t="s">
        <v>1945</v>
      </c>
    </row>
    <row r="2302" spans="5:7" x14ac:dyDescent="0.3">
      <c r="E2302" t="s">
        <v>2188</v>
      </c>
      <c r="F2302" t="s">
        <v>1402</v>
      </c>
      <c r="G2302" s="72" t="s">
        <v>1945</v>
      </c>
    </row>
    <row r="2303" spans="5:7" x14ac:dyDescent="0.3">
      <c r="E2303" t="s">
        <v>2189</v>
      </c>
      <c r="F2303" t="s">
        <v>2043</v>
      </c>
      <c r="G2303" s="72" t="s">
        <v>1945</v>
      </c>
    </row>
    <row r="2304" spans="5:7" x14ac:dyDescent="0.3">
      <c r="E2304" t="s">
        <v>2190</v>
      </c>
      <c r="F2304" t="s">
        <v>1606</v>
      </c>
      <c r="G2304" s="72" t="s">
        <v>1945</v>
      </c>
    </row>
    <row r="2305" spans="5:7" x14ac:dyDescent="0.3">
      <c r="E2305" t="s">
        <v>2191</v>
      </c>
      <c r="F2305" t="s">
        <v>2045</v>
      </c>
      <c r="G2305" s="72" t="s">
        <v>1945</v>
      </c>
    </row>
    <row r="2306" spans="5:7" x14ac:dyDescent="0.3">
      <c r="E2306" t="s">
        <v>2192</v>
      </c>
      <c r="F2306" t="s">
        <v>1671</v>
      </c>
      <c r="G2306" s="72" t="s">
        <v>1945</v>
      </c>
    </row>
    <row r="2307" spans="5:7" x14ac:dyDescent="0.3">
      <c r="E2307" t="s">
        <v>2193</v>
      </c>
      <c r="F2307" t="s">
        <v>1616</v>
      </c>
      <c r="G2307" s="72" t="s">
        <v>1945</v>
      </c>
    </row>
    <row r="2308" spans="5:7" x14ac:dyDescent="0.3">
      <c r="E2308" t="s">
        <v>2194</v>
      </c>
      <c r="F2308" t="s">
        <v>1713</v>
      </c>
      <c r="G2308" s="72" t="s">
        <v>1945</v>
      </c>
    </row>
    <row r="2309" spans="5:7" x14ac:dyDescent="0.3">
      <c r="E2309" t="s">
        <v>2195</v>
      </c>
      <c r="F2309" t="s">
        <v>1409</v>
      </c>
      <c r="G2309" s="72" t="s">
        <v>1945</v>
      </c>
    </row>
    <row r="2310" spans="5:7" x14ac:dyDescent="0.3">
      <c r="E2310" t="s">
        <v>2196</v>
      </c>
      <c r="F2310" t="s">
        <v>1700</v>
      </c>
      <c r="G2310" s="72" t="s">
        <v>1945</v>
      </c>
    </row>
    <row r="2311" spans="5:7" x14ac:dyDescent="0.3">
      <c r="E2311" t="s">
        <v>2197</v>
      </c>
      <c r="F2311" t="s">
        <v>1713</v>
      </c>
      <c r="G2311" s="72" t="s">
        <v>1945</v>
      </c>
    </row>
    <row r="2312" spans="5:7" x14ac:dyDescent="0.3">
      <c r="E2312" t="s">
        <v>2198</v>
      </c>
      <c r="F2312" t="s">
        <v>1618</v>
      </c>
      <c r="G2312" s="72" t="s">
        <v>1945</v>
      </c>
    </row>
    <row r="2313" spans="5:7" x14ac:dyDescent="0.3">
      <c r="E2313" t="s">
        <v>2199</v>
      </c>
      <c r="F2313" t="s">
        <v>1764</v>
      </c>
      <c r="G2313" s="72" t="s">
        <v>1945</v>
      </c>
    </row>
    <row r="2314" spans="5:7" x14ac:dyDescent="0.3">
      <c r="E2314" t="s">
        <v>2200</v>
      </c>
      <c r="F2314" t="s">
        <v>1436</v>
      </c>
      <c r="G2314" s="72" t="s">
        <v>1945</v>
      </c>
    </row>
    <row r="2315" spans="5:7" x14ac:dyDescent="0.3">
      <c r="E2315" t="s">
        <v>2201</v>
      </c>
      <c r="F2315" t="s">
        <v>1609</v>
      </c>
      <c r="G2315" s="72" t="s">
        <v>1945</v>
      </c>
    </row>
    <row r="2316" spans="5:7" x14ac:dyDescent="0.3">
      <c r="E2316" t="s">
        <v>2202</v>
      </c>
      <c r="F2316" t="s">
        <v>2071</v>
      </c>
      <c r="G2316" s="72" t="s">
        <v>1945</v>
      </c>
    </row>
    <row r="2317" spans="5:7" x14ac:dyDescent="0.3">
      <c r="E2317" t="s">
        <v>2203</v>
      </c>
      <c r="F2317" t="s">
        <v>1678</v>
      </c>
      <c r="G2317" s="72" t="s">
        <v>1945</v>
      </c>
    </row>
    <row r="2318" spans="5:7" x14ac:dyDescent="0.3">
      <c r="E2318" t="s">
        <v>2204</v>
      </c>
      <c r="F2318" t="s">
        <v>1438</v>
      </c>
      <c r="G2318" s="72" t="s">
        <v>1945</v>
      </c>
    </row>
    <row r="2319" spans="5:7" x14ac:dyDescent="0.3">
      <c r="E2319" t="s">
        <v>2205</v>
      </c>
      <c r="F2319" t="s">
        <v>1739</v>
      </c>
      <c r="G2319" s="72" t="s">
        <v>1945</v>
      </c>
    </row>
    <row r="2320" spans="5:7" x14ac:dyDescent="0.3">
      <c r="E2320" t="s">
        <v>2206</v>
      </c>
      <c r="F2320" t="s">
        <v>1404</v>
      </c>
      <c r="G2320" s="72" t="s">
        <v>1945</v>
      </c>
    </row>
    <row r="2321" spans="5:7" x14ac:dyDescent="0.3">
      <c r="E2321" t="s">
        <v>2207</v>
      </c>
      <c r="F2321" t="s">
        <v>1599</v>
      </c>
      <c r="G2321" s="72" t="s">
        <v>1945</v>
      </c>
    </row>
    <row r="2322" spans="5:7" x14ac:dyDescent="0.3">
      <c r="E2322" t="s">
        <v>2208</v>
      </c>
      <c r="F2322" t="s">
        <v>1689</v>
      </c>
      <c r="G2322" s="72" t="s">
        <v>1945</v>
      </c>
    </row>
    <row r="2323" spans="5:7" x14ac:dyDescent="0.3">
      <c r="E2323" t="s">
        <v>2209</v>
      </c>
      <c r="F2323" t="s">
        <v>1676</v>
      </c>
      <c r="G2323" s="72" t="s">
        <v>1945</v>
      </c>
    </row>
    <row r="2324" spans="5:7" x14ac:dyDescent="0.3">
      <c r="E2324" t="s">
        <v>2210</v>
      </c>
      <c r="F2324" t="s">
        <v>1602</v>
      </c>
      <c r="G2324" s="72" t="s">
        <v>1945</v>
      </c>
    </row>
    <row r="2325" spans="5:7" x14ac:dyDescent="0.3">
      <c r="E2325" t="s">
        <v>2162</v>
      </c>
      <c r="F2325" t="s">
        <v>1408</v>
      </c>
      <c r="G2325" s="72" t="s">
        <v>1945</v>
      </c>
    </row>
    <row r="2326" spans="5:7" x14ac:dyDescent="0.3">
      <c r="E2326" t="s">
        <v>2211</v>
      </c>
      <c r="F2326" t="s">
        <v>1662</v>
      </c>
      <c r="G2326" s="72" t="s">
        <v>1945</v>
      </c>
    </row>
    <row r="2327" spans="5:7" x14ac:dyDescent="0.3">
      <c r="E2327" t="s">
        <v>2212</v>
      </c>
      <c r="F2327" t="s">
        <v>1744</v>
      </c>
      <c r="G2327" s="72" t="s">
        <v>1945</v>
      </c>
    </row>
    <row r="2328" spans="5:7" x14ac:dyDescent="0.3">
      <c r="E2328" t="s">
        <v>2213</v>
      </c>
      <c r="F2328" t="s">
        <v>1661</v>
      </c>
      <c r="G2328" s="72" t="s">
        <v>1945</v>
      </c>
    </row>
    <row r="2329" spans="5:7" x14ac:dyDescent="0.3">
      <c r="E2329" t="s">
        <v>2214</v>
      </c>
      <c r="F2329" t="s">
        <v>1402</v>
      </c>
      <c r="G2329" s="72" t="s">
        <v>1945</v>
      </c>
    </row>
    <row r="2330" spans="5:7" x14ac:dyDescent="0.3">
      <c r="E2330" t="s">
        <v>2215</v>
      </c>
      <c r="F2330" t="s">
        <v>1617</v>
      </c>
      <c r="G2330" s="72" t="s">
        <v>1945</v>
      </c>
    </row>
    <row r="2331" spans="5:7" x14ac:dyDescent="0.3">
      <c r="E2331" t="s">
        <v>2216</v>
      </c>
      <c r="F2331" t="s">
        <v>1776</v>
      </c>
      <c r="G2331" s="72" t="s">
        <v>1945</v>
      </c>
    </row>
    <row r="2332" spans="5:7" x14ac:dyDescent="0.3">
      <c r="E2332" t="s">
        <v>2217</v>
      </c>
      <c r="F2332" t="s">
        <v>1698</v>
      </c>
      <c r="G2332" s="72" t="s">
        <v>1945</v>
      </c>
    </row>
    <row r="2333" spans="5:7" x14ac:dyDescent="0.3">
      <c r="E2333" t="s">
        <v>2218</v>
      </c>
      <c r="F2333" t="s">
        <v>1425</v>
      </c>
      <c r="G2333" s="72" t="s">
        <v>1945</v>
      </c>
    </row>
    <row r="2334" spans="5:7" x14ac:dyDescent="0.3">
      <c r="E2334" t="s">
        <v>2219</v>
      </c>
      <c r="F2334" t="s">
        <v>1700</v>
      </c>
      <c r="G2334" s="72" t="s">
        <v>1945</v>
      </c>
    </row>
    <row r="2335" spans="5:7" x14ac:dyDescent="0.3">
      <c r="E2335" t="s">
        <v>2220</v>
      </c>
      <c r="F2335" t="s">
        <v>2064</v>
      </c>
      <c r="G2335" s="72" t="s">
        <v>1945</v>
      </c>
    </row>
    <row r="2336" spans="5:7" x14ac:dyDescent="0.3">
      <c r="E2336" t="s">
        <v>2221</v>
      </c>
      <c r="F2336" t="s">
        <v>2051</v>
      </c>
      <c r="G2336" s="72" t="s">
        <v>1945</v>
      </c>
    </row>
    <row r="2337" spans="5:7" x14ac:dyDescent="0.3">
      <c r="E2337" t="s">
        <v>2222</v>
      </c>
      <c r="F2337" t="s">
        <v>2057</v>
      </c>
      <c r="G2337" s="72" t="s">
        <v>1945</v>
      </c>
    </row>
    <row r="2338" spans="5:7" x14ac:dyDescent="0.3">
      <c r="E2338" t="s">
        <v>2225</v>
      </c>
      <c r="F2338" t="s">
        <v>1717</v>
      </c>
      <c r="G2338" s="72" t="s">
        <v>1945</v>
      </c>
    </row>
    <row r="2339" spans="5:7" x14ac:dyDescent="0.3">
      <c r="E2339" t="s">
        <v>2226</v>
      </c>
      <c r="F2339" t="s">
        <v>2062</v>
      </c>
      <c r="G2339" s="72" t="s">
        <v>1945</v>
      </c>
    </row>
    <row r="2340" spans="5:7" x14ac:dyDescent="0.3">
      <c r="E2340" t="s">
        <v>2227</v>
      </c>
      <c r="F2340" t="s">
        <v>1407</v>
      </c>
      <c r="G2340" s="72" t="s">
        <v>1945</v>
      </c>
    </row>
    <row r="2341" spans="5:7" x14ac:dyDescent="0.3">
      <c r="E2341" t="s">
        <v>2228</v>
      </c>
      <c r="F2341" t="s">
        <v>1409</v>
      </c>
      <c r="G2341" s="72" t="s">
        <v>1945</v>
      </c>
    </row>
    <row r="2342" spans="5:7" x14ac:dyDescent="0.3">
      <c r="E2342" t="s">
        <v>2229</v>
      </c>
      <c r="F2342" t="s">
        <v>2057</v>
      </c>
      <c r="G2342" s="72" t="s">
        <v>1945</v>
      </c>
    </row>
    <row r="2343" spans="5:7" x14ac:dyDescent="0.3">
      <c r="E2343" t="s">
        <v>2230</v>
      </c>
      <c r="F2343" t="s">
        <v>1664</v>
      </c>
      <c r="G2343" s="72" t="s">
        <v>1945</v>
      </c>
    </row>
    <row r="2344" spans="5:7" x14ac:dyDescent="0.3">
      <c r="E2344" t="s">
        <v>2231</v>
      </c>
      <c r="F2344" t="s">
        <v>1697</v>
      </c>
      <c r="G2344" s="72" t="s">
        <v>1945</v>
      </c>
    </row>
    <row r="2345" spans="5:7" x14ac:dyDescent="0.3">
      <c r="E2345" t="s">
        <v>2232</v>
      </c>
      <c r="F2345" t="s">
        <v>2068</v>
      </c>
      <c r="G2345" s="72" t="s">
        <v>1945</v>
      </c>
    </row>
    <row r="2346" spans="5:7" x14ac:dyDescent="0.3">
      <c r="E2346" t="s">
        <v>2233</v>
      </c>
      <c r="F2346" t="s">
        <v>2057</v>
      </c>
      <c r="G2346" s="72" t="s">
        <v>1945</v>
      </c>
    </row>
    <row r="2347" spans="5:7" x14ac:dyDescent="0.3">
      <c r="E2347" t="s">
        <v>2234</v>
      </c>
      <c r="F2347" t="s">
        <v>1722</v>
      </c>
      <c r="G2347" s="72" t="s">
        <v>1945</v>
      </c>
    </row>
    <row r="2348" spans="5:7" x14ac:dyDescent="0.3">
      <c r="E2348" t="s">
        <v>2235</v>
      </c>
      <c r="F2348" t="s">
        <v>2050</v>
      </c>
      <c r="G2348" s="72" t="s">
        <v>1945</v>
      </c>
    </row>
    <row r="2349" spans="5:7" x14ac:dyDescent="0.3">
      <c r="E2349" t="s">
        <v>2236</v>
      </c>
      <c r="F2349" t="s">
        <v>1409</v>
      </c>
      <c r="G2349" s="72" t="s">
        <v>1945</v>
      </c>
    </row>
    <row r="2350" spans="5:7" x14ac:dyDescent="0.3">
      <c r="E2350" t="s">
        <v>2237</v>
      </c>
      <c r="F2350" t="s">
        <v>1779</v>
      </c>
      <c r="G2350" s="72" t="s">
        <v>1945</v>
      </c>
    </row>
    <row r="2351" spans="5:7" x14ac:dyDescent="0.3">
      <c r="E2351" t="s">
        <v>2238</v>
      </c>
      <c r="F2351" t="s">
        <v>1673</v>
      </c>
      <c r="G2351" s="72" t="s">
        <v>1945</v>
      </c>
    </row>
    <row r="2352" spans="5:7" x14ac:dyDescent="0.3">
      <c r="E2352" t="s">
        <v>2239</v>
      </c>
      <c r="F2352" t="s">
        <v>1746</v>
      </c>
      <c r="G2352" s="72" t="s">
        <v>1945</v>
      </c>
    </row>
    <row r="2353" spans="5:7" x14ac:dyDescent="0.3">
      <c r="E2353" t="s">
        <v>2240</v>
      </c>
      <c r="F2353" t="s">
        <v>2057</v>
      </c>
      <c r="G2353" s="72" t="s">
        <v>1945</v>
      </c>
    </row>
    <row r="2354" spans="5:7" x14ac:dyDescent="0.3">
      <c r="E2354" t="s">
        <v>2246</v>
      </c>
      <c r="F2354" t="s">
        <v>1696</v>
      </c>
      <c r="G2354" s="72" t="s">
        <v>1945</v>
      </c>
    </row>
    <row r="2355" spans="5:7" x14ac:dyDescent="0.3">
      <c r="E2355" t="s">
        <v>2248</v>
      </c>
      <c r="F2355" t="s">
        <v>1681</v>
      </c>
      <c r="G2355" s="72" t="s">
        <v>1945</v>
      </c>
    </row>
    <row r="2356" spans="5:7" x14ac:dyDescent="0.3">
      <c r="E2356" t="s">
        <v>2249</v>
      </c>
      <c r="F2356" t="s">
        <v>1420</v>
      </c>
      <c r="G2356" s="72" t="s">
        <v>1945</v>
      </c>
    </row>
    <row r="2357" spans="5:7" x14ac:dyDescent="0.3">
      <c r="E2357" t="s">
        <v>2250</v>
      </c>
      <c r="F2357" t="s">
        <v>2057</v>
      </c>
      <c r="G2357" s="72" t="s">
        <v>1945</v>
      </c>
    </row>
    <row r="2358" spans="5:7" x14ac:dyDescent="0.3">
      <c r="E2358" s="79" t="s">
        <v>2260</v>
      </c>
      <c r="F2358" t="s">
        <v>2057</v>
      </c>
      <c r="G2358" s="72" t="s">
        <v>1945</v>
      </c>
    </row>
    <row r="2359" spans="5:7" x14ac:dyDescent="0.3">
      <c r="E2359" s="79" t="s">
        <v>2259</v>
      </c>
      <c r="F2359" t="s">
        <v>2051</v>
      </c>
      <c r="G2359" s="72" t="s">
        <v>1945</v>
      </c>
    </row>
    <row r="2360" spans="5:7" x14ac:dyDescent="0.3">
      <c r="E2360" s="79" t="s">
        <v>2261</v>
      </c>
      <c r="F2360" t="s">
        <v>2076</v>
      </c>
      <c r="G2360" s="72" t="s">
        <v>1945</v>
      </c>
    </row>
    <row r="2361" spans="5:7" x14ac:dyDescent="0.3">
      <c r="E2361" s="79" t="s">
        <v>2262</v>
      </c>
      <c r="F2361" t="s">
        <v>1407</v>
      </c>
      <c r="G2361" s="72" t="s">
        <v>1945</v>
      </c>
    </row>
    <row r="2362" spans="5:7" x14ac:dyDescent="0.3">
      <c r="E2362" s="79" t="s">
        <v>2263</v>
      </c>
      <c r="F2362" t="s">
        <v>2057</v>
      </c>
      <c r="G2362" s="72" t="s">
        <v>1945</v>
      </c>
    </row>
    <row r="2363" spans="5:7" x14ac:dyDescent="0.3">
      <c r="E2363" s="79" t="s">
        <v>2258</v>
      </c>
      <c r="F2363" t="s">
        <v>2057</v>
      </c>
      <c r="G2363" s="72" t="s">
        <v>1945</v>
      </c>
    </row>
    <row r="2364" spans="5:7" x14ac:dyDescent="0.3">
      <c r="E2364" s="79" t="s">
        <v>2257</v>
      </c>
      <c r="F2364" t="s">
        <v>1598</v>
      </c>
      <c r="G2364" s="72" t="s">
        <v>1945</v>
      </c>
    </row>
    <row r="2365" spans="5:7" x14ac:dyDescent="0.3">
      <c r="E2365" t="s">
        <v>2264</v>
      </c>
      <c r="F2365" t="s">
        <v>1676</v>
      </c>
      <c r="G2365" s="72" t="s">
        <v>1945</v>
      </c>
    </row>
    <row r="2366" spans="5:7" x14ac:dyDescent="0.3">
      <c r="E2366" t="s">
        <v>2265</v>
      </c>
      <c r="F2366" t="s">
        <v>2036</v>
      </c>
      <c r="G2366" s="72" t="s">
        <v>1945</v>
      </c>
    </row>
    <row r="2367" spans="5:7" x14ac:dyDescent="0.3">
      <c r="E2367" t="s">
        <v>2266</v>
      </c>
      <c r="F2367" t="s">
        <v>2043</v>
      </c>
      <c r="G2367" s="72" t="s">
        <v>1945</v>
      </c>
    </row>
    <row r="2368" spans="5:7" x14ac:dyDescent="0.3">
      <c r="E2368" t="s">
        <v>2267</v>
      </c>
      <c r="F2368" t="s">
        <v>2072</v>
      </c>
      <c r="G2368" s="72" t="s">
        <v>1945</v>
      </c>
    </row>
    <row r="2369" spans="5:7" x14ac:dyDescent="0.3">
      <c r="E2369" t="s">
        <v>2268</v>
      </c>
      <c r="F2369" s="79" t="s">
        <v>1700</v>
      </c>
      <c r="G2369" s="72" t="s">
        <v>1945</v>
      </c>
    </row>
    <row r="2370" spans="5:7" x14ac:dyDescent="0.3">
      <c r="E2370" t="s">
        <v>2269</v>
      </c>
      <c r="F2370" t="s">
        <v>1672</v>
      </c>
      <c r="G2370" s="72" t="s">
        <v>1945</v>
      </c>
    </row>
    <row r="2371" spans="5:7" x14ac:dyDescent="0.3">
      <c r="E2371" t="s">
        <v>2270</v>
      </c>
      <c r="F2371" s="79" t="s">
        <v>1700</v>
      </c>
      <c r="G2371" s="72" t="s">
        <v>1945</v>
      </c>
    </row>
    <row r="2372" spans="5:7" x14ac:dyDescent="0.3">
      <c r="E2372" t="s">
        <v>2286</v>
      </c>
      <c r="G2372" s="72" t="s">
        <v>1945</v>
      </c>
    </row>
    <row r="2373" spans="5:7" x14ac:dyDescent="0.3">
      <c r="E2373" s="79" t="s">
        <v>1837</v>
      </c>
      <c r="F2373" t="s">
        <v>1439</v>
      </c>
      <c r="G2373" s="72" t="s">
        <v>1945</v>
      </c>
    </row>
    <row r="2374" spans="5:7" x14ac:dyDescent="0.3">
      <c r="E2374" t="s">
        <v>2290</v>
      </c>
      <c r="F2374" t="s">
        <v>2057</v>
      </c>
      <c r="G2374" s="72" t="s">
        <v>1945</v>
      </c>
    </row>
    <row r="2375" spans="5:7" x14ac:dyDescent="0.3">
      <c r="E2375" t="s">
        <v>2291</v>
      </c>
      <c r="F2375" s="79" t="s">
        <v>2074</v>
      </c>
      <c r="G2375" s="72" t="s">
        <v>1945</v>
      </c>
    </row>
    <row r="2376" spans="5:7" x14ac:dyDescent="0.3">
      <c r="E2376" t="s">
        <v>2292</v>
      </c>
      <c r="F2376" t="s">
        <v>2063</v>
      </c>
      <c r="G2376" s="72" t="s">
        <v>1945</v>
      </c>
    </row>
    <row r="2377" spans="5:7" x14ac:dyDescent="0.3">
      <c r="E2377" t="s">
        <v>1948</v>
      </c>
      <c r="F2377" t="s">
        <v>1683</v>
      </c>
      <c r="G2377" s="72" t="s">
        <v>1945</v>
      </c>
    </row>
    <row r="2378" spans="5:7" x14ac:dyDescent="0.3">
      <c r="E2378" t="s">
        <v>2293</v>
      </c>
      <c r="F2378" s="79" t="s">
        <v>2077</v>
      </c>
      <c r="G2378" s="72" t="s">
        <v>1945</v>
      </c>
    </row>
    <row r="2379" spans="5:7" x14ac:dyDescent="0.3">
      <c r="E2379" t="s">
        <v>2294</v>
      </c>
      <c r="F2379" s="79" t="s">
        <v>2074</v>
      </c>
      <c r="G2379" s="72" t="s">
        <v>1945</v>
      </c>
    </row>
    <row r="2380" spans="5:7" x14ac:dyDescent="0.3">
      <c r="E2380" t="s">
        <v>2295</v>
      </c>
      <c r="F2380" t="s">
        <v>2065</v>
      </c>
      <c r="G2380" s="72" t="s">
        <v>1945</v>
      </c>
    </row>
    <row r="2381" spans="5:7" x14ac:dyDescent="0.3">
      <c r="E2381" t="s">
        <v>2296</v>
      </c>
      <c r="F2381" t="s">
        <v>2073</v>
      </c>
      <c r="G2381" s="72" t="s">
        <v>1945</v>
      </c>
    </row>
    <row r="2382" spans="5:7" x14ac:dyDescent="0.3">
      <c r="E2382" t="s">
        <v>1960</v>
      </c>
      <c r="F2382" t="s">
        <v>1556</v>
      </c>
      <c r="G2382" s="72" t="s">
        <v>1945</v>
      </c>
    </row>
    <row r="2383" spans="5:7" x14ac:dyDescent="0.3">
      <c r="E2383" t="s">
        <v>2300</v>
      </c>
      <c r="F2383" t="s">
        <v>2054</v>
      </c>
      <c r="G2383" s="72" t="s">
        <v>1945</v>
      </c>
    </row>
    <row r="2384" spans="5:7" x14ac:dyDescent="0.3">
      <c r="E2384" t="s">
        <v>1936</v>
      </c>
      <c r="F2384" t="s">
        <v>2070</v>
      </c>
      <c r="G2384" s="72" t="s">
        <v>1945</v>
      </c>
    </row>
    <row r="2385" spans="5:7" x14ac:dyDescent="0.3">
      <c r="E2385" t="s">
        <v>1961</v>
      </c>
      <c r="F2385" t="s">
        <v>1406</v>
      </c>
      <c r="G2385" s="72" t="s">
        <v>1945</v>
      </c>
    </row>
    <row r="2386" spans="5:7" x14ac:dyDescent="0.3">
      <c r="E2386" t="s">
        <v>2066</v>
      </c>
      <c r="F2386" t="s">
        <v>2066</v>
      </c>
      <c r="G2386" s="72" t="s">
        <v>1945</v>
      </c>
    </row>
    <row r="2387" spans="5:7" x14ac:dyDescent="0.3">
      <c r="E2387" t="s">
        <v>2302</v>
      </c>
      <c r="F2387" t="s">
        <v>2069</v>
      </c>
      <c r="G2387" s="72" t="s">
        <v>1945</v>
      </c>
    </row>
    <row r="2388" spans="5:7" x14ac:dyDescent="0.3">
      <c r="E2388" t="s">
        <v>1956</v>
      </c>
      <c r="F2388" t="s">
        <v>2069</v>
      </c>
      <c r="G2388" s="72" t="s">
        <v>1945</v>
      </c>
    </row>
    <row r="2389" spans="5:7" x14ac:dyDescent="0.3">
      <c r="E2389" t="s">
        <v>2303</v>
      </c>
      <c r="F2389" t="s">
        <v>2069</v>
      </c>
      <c r="G2389" s="72" t="s">
        <v>1945</v>
      </c>
    </row>
    <row r="2390" spans="5:7" x14ac:dyDescent="0.3">
      <c r="E2390" t="s">
        <v>1954</v>
      </c>
      <c r="F2390" t="s">
        <v>1408</v>
      </c>
      <c r="G2390" s="72" t="s">
        <v>1945</v>
      </c>
    </row>
    <row r="2391" spans="5:7" x14ac:dyDescent="0.3">
      <c r="E2391" t="s">
        <v>2304</v>
      </c>
      <c r="F2391" t="s">
        <v>2069</v>
      </c>
      <c r="G2391" s="72" t="s">
        <v>1945</v>
      </c>
    </row>
    <row r="2392" spans="5:7" x14ac:dyDescent="0.3">
      <c r="E2392" t="s">
        <v>2305</v>
      </c>
      <c r="F2392" t="s">
        <v>2069</v>
      </c>
      <c r="G2392" s="72" t="s">
        <v>1945</v>
      </c>
    </row>
    <row r="2393" spans="5:7" x14ac:dyDescent="0.3">
      <c r="E2393" t="s">
        <v>1971</v>
      </c>
      <c r="F2393" t="s">
        <v>2069</v>
      </c>
      <c r="G2393" s="72" t="s">
        <v>1945</v>
      </c>
    </row>
    <row r="2394" spans="5:7" x14ac:dyDescent="0.3">
      <c r="E2394" t="s">
        <v>2306</v>
      </c>
      <c r="F2394" t="s">
        <v>2069</v>
      </c>
      <c r="G2394" s="72" t="s">
        <v>1945</v>
      </c>
    </row>
    <row r="2395" spans="5:7" x14ac:dyDescent="0.3">
      <c r="E2395" t="s">
        <v>2307</v>
      </c>
      <c r="F2395" t="s">
        <v>2069</v>
      </c>
      <c r="G2395" s="72" t="s">
        <v>1945</v>
      </c>
    </row>
    <row r="2396" spans="5:7" x14ac:dyDescent="0.3">
      <c r="E2396" t="s">
        <v>2308</v>
      </c>
      <c r="F2396" t="s">
        <v>2069</v>
      </c>
      <c r="G2396" s="72" t="s">
        <v>1945</v>
      </c>
    </row>
    <row r="2397" spans="5:7" x14ac:dyDescent="0.3">
      <c r="E2397" t="s">
        <v>2309</v>
      </c>
      <c r="F2397" t="s">
        <v>2069</v>
      </c>
      <c r="G2397" s="72" t="s">
        <v>1945</v>
      </c>
    </row>
    <row r="2398" spans="5:7" x14ac:dyDescent="0.3">
      <c r="E2398" t="s">
        <v>1952</v>
      </c>
      <c r="F2398" t="s">
        <v>2012</v>
      </c>
      <c r="G2398" s="72" t="s">
        <v>1945</v>
      </c>
    </row>
    <row r="2399" spans="5:7" x14ac:dyDescent="0.3">
      <c r="E2399" t="s">
        <v>2310</v>
      </c>
      <c r="F2399" t="s">
        <v>2069</v>
      </c>
      <c r="G2399" s="72" t="s">
        <v>1945</v>
      </c>
    </row>
    <row r="2400" spans="5:7" x14ac:dyDescent="0.3">
      <c r="E2400" t="s">
        <v>1953</v>
      </c>
      <c r="F2400" t="s">
        <v>2069</v>
      </c>
      <c r="G2400" s="72" t="s">
        <v>1945</v>
      </c>
    </row>
    <row r="2401" spans="5:7" x14ac:dyDescent="0.3">
      <c r="E2401" t="s">
        <v>2311</v>
      </c>
      <c r="F2401" t="s">
        <v>2069</v>
      </c>
      <c r="G2401" s="72" t="s">
        <v>1945</v>
      </c>
    </row>
    <row r="2402" spans="5:7" x14ac:dyDescent="0.3">
      <c r="E2402" t="s">
        <v>2312</v>
      </c>
      <c r="F2402" t="s">
        <v>2069</v>
      </c>
      <c r="G2402" s="72" t="s">
        <v>1945</v>
      </c>
    </row>
    <row r="2403" spans="5:7" x14ac:dyDescent="0.3">
      <c r="E2403" t="s">
        <v>2313</v>
      </c>
      <c r="F2403" t="s">
        <v>2069</v>
      </c>
      <c r="G2403" s="72" t="s">
        <v>1945</v>
      </c>
    </row>
    <row r="2404" spans="5:7" x14ac:dyDescent="0.3">
      <c r="E2404" t="s">
        <v>2314</v>
      </c>
      <c r="F2404" t="s">
        <v>2069</v>
      </c>
      <c r="G2404" s="72" t="s">
        <v>1945</v>
      </c>
    </row>
    <row r="2405" spans="5:7" x14ac:dyDescent="0.3">
      <c r="E2405" t="s">
        <v>2315</v>
      </c>
      <c r="F2405" t="s">
        <v>2069</v>
      </c>
      <c r="G2405" s="72" t="s">
        <v>1945</v>
      </c>
    </row>
    <row r="2406" spans="5:7" x14ac:dyDescent="0.3">
      <c r="E2406" t="s">
        <v>2316</v>
      </c>
      <c r="F2406" t="s">
        <v>2069</v>
      </c>
      <c r="G2406" s="72" t="s">
        <v>1945</v>
      </c>
    </row>
    <row r="2407" spans="5:7" x14ac:dyDescent="0.3">
      <c r="E2407" t="s">
        <v>1950</v>
      </c>
      <c r="F2407" t="s">
        <v>1683</v>
      </c>
      <c r="G2407" s="72" t="s">
        <v>1945</v>
      </c>
    </row>
    <row r="2408" spans="5:7" x14ac:dyDescent="0.3">
      <c r="E2408" t="s">
        <v>1946</v>
      </c>
      <c r="F2408" t="s">
        <v>1683</v>
      </c>
      <c r="G2408" s="72" t="s">
        <v>1945</v>
      </c>
    </row>
    <row r="2409" spans="5:7" x14ac:dyDescent="0.3">
      <c r="E2409" t="s">
        <v>1947</v>
      </c>
      <c r="F2409" t="s">
        <v>1683</v>
      </c>
      <c r="G2409" s="72" t="s">
        <v>1945</v>
      </c>
    </row>
    <row r="2410" spans="5:7" x14ac:dyDescent="0.3">
      <c r="E2410" t="s">
        <v>1949</v>
      </c>
      <c r="F2410" t="s">
        <v>1683</v>
      </c>
      <c r="G2410" s="72" t="s">
        <v>1945</v>
      </c>
    </row>
    <row r="2411" spans="5:7" x14ac:dyDescent="0.3">
      <c r="E2411" t="s">
        <v>1959</v>
      </c>
      <c r="F2411" t="s">
        <v>1645</v>
      </c>
      <c r="G2411" s="72" t="s">
        <v>1945</v>
      </c>
    </row>
    <row r="2412" spans="5:7" x14ac:dyDescent="0.3">
      <c r="E2412" t="s">
        <v>2317</v>
      </c>
      <c r="F2412" t="s">
        <v>1659</v>
      </c>
      <c r="G2412" s="72" t="s">
        <v>1945</v>
      </c>
    </row>
    <row r="2413" spans="5:7" x14ac:dyDescent="0.3">
      <c r="E2413" t="s">
        <v>1938</v>
      </c>
      <c r="F2413" t="s">
        <v>2318</v>
      </c>
      <c r="G2413" s="72" t="s">
        <v>1945</v>
      </c>
    </row>
    <row r="2414" spans="5:7" x14ac:dyDescent="0.3">
      <c r="E2414" t="s">
        <v>1967</v>
      </c>
      <c r="F2414" t="s">
        <v>2057</v>
      </c>
      <c r="G2414" s="72" t="s">
        <v>1945</v>
      </c>
    </row>
    <row r="2415" spans="5:7" x14ac:dyDescent="0.3">
      <c r="E2415" t="s">
        <v>2319</v>
      </c>
      <c r="F2415" t="s">
        <v>1674</v>
      </c>
      <c r="G2415" s="72" t="s">
        <v>1945</v>
      </c>
    </row>
    <row r="2416" spans="5:7" x14ac:dyDescent="0.3">
      <c r="E2416" t="s">
        <v>2320</v>
      </c>
      <c r="F2416" t="s">
        <v>2057</v>
      </c>
      <c r="G2416" s="72" t="s">
        <v>1945</v>
      </c>
    </row>
    <row r="2417" spans="5:7" x14ac:dyDescent="0.3">
      <c r="E2417" t="s">
        <v>1965</v>
      </c>
      <c r="F2417" t="s">
        <v>2057</v>
      </c>
      <c r="G2417" s="72" t="s">
        <v>1945</v>
      </c>
    </row>
    <row r="2418" spans="5:7" x14ac:dyDescent="0.3">
      <c r="E2418" t="s">
        <v>2067</v>
      </c>
      <c r="F2418" t="s">
        <v>2067</v>
      </c>
      <c r="G2418" s="72" t="s">
        <v>1945</v>
      </c>
    </row>
    <row r="2419" spans="5:7" x14ac:dyDescent="0.3">
      <c r="E2419" t="s">
        <v>2321</v>
      </c>
      <c r="F2419" t="s">
        <v>2068</v>
      </c>
      <c r="G2419" s="72" t="s">
        <v>1945</v>
      </c>
    </row>
    <row r="2420" spans="5:7" x14ac:dyDescent="0.3">
      <c r="E2420" t="s">
        <v>2322</v>
      </c>
      <c r="F2420" t="s">
        <v>1620</v>
      </c>
      <c r="G2420" s="72" t="s">
        <v>1945</v>
      </c>
    </row>
    <row r="2421" spans="5:7" x14ac:dyDescent="0.3">
      <c r="E2421" t="s">
        <v>1964</v>
      </c>
      <c r="F2421" t="s">
        <v>2061</v>
      </c>
      <c r="G2421" s="72" t="s">
        <v>1945</v>
      </c>
    </row>
    <row r="2422" spans="5:7" x14ac:dyDescent="0.3">
      <c r="E2422" t="s">
        <v>2323</v>
      </c>
      <c r="F2422" t="s">
        <v>2046</v>
      </c>
      <c r="G2422" s="72" t="s">
        <v>1945</v>
      </c>
    </row>
    <row r="2423" spans="5:7" x14ac:dyDescent="0.3">
      <c r="E2423" t="s">
        <v>1968</v>
      </c>
      <c r="F2423" t="s">
        <v>2051</v>
      </c>
      <c r="G2423" s="72" t="s">
        <v>1945</v>
      </c>
    </row>
    <row r="2424" spans="5:7" x14ac:dyDescent="0.3">
      <c r="E2424" t="s">
        <v>2324</v>
      </c>
      <c r="F2424" t="s">
        <v>2067</v>
      </c>
      <c r="G2424" s="72" t="s">
        <v>1945</v>
      </c>
    </row>
    <row r="2425" spans="5:7" x14ac:dyDescent="0.3">
      <c r="E2425" t="s">
        <v>2325</v>
      </c>
      <c r="F2425" t="s">
        <v>2057</v>
      </c>
      <c r="G2425" s="72" t="s">
        <v>1945</v>
      </c>
    </row>
    <row r="2426" spans="5:7" x14ac:dyDescent="0.3">
      <c r="E2426" t="s">
        <v>2326</v>
      </c>
      <c r="F2426" t="s">
        <v>2046</v>
      </c>
      <c r="G2426" s="72" t="s">
        <v>1945</v>
      </c>
    </row>
    <row r="2427" spans="5:7" x14ac:dyDescent="0.3">
      <c r="E2427" t="s">
        <v>2327</v>
      </c>
      <c r="F2427" t="s">
        <v>2057</v>
      </c>
      <c r="G2427" s="72" t="s">
        <v>1945</v>
      </c>
    </row>
    <row r="2428" spans="5:7" x14ac:dyDescent="0.3">
      <c r="E2428" t="s">
        <v>2328</v>
      </c>
      <c r="F2428" t="s">
        <v>1722</v>
      </c>
      <c r="G2428" s="72" t="s">
        <v>1945</v>
      </c>
    </row>
    <row r="2429" spans="5:7" x14ac:dyDescent="0.3">
      <c r="E2429" t="s">
        <v>2329</v>
      </c>
      <c r="F2429" t="s">
        <v>1662</v>
      </c>
      <c r="G2429" s="72" t="s">
        <v>1945</v>
      </c>
    </row>
    <row r="2430" spans="5:7" x14ac:dyDescent="0.3">
      <c r="E2430" t="s">
        <v>2330</v>
      </c>
      <c r="F2430" t="s">
        <v>2046</v>
      </c>
      <c r="G2430" s="72" t="s">
        <v>1945</v>
      </c>
    </row>
    <row r="2431" spans="5:7" x14ac:dyDescent="0.3">
      <c r="E2431" t="s">
        <v>1942</v>
      </c>
      <c r="F2431" t="s">
        <v>2051</v>
      </c>
      <c r="G2431" s="72" t="s">
        <v>1945</v>
      </c>
    </row>
    <row r="2432" spans="5:7" x14ac:dyDescent="0.3">
      <c r="E2432" t="s">
        <v>1963</v>
      </c>
      <c r="F2432" t="s">
        <v>1690</v>
      </c>
      <c r="G2432" s="72" t="s">
        <v>1945</v>
      </c>
    </row>
    <row r="2433" spans="5:7" x14ac:dyDescent="0.3">
      <c r="E2433" s="79" t="s">
        <v>1861</v>
      </c>
      <c r="F2433" t="s">
        <v>2318</v>
      </c>
      <c r="G2433" s="72" t="s">
        <v>1945</v>
      </c>
    </row>
    <row r="2434" spans="5:7" x14ac:dyDescent="0.3">
      <c r="E2434" t="s">
        <v>2347</v>
      </c>
      <c r="F2434" t="s">
        <v>1414</v>
      </c>
      <c r="G2434" s="72" t="s">
        <v>1945</v>
      </c>
    </row>
    <row r="2435" spans="5:7" x14ac:dyDescent="0.3">
      <c r="E2435" t="s">
        <v>1442</v>
      </c>
      <c r="F2435" t="s">
        <v>1442</v>
      </c>
      <c r="G2435" s="72" t="s">
        <v>1945</v>
      </c>
    </row>
    <row r="2436" spans="5:7" x14ac:dyDescent="0.3">
      <c r="E2436" t="s">
        <v>2350</v>
      </c>
      <c r="F2436" t="s">
        <v>2069</v>
      </c>
      <c r="G2436" s="72" t="s">
        <v>1945</v>
      </c>
    </row>
    <row r="2437" spans="5:7" x14ac:dyDescent="0.3">
      <c r="E2437" t="s">
        <v>2351</v>
      </c>
      <c r="F2437" t="s">
        <v>2057</v>
      </c>
      <c r="G2437" s="72" t="s">
        <v>1945</v>
      </c>
    </row>
    <row r="2438" spans="5:7" x14ac:dyDescent="0.3">
      <c r="E2438" t="s">
        <v>1937</v>
      </c>
      <c r="F2438" t="s">
        <v>2055</v>
      </c>
      <c r="G2438" s="72" t="s">
        <v>1945</v>
      </c>
    </row>
    <row r="2439" spans="5:7" x14ac:dyDescent="0.3">
      <c r="E2439" t="s">
        <v>2355</v>
      </c>
      <c r="F2439" t="s">
        <v>1664</v>
      </c>
      <c r="G2439" s="72" t="s">
        <v>1945</v>
      </c>
    </row>
    <row r="2440" spans="5:7" x14ac:dyDescent="0.3">
      <c r="E2440" t="s">
        <v>2366</v>
      </c>
      <c r="F2440" t="s">
        <v>2051</v>
      </c>
      <c r="G2440" s="72" t="s">
        <v>1945</v>
      </c>
    </row>
    <row r="2441" spans="5:7" x14ac:dyDescent="0.3">
      <c r="E2441" t="s">
        <v>1972</v>
      </c>
      <c r="F2441" t="s">
        <v>2069</v>
      </c>
      <c r="G2441" s="72" t="s">
        <v>1945</v>
      </c>
    </row>
    <row r="2442" spans="5:7" x14ac:dyDescent="0.3">
      <c r="E2442" t="s">
        <v>1966</v>
      </c>
      <c r="F2442" t="s">
        <v>1664</v>
      </c>
      <c r="G2442" s="72" t="s">
        <v>1945</v>
      </c>
    </row>
    <row r="2443" spans="5:7" x14ac:dyDescent="0.3">
      <c r="E2443" t="s">
        <v>1969</v>
      </c>
      <c r="F2443" t="s">
        <v>2012</v>
      </c>
      <c r="G2443" s="72" t="s">
        <v>1945</v>
      </c>
    </row>
    <row r="2444" spans="5:7" x14ac:dyDescent="0.3">
      <c r="E2444" t="s">
        <v>2367</v>
      </c>
      <c r="F2444" t="s">
        <v>2035</v>
      </c>
      <c r="G2444" s="72" t="s">
        <v>1945</v>
      </c>
    </row>
    <row r="2445" spans="5:7" x14ac:dyDescent="0.3">
      <c r="E2445" t="s">
        <v>2368</v>
      </c>
      <c r="F2445" t="s">
        <v>1678</v>
      </c>
      <c r="G2445" s="72" t="s">
        <v>1945</v>
      </c>
    </row>
    <row r="2446" spans="5:7" x14ac:dyDescent="0.3">
      <c r="E2446" t="s">
        <v>2369</v>
      </c>
      <c r="F2446" t="s">
        <v>2041</v>
      </c>
      <c r="G2446" s="72" t="s">
        <v>1945</v>
      </c>
    </row>
    <row r="2447" spans="5:7" x14ac:dyDescent="0.3">
      <c r="E2447" t="s">
        <v>2370</v>
      </c>
      <c r="F2447" t="s">
        <v>1713</v>
      </c>
      <c r="G2447" s="72" t="s">
        <v>1945</v>
      </c>
    </row>
    <row r="2448" spans="5:7" x14ac:dyDescent="0.3">
      <c r="E2448" t="s">
        <v>2371</v>
      </c>
      <c r="F2448" t="s">
        <v>2061</v>
      </c>
      <c r="G2448" s="72" t="s">
        <v>1945</v>
      </c>
    </row>
    <row r="2449" spans="5:7" x14ac:dyDescent="0.3">
      <c r="E2449" t="s">
        <v>2372</v>
      </c>
      <c r="F2449" t="s">
        <v>1681</v>
      </c>
      <c r="G2449" s="72" t="s">
        <v>1945</v>
      </c>
    </row>
    <row r="2450" spans="5:7" x14ac:dyDescent="0.3">
      <c r="E2450" t="s">
        <v>2373</v>
      </c>
      <c r="F2450" t="s">
        <v>1673</v>
      </c>
      <c r="G2450" s="72" t="s">
        <v>1945</v>
      </c>
    </row>
    <row r="2451" spans="5:7" x14ac:dyDescent="0.3">
      <c r="E2451" t="s">
        <v>2374</v>
      </c>
      <c r="F2451" t="s">
        <v>1647</v>
      </c>
      <c r="G2451" s="72" t="s">
        <v>1945</v>
      </c>
    </row>
    <row r="2452" spans="5:7" x14ac:dyDescent="0.3">
      <c r="E2452" t="s">
        <v>2375</v>
      </c>
      <c r="F2452" t="s">
        <v>2042</v>
      </c>
      <c r="G2452" s="72" t="s">
        <v>1945</v>
      </c>
    </row>
    <row r="2453" spans="5:7" x14ac:dyDescent="0.3">
      <c r="E2453" t="s">
        <v>2376</v>
      </c>
      <c r="F2453" s="79" t="s">
        <v>1700</v>
      </c>
      <c r="G2453" s="72" t="s">
        <v>1945</v>
      </c>
    </row>
    <row r="2454" spans="5:7" x14ac:dyDescent="0.3">
      <c r="E2454" t="s">
        <v>2377</v>
      </c>
      <c r="F2454" t="s">
        <v>1436</v>
      </c>
      <c r="G2454" s="72" t="s">
        <v>1945</v>
      </c>
    </row>
    <row r="2455" spans="5:7" x14ac:dyDescent="0.3">
      <c r="E2455" t="s">
        <v>2378</v>
      </c>
      <c r="F2455" t="s">
        <v>1409</v>
      </c>
      <c r="G2455" s="72" t="s">
        <v>1945</v>
      </c>
    </row>
    <row r="2456" spans="5:7" x14ac:dyDescent="0.3">
      <c r="E2456" t="s">
        <v>2379</v>
      </c>
      <c r="F2456" t="s">
        <v>1404</v>
      </c>
      <c r="G2456" s="72" t="s">
        <v>1945</v>
      </c>
    </row>
    <row r="2457" spans="5:7" x14ac:dyDescent="0.3">
      <c r="E2457" t="s">
        <v>2380</v>
      </c>
      <c r="F2457" t="s">
        <v>2011</v>
      </c>
      <c r="G2457" s="72" t="s">
        <v>1945</v>
      </c>
    </row>
    <row r="2458" spans="5:7" x14ac:dyDescent="0.3">
      <c r="E2458" t="s">
        <v>2381</v>
      </c>
      <c r="F2458" t="s">
        <v>2018</v>
      </c>
      <c r="G2458" s="72" t="s">
        <v>1945</v>
      </c>
    </row>
    <row r="2459" spans="5:7" x14ac:dyDescent="0.3">
      <c r="E2459" t="s">
        <v>2382</v>
      </c>
      <c r="F2459" t="s">
        <v>2008</v>
      </c>
      <c r="G2459" s="72" t="s">
        <v>1945</v>
      </c>
    </row>
    <row r="2460" spans="5:7" x14ac:dyDescent="0.3">
      <c r="E2460" t="s">
        <v>2383</v>
      </c>
      <c r="F2460" t="s">
        <v>1618</v>
      </c>
      <c r="G2460" s="72" t="s">
        <v>1945</v>
      </c>
    </row>
    <row r="2461" spans="5:7" x14ac:dyDescent="0.3">
      <c r="E2461" t="s">
        <v>2384</v>
      </c>
      <c r="F2461" t="s">
        <v>1713</v>
      </c>
      <c r="G2461" s="72" t="s">
        <v>1945</v>
      </c>
    </row>
    <row r="2462" spans="5:7" x14ac:dyDescent="0.3">
      <c r="E2462" t="s">
        <v>2385</v>
      </c>
      <c r="F2462" t="s">
        <v>1408</v>
      </c>
      <c r="G2462" s="72" t="s">
        <v>1945</v>
      </c>
    </row>
    <row r="2463" spans="5:7" x14ac:dyDescent="0.3">
      <c r="E2463" t="s">
        <v>2386</v>
      </c>
      <c r="F2463" t="s">
        <v>1779</v>
      </c>
      <c r="G2463" s="72" t="s">
        <v>1945</v>
      </c>
    </row>
    <row r="2464" spans="5:7" x14ac:dyDescent="0.3">
      <c r="E2464" t="s">
        <v>2387</v>
      </c>
      <c r="F2464" t="s">
        <v>1687</v>
      </c>
      <c r="G2464" s="72" t="s">
        <v>1945</v>
      </c>
    </row>
    <row r="2465" spans="5:7" x14ac:dyDescent="0.3">
      <c r="E2465" t="s">
        <v>1955</v>
      </c>
      <c r="F2465" t="s">
        <v>1605</v>
      </c>
      <c r="G2465" s="72" t="s">
        <v>1945</v>
      </c>
    </row>
    <row r="2466" spans="5:7" x14ac:dyDescent="0.3">
      <c r="E2466" t="s">
        <v>2388</v>
      </c>
      <c r="F2466" t="s">
        <v>1759</v>
      </c>
      <c r="G2466" s="72" t="s">
        <v>1945</v>
      </c>
    </row>
    <row r="2467" spans="5:7" x14ac:dyDescent="0.3">
      <c r="E2467" t="s">
        <v>1970</v>
      </c>
      <c r="F2467" t="s">
        <v>2273</v>
      </c>
      <c r="G2467" s="72" t="s">
        <v>1945</v>
      </c>
    </row>
    <row r="2468" spans="5:7" x14ac:dyDescent="0.3">
      <c r="E2468" t="s">
        <v>2389</v>
      </c>
      <c r="F2468" t="s">
        <v>2034</v>
      </c>
      <c r="G2468" s="72" t="s">
        <v>1945</v>
      </c>
    </row>
    <row r="2469" spans="5:7" x14ac:dyDescent="0.3">
      <c r="E2469" t="s">
        <v>2390</v>
      </c>
      <c r="F2469" s="79" t="s">
        <v>1771</v>
      </c>
      <c r="G2469" s="72" t="s">
        <v>1945</v>
      </c>
    </row>
    <row r="2470" spans="5:7" x14ac:dyDescent="0.3">
      <c r="E2470" t="s">
        <v>2391</v>
      </c>
      <c r="F2470" t="s">
        <v>2034</v>
      </c>
      <c r="G2470" s="72" t="s">
        <v>1945</v>
      </c>
    </row>
    <row r="2471" spans="5:7" x14ac:dyDescent="0.3">
      <c r="E2471" t="s">
        <v>2392</v>
      </c>
      <c r="F2471" t="s">
        <v>1615</v>
      </c>
      <c r="G2471" s="72" t="s">
        <v>1945</v>
      </c>
    </row>
    <row r="2472" spans="5:7" x14ac:dyDescent="0.3">
      <c r="E2472" t="s">
        <v>2394</v>
      </c>
      <c r="F2472" t="s">
        <v>2066</v>
      </c>
      <c r="G2472" s="72" t="s">
        <v>1945</v>
      </c>
    </row>
    <row r="2473" spans="5:7" x14ac:dyDescent="0.3">
      <c r="E2473" t="s">
        <v>2396</v>
      </c>
      <c r="F2473" t="s">
        <v>1681</v>
      </c>
      <c r="G2473" s="72" t="s">
        <v>1945</v>
      </c>
    </row>
    <row r="2474" spans="5:7" x14ac:dyDescent="0.3">
      <c r="E2474" t="s">
        <v>2397</v>
      </c>
      <c r="F2474" t="s">
        <v>1717</v>
      </c>
      <c r="G2474" s="72" t="s">
        <v>1945</v>
      </c>
    </row>
    <row r="2475" spans="5:7" x14ac:dyDescent="0.3">
      <c r="E2475" t="s">
        <v>2398</v>
      </c>
      <c r="F2475" t="s">
        <v>1417</v>
      </c>
      <c r="G2475" s="72" t="s">
        <v>1945</v>
      </c>
    </row>
    <row r="2476" spans="5:7" x14ac:dyDescent="0.3">
      <c r="E2476" t="s">
        <v>2409</v>
      </c>
      <c r="F2476" t="s">
        <v>2051</v>
      </c>
      <c r="G2476" s="72" t="s">
        <v>1945</v>
      </c>
    </row>
    <row r="2477" spans="5:7" x14ac:dyDescent="0.3">
      <c r="E2477" t="s">
        <v>2410</v>
      </c>
      <c r="F2477" t="s">
        <v>2007</v>
      </c>
      <c r="G2477" s="72" t="s">
        <v>1945</v>
      </c>
    </row>
    <row r="2478" spans="5:7" x14ac:dyDescent="0.3">
      <c r="E2478" t="s">
        <v>2411</v>
      </c>
      <c r="F2478" t="s">
        <v>1652</v>
      </c>
      <c r="G2478" s="72" t="s">
        <v>1945</v>
      </c>
    </row>
    <row r="2479" spans="5:7" x14ac:dyDescent="0.3">
      <c r="E2479" t="s">
        <v>2412</v>
      </c>
      <c r="F2479" t="s">
        <v>1404</v>
      </c>
      <c r="G2479" s="72" t="s">
        <v>1945</v>
      </c>
    </row>
    <row r="2480" spans="5:7" x14ac:dyDescent="0.3">
      <c r="E2480" s="79" t="s">
        <v>2420</v>
      </c>
      <c r="F2480" s="79" t="s">
        <v>1427</v>
      </c>
      <c r="G2480" s="72" t="s">
        <v>1945</v>
      </c>
    </row>
    <row r="2481" spans="5:7" x14ac:dyDescent="0.3">
      <c r="E2481" s="79" t="s">
        <v>2421</v>
      </c>
      <c r="F2481" t="s">
        <v>1676</v>
      </c>
      <c r="G2481" s="72" t="s">
        <v>1945</v>
      </c>
    </row>
    <row r="2482" spans="5:7" x14ac:dyDescent="0.3">
      <c r="E2482" t="s">
        <v>1973</v>
      </c>
      <c r="F2482" t="s">
        <v>1699</v>
      </c>
      <c r="G2482" s="72" t="s">
        <v>1945</v>
      </c>
    </row>
    <row r="2483" spans="5:7" x14ac:dyDescent="0.3">
      <c r="E2483" t="s">
        <v>2421</v>
      </c>
      <c r="F2483" t="s">
        <v>1676</v>
      </c>
      <c r="G2483" s="72" t="s">
        <v>1945</v>
      </c>
    </row>
    <row r="2484" spans="5:7" x14ac:dyDescent="0.3">
      <c r="E2484" t="s">
        <v>1975</v>
      </c>
      <c r="F2484" t="s">
        <v>1654</v>
      </c>
      <c r="G2484" s="72" t="s">
        <v>1945</v>
      </c>
    </row>
    <row r="2485" spans="5:7" x14ac:dyDescent="0.3">
      <c r="E2485" s="79" t="s">
        <v>1941</v>
      </c>
      <c r="F2485" s="79" t="s">
        <v>1941</v>
      </c>
      <c r="G2485" s="72" t="s">
        <v>1945</v>
      </c>
    </row>
    <row r="2486" spans="5:7" x14ac:dyDescent="0.3">
      <c r="E2486" t="s">
        <v>1802</v>
      </c>
      <c r="F2486" t="s">
        <v>1646</v>
      </c>
      <c r="G2486" s="84" t="s">
        <v>1787</v>
      </c>
    </row>
    <row r="2487" spans="5:7" x14ac:dyDescent="0.3">
      <c r="E2487" t="s">
        <v>1842</v>
      </c>
      <c r="F2487" s="7" t="s">
        <v>1438</v>
      </c>
      <c r="G2487" s="84" t="s">
        <v>1787</v>
      </c>
    </row>
    <row r="2488" spans="5:7" x14ac:dyDescent="0.3">
      <c r="E2488" t="s">
        <v>1843</v>
      </c>
      <c r="F2488" s="7" t="s">
        <v>1438</v>
      </c>
      <c r="G2488" s="84" t="s">
        <v>1787</v>
      </c>
    </row>
    <row r="2489" spans="5:7" x14ac:dyDescent="0.3">
      <c r="E2489" t="s">
        <v>1844</v>
      </c>
      <c r="F2489" s="7" t="s">
        <v>1438</v>
      </c>
      <c r="G2489" s="84" t="s">
        <v>1787</v>
      </c>
    </row>
    <row r="2490" spans="5:7" x14ac:dyDescent="0.3">
      <c r="E2490" t="s">
        <v>1845</v>
      </c>
      <c r="F2490" s="7" t="s">
        <v>1438</v>
      </c>
      <c r="G2490" s="84" t="s">
        <v>1787</v>
      </c>
    </row>
    <row r="2491" spans="5:7" x14ac:dyDescent="0.3">
      <c r="E2491" t="s">
        <v>1846</v>
      </c>
      <c r="F2491" s="85" t="s">
        <v>1438</v>
      </c>
      <c r="G2491" s="84" t="s">
        <v>1787</v>
      </c>
    </row>
    <row r="2492" spans="5:7" x14ac:dyDescent="0.3">
      <c r="E2492" t="s">
        <v>1851</v>
      </c>
      <c r="F2492" s="54" t="s">
        <v>2790</v>
      </c>
      <c r="G2492" s="81" t="s">
        <v>2783</v>
      </c>
    </row>
    <row r="2493" spans="5:7" x14ac:dyDescent="0.3">
      <c r="E2493" t="s">
        <v>1941</v>
      </c>
      <c r="F2493" s="54" t="s">
        <v>1941</v>
      </c>
      <c r="G2493" s="81" t="s">
        <v>1935</v>
      </c>
    </row>
    <row r="2494" spans="5:7" x14ac:dyDescent="0.3">
      <c r="E2494" t="s">
        <v>1951</v>
      </c>
      <c r="F2494" s="54" t="s">
        <v>1437</v>
      </c>
      <c r="G2494" s="81" t="s">
        <v>1945</v>
      </c>
    </row>
    <row r="2495" spans="5:7" x14ac:dyDescent="0.3">
      <c r="E2495" t="s">
        <v>1962</v>
      </c>
      <c r="F2495" s="54" t="s">
        <v>1962</v>
      </c>
      <c r="G2495" s="81" t="s">
        <v>1935</v>
      </c>
    </row>
    <row r="2496" spans="5:7" x14ac:dyDescent="0.3">
      <c r="E2496" t="s">
        <v>1974</v>
      </c>
      <c r="F2496" s="85" t="s">
        <v>1391</v>
      </c>
      <c r="G2496" s="72" t="s">
        <v>2784</v>
      </c>
    </row>
    <row r="2497" spans="5:7" x14ac:dyDescent="0.3">
      <c r="E2497" t="s">
        <v>1975</v>
      </c>
      <c r="F2497" s="73" t="s">
        <v>1654</v>
      </c>
      <c r="G2497" s="72" t="s">
        <v>2784</v>
      </c>
    </row>
    <row r="2498" spans="5:7" x14ac:dyDescent="0.3">
      <c r="E2498" t="s">
        <v>1962</v>
      </c>
      <c r="F2498" t="s">
        <v>1962</v>
      </c>
      <c r="G2498" s="81" t="s">
        <v>1945</v>
      </c>
    </row>
    <row r="2499" spans="5:7" x14ac:dyDescent="0.3">
      <c r="E2499" t="s">
        <v>2785</v>
      </c>
      <c r="F2499" t="s">
        <v>1421</v>
      </c>
      <c r="G2499" s="81" t="s">
        <v>1787</v>
      </c>
    </row>
    <row r="2500" spans="5:7" x14ac:dyDescent="0.3">
      <c r="E2500" t="s">
        <v>2786</v>
      </c>
      <c r="F2500" t="s">
        <v>2789</v>
      </c>
      <c r="G2500" t="s">
        <v>2786</v>
      </c>
    </row>
    <row r="2501" spans="5:7" x14ac:dyDescent="0.3">
      <c r="E2501" t="s">
        <v>2787</v>
      </c>
      <c r="F2501" t="s">
        <v>2789</v>
      </c>
      <c r="G2501" t="s">
        <v>2787</v>
      </c>
    </row>
    <row r="2502" spans="5:7" x14ac:dyDescent="0.3">
      <c r="E2502" t="s">
        <v>2788</v>
      </c>
      <c r="F2502" t="s">
        <v>2789</v>
      </c>
      <c r="G2502" t="s">
        <v>2788</v>
      </c>
    </row>
    <row r="2503" spans="5:7" x14ac:dyDescent="0.3">
      <c r="E2503" t="s">
        <v>3005</v>
      </c>
      <c r="F2503" t="s">
        <v>1421</v>
      </c>
      <c r="G2503" s="71" t="s">
        <v>1787</v>
      </c>
    </row>
    <row r="2504" spans="5:7" x14ac:dyDescent="0.3">
      <c r="E2504" t="s">
        <v>2037</v>
      </c>
      <c r="F2504" t="s">
        <v>1775</v>
      </c>
      <c r="G2504" t="s">
        <v>1787</v>
      </c>
    </row>
    <row r="2505" spans="5:7" x14ac:dyDescent="0.3">
      <c r="E2505" t="s">
        <v>3004</v>
      </c>
      <c r="F2505" t="s">
        <v>1775</v>
      </c>
      <c r="G2505" t="s">
        <v>1787</v>
      </c>
    </row>
    <row r="2506" spans="5:7" x14ac:dyDescent="0.3">
      <c r="E2506" t="s">
        <v>3007</v>
      </c>
      <c r="F2506" t="s">
        <v>1607</v>
      </c>
      <c r="G2506">
        <v>26</v>
      </c>
    </row>
    <row r="2507" spans="5:7" x14ac:dyDescent="0.3">
      <c r="E2507" t="s">
        <v>1607</v>
      </c>
      <c r="F2507" t="s">
        <v>1607</v>
      </c>
      <c r="G2507">
        <v>26</v>
      </c>
    </row>
    <row r="2508" spans="5:7" x14ac:dyDescent="0.3">
      <c r="E2508" t="s">
        <v>2283</v>
      </c>
      <c r="F2508" t="s">
        <v>2007</v>
      </c>
      <c r="G2508" t="s">
        <v>1787</v>
      </c>
    </row>
    <row r="2509" spans="5:7" x14ac:dyDescent="0.3">
      <c r="E2509" t="s">
        <v>3014</v>
      </c>
      <c r="F2509" t="s">
        <v>2007</v>
      </c>
      <c r="G2509" t="s">
        <v>1945</v>
      </c>
    </row>
    <row r="2510" spans="5:7" x14ac:dyDescent="0.3">
      <c r="E2510" t="s">
        <v>3011</v>
      </c>
      <c r="F2510" s="4" t="s">
        <v>1710</v>
      </c>
      <c r="G2510" t="s">
        <v>1945</v>
      </c>
    </row>
    <row r="2511" spans="5:7" x14ac:dyDescent="0.3">
      <c r="E2511" t="s">
        <v>2017</v>
      </c>
      <c r="F2511" t="s">
        <v>1432</v>
      </c>
      <c r="G2511" s="71" t="s">
        <v>1787</v>
      </c>
    </row>
    <row r="2512" spans="5:7" x14ac:dyDescent="0.3">
      <c r="E2512" t="s">
        <v>3013</v>
      </c>
      <c r="F2512" s="7" t="s">
        <v>2007</v>
      </c>
      <c r="G2512" s="71" t="s">
        <v>1945</v>
      </c>
    </row>
    <row r="2513" spans="5:7" x14ac:dyDescent="0.3">
      <c r="E2513" t="s">
        <v>3003</v>
      </c>
      <c r="F2513" t="s">
        <v>1616</v>
      </c>
      <c r="G2513" s="71" t="s">
        <v>1787</v>
      </c>
    </row>
    <row r="2514" spans="5:7" x14ac:dyDescent="0.3">
      <c r="E2514" t="s">
        <v>3012</v>
      </c>
      <c r="F2514" t="s">
        <v>1599</v>
      </c>
      <c r="G2514" s="71" t="s">
        <v>1945</v>
      </c>
    </row>
    <row r="2515" spans="5:7" x14ac:dyDescent="0.3">
      <c r="E2515" t="s">
        <v>3006</v>
      </c>
      <c r="F2515" t="s">
        <v>3006</v>
      </c>
      <c r="G2515" s="71" t="s">
        <v>1787</v>
      </c>
    </row>
    <row r="2516" spans="5:7" x14ac:dyDescent="0.3">
      <c r="E2516" t="s">
        <v>3015</v>
      </c>
      <c r="F2516" t="s">
        <v>2034</v>
      </c>
      <c r="G2516" t="s">
        <v>1945</v>
      </c>
    </row>
    <row r="2517" spans="5:7" x14ac:dyDescent="0.3">
      <c r="E2517" t="s">
        <v>3010</v>
      </c>
      <c r="F2517" t="s">
        <v>1764</v>
      </c>
      <c r="G2517" s="71" t="s">
        <v>1945</v>
      </c>
    </row>
    <row r="2518" spans="5:7" x14ac:dyDescent="0.3">
      <c r="E2518" t="s">
        <v>1940</v>
      </c>
      <c r="F2518" t="s">
        <v>1940</v>
      </c>
      <c r="G2518" t="s">
        <v>1945</v>
      </c>
    </row>
    <row r="2519" spans="5:7" x14ac:dyDescent="0.3">
      <c r="E2519" t="s">
        <v>3009</v>
      </c>
      <c r="F2519" t="s">
        <v>3023</v>
      </c>
      <c r="G2519" t="s">
        <v>1935</v>
      </c>
    </row>
    <row r="2520" spans="5:7" x14ac:dyDescent="0.3">
      <c r="E2520" t="s">
        <v>3008</v>
      </c>
      <c r="F2520" t="s">
        <v>3023</v>
      </c>
      <c r="G2520" t="s">
        <v>1935</v>
      </c>
    </row>
    <row r="2521" spans="5:7" x14ac:dyDescent="0.3">
      <c r="E2521" t="s">
        <v>3009</v>
      </c>
      <c r="F2521" t="s">
        <v>3023</v>
      </c>
      <c r="G2521" t="s">
        <v>1945</v>
      </c>
    </row>
    <row r="2522" spans="5:7" x14ac:dyDescent="0.3">
      <c r="E2522" t="s">
        <v>3008</v>
      </c>
      <c r="F2522" t="s">
        <v>3023</v>
      </c>
      <c r="G2522" t="s">
        <v>1945</v>
      </c>
    </row>
    <row r="2523" spans="5:7" x14ac:dyDescent="0.3">
      <c r="E2523" t="s">
        <v>1434</v>
      </c>
      <c r="F2523" t="s">
        <v>1434</v>
      </c>
      <c r="G2523" s="71" t="s">
        <v>1787</v>
      </c>
    </row>
    <row r="2524" spans="5:7" x14ac:dyDescent="0.3">
      <c r="E2524" t="s">
        <v>1611</v>
      </c>
      <c r="F2524" t="s">
        <v>1611</v>
      </c>
      <c r="G2524" s="71" t="s">
        <v>1787</v>
      </c>
    </row>
    <row r="2525" spans="5:7" x14ac:dyDescent="0.3">
      <c r="E2525" t="s">
        <v>3024</v>
      </c>
      <c r="F2525" t="s">
        <v>3024</v>
      </c>
      <c r="G2525" s="71" t="s">
        <v>1787</v>
      </c>
    </row>
    <row r="2526" spans="5:7" x14ac:dyDescent="0.3">
      <c r="E2526" t="s">
        <v>3025</v>
      </c>
      <c r="F2526" t="s">
        <v>3025</v>
      </c>
      <c r="G2526" s="71" t="s">
        <v>1782</v>
      </c>
    </row>
    <row r="2527" spans="5:7" x14ac:dyDescent="0.3">
      <c r="E2527" t="s">
        <v>3026</v>
      </c>
      <c r="F2527" t="s">
        <v>1675</v>
      </c>
      <c r="G2527" s="71" t="s">
        <v>1782</v>
      </c>
    </row>
    <row r="2528" spans="5:7" x14ac:dyDescent="0.3">
      <c r="E2528" t="s">
        <v>3027</v>
      </c>
      <c r="F2528" t="s">
        <v>2069</v>
      </c>
      <c r="G2528" s="71" t="s">
        <v>1945</v>
      </c>
    </row>
    <row r="2529" spans="5:7" x14ac:dyDescent="0.3">
      <c r="E2529" t="s">
        <v>3027</v>
      </c>
      <c r="F2529" t="s">
        <v>2069</v>
      </c>
      <c r="G2529" s="71" t="s">
        <v>1935</v>
      </c>
    </row>
    <row r="2530" spans="5:7" x14ac:dyDescent="0.3">
      <c r="E2530" t="s">
        <v>3028</v>
      </c>
      <c r="F2530" s="4" t="s">
        <v>1658</v>
      </c>
      <c r="G2530" t="s">
        <v>1935</v>
      </c>
    </row>
    <row r="2531" spans="5:7" x14ac:dyDescent="0.3">
      <c r="E2531" t="s">
        <v>3029</v>
      </c>
      <c r="F2531" s="4" t="s">
        <v>1659</v>
      </c>
      <c r="G2531" t="s">
        <v>1945</v>
      </c>
    </row>
    <row r="2532" spans="5:7" x14ac:dyDescent="0.3">
      <c r="E2532" t="s">
        <v>2529</v>
      </c>
      <c r="F2532" t="s">
        <v>1744</v>
      </c>
      <c r="G2532" t="s">
        <v>1787</v>
      </c>
    </row>
    <row r="2533" spans="5:7" x14ac:dyDescent="0.3">
      <c r="E2533" t="s">
        <v>3112</v>
      </c>
      <c r="F2533" t="s">
        <v>3112</v>
      </c>
      <c r="G2533" t="s">
        <v>1782</v>
      </c>
    </row>
    <row r="2534" spans="5:7" x14ac:dyDescent="0.3">
      <c r="E2534" t="s">
        <v>3113</v>
      </c>
      <c r="F2534" t="s">
        <v>3113</v>
      </c>
      <c r="G2534" t="s">
        <v>1782</v>
      </c>
    </row>
    <row r="2535" spans="5:7" x14ac:dyDescent="0.3">
      <c r="E2535" t="s">
        <v>3114</v>
      </c>
      <c r="F2535" t="s">
        <v>1396</v>
      </c>
      <c r="G2535" t="s">
        <v>1935</v>
      </c>
    </row>
    <row r="2536" spans="5:7" x14ac:dyDescent="0.3">
      <c r="E2536" t="s">
        <v>1975</v>
      </c>
      <c r="F2536" s="73" t="s">
        <v>1654</v>
      </c>
      <c r="G2536" s="71" t="s">
        <v>3115</v>
      </c>
    </row>
    <row r="2537" spans="5:7" x14ac:dyDescent="0.3">
      <c r="E2537" t="s">
        <v>3116</v>
      </c>
      <c r="F2537" t="s">
        <v>2069</v>
      </c>
      <c r="G2537" t="s">
        <v>1945</v>
      </c>
    </row>
    <row r="2538" spans="5:7" x14ac:dyDescent="0.3">
      <c r="E2538" t="s">
        <v>3117</v>
      </c>
      <c r="F2538" t="s">
        <v>2069</v>
      </c>
      <c r="G2538" t="s">
        <v>1945</v>
      </c>
    </row>
    <row r="2539" spans="5:7" x14ac:dyDescent="0.3">
      <c r="E2539" t="s">
        <v>3118</v>
      </c>
      <c r="F2539" t="s">
        <v>2069</v>
      </c>
      <c r="G2539" t="s">
        <v>1945</v>
      </c>
    </row>
    <row r="2540" spans="5:7" x14ac:dyDescent="0.3">
      <c r="E2540" s="104" t="s">
        <v>1941</v>
      </c>
      <c r="F2540" s="103" t="s">
        <v>1941</v>
      </c>
      <c r="G2540" s="104" t="s">
        <v>2083</v>
      </c>
    </row>
    <row r="2541" spans="5:7" x14ac:dyDescent="0.3">
      <c r="E2541" s="104" t="s">
        <v>3114</v>
      </c>
      <c r="F2541" s="105" t="s">
        <v>1396</v>
      </c>
      <c r="G2541" s="104" t="s">
        <v>2083</v>
      </c>
    </row>
    <row r="2542" spans="5:7" x14ac:dyDescent="0.3">
      <c r="E2542" s="104" t="s">
        <v>3008</v>
      </c>
      <c r="F2542" s="105" t="s">
        <v>3023</v>
      </c>
      <c r="G2542" s="104" t="s">
        <v>2083</v>
      </c>
    </row>
    <row r="2543" spans="5:7" x14ac:dyDescent="0.3">
      <c r="E2543" s="104" t="s">
        <v>3009</v>
      </c>
      <c r="F2543" s="105" t="s">
        <v>3023</v>
      </c>
      <c r="G2543" s="104" t="s">
        <v>2083</v>
      </c>
    </row>
    <row r="2544" spans="5:7" x14ac:dyDescent="0.3">
      <c r="E2544" s="104" t="s">
        <v>3028</v>
      </c>
      <c r="F2544" s="106" t="s">
        <v>1658</v>
      </c>
      <c r="G2544" s="104" t="s">
        <v>2083</v>
      </c>
    </row>
    <row r="2545" spans="5:7" x14ac:dyDescent="0.3">
      <c r="E2545" s="104" t="s">
        <v>3116</v>
      </c>
      <c r="F2545" s="105" t="s">
        <v>2069</v>
      </c>
      <c r="G2545" s="104" t="s">
        <v>2082</v>
      </c>
    </row>
    <row r="2546" spans="5:7" x14ac:dyDescent="0.3">
      <c r="E2546" s="104" t="s">
        <v>3117</v>
      </c>
      <c r="F2546" s="105" t="s">
        <v>2069</v>
      </c>
      <c r="G2546" s="104" t="s">
        <v>2082</v>
      </c>
    </row>
    <row r="2547" spans="5:7" x14ac:dyDescent="0.3">
      <c r="E2547" s="104" t="s">
        <v>3118</v>
      </c>
      <c r="F2547" s="105" t="s">
        <v>2069</v>
      </c>
      <c r="G2547" s="104" t="s">
        <v>2082</v>
      </c>
    </row>
    <row r="2548" spans="5:7" x14ac:dyDescent="0.3">
      <c r="E2548" s="104" t="s">
        <v>3009</v>
      </c>
      <c r="F2548" s="105" t="s">
        <v>3023</v>
      </c>
      <c r="G2548" s="104" t="s">
        <v>2082</v>
      </c>
    </row>
    <row r="2549" spans="5:7" x14ac:dyDescent="0.3">
      <c r="E2549" s="107"/>
      <c r="F2549" s="103"/>
      <c r="G2549" s="10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8B5E9-5439-4E8F-BBBA-74921648734B}">
  <sheetPr codeName="Sheet10"/>
  <dimension ref="A1:J124"/>
  <sheetViews>
    <sheetView workbookViewId="0">
      <selection activeCell="I1" sqref="I1:I1048576"/>
    </sheetView>
  </sheetViews>
  <sheetFormatPr defaultRowHeight="14.4" x14ac:dyDescent="0.3"/>
  <cols>
    <col min="1" max="1" width="15.77734375" bestFit="1" customWidth="1"/>
    <col min="2" max="2" width="13.109375" style="3" bestFit="1" customWidth="1"/>
    <col min="3" max="3" width="34.6640625" bestFit="1" customWidth="1"/>
    <col min="8" max="8" width="15.77734375" bestFit="1" customWidth="1"/>
    <col min="9" max="9" width="13.109375" style="3" bestFit="1" customWidth="1"/>
    <col min="10" max="10" width="32.5546875" bestFit="1" customWidth="1"/>
  </cols>
  <sheetData>
    <row r="1" spans="1:10" x14ac:dyDescent="0.3">
      <c r="H1" t="s">
        <v>1786</v>
      </c>
      <c r="I1" s="3" t="s">
        <v>1976</v>
      </c>
      <c r="J1" t="s">
        <v>2782</v>
      </c>
    </row>
    <row r="2" spans="1:10" x14ac:dyDescent="0.3">
      <c r="A2" s="101"/>
      <c r="H2" s="101" t="s">
        <v>2793</v>
      </c>
      <c r="I2" s="3">
        <v>28907563.300000001</v>
      </c>
      <c r="J2" t="s">
        <v>3065</v>
      </c>
    </row>
    <row r="3" spans="1:10" x14ac:dyDescent="0.3">
      <c r="A3" s="101"/>
      <c r="H3" s="101" t="s">
        <v>2794</v>
      </c>
      <c r="I3" s="3">
        <v>267113388.13999999</v>
      </c>
      <c r="J3" t="s">
        <v>3090</v>
      </c>
    </row>
    <row r="4" spans="1:10" x14ac:dyDescent="0.3">
      <c r="A4" s="101"/>
      <c r="H4" s="101" t="s">
        <v>2795</v>
      </c>
      <c r="I4" s="3">
        <v>3031312.07</v>
      </c>
      <c r="J4" t="s">
        <v>3065</v>
      </c>
    </row>
    <row r="5" spans="1:10" x14ac:dyDescent="0.3">
      <c r="A5" s="101"/>
      <c r="H5" s="101" t="s">
        <v>2798</v>
      </c>
      <c r="I5" s="3">
        <v>-9527623.6300000008</v>
      </c>
      <c r="J5" t="s">
        <v>3065</v>
      </c>
    </row>
    <row r="6" spans="1:10" x14ac:dyDescent="0.3">
      <c r="A6" s="101"/>
      <c r="H6" s="101" t="s">
        <v>2799</v>
      </c>
      <c r="I6" s="3">
        <v>-507892728.89999998</v>
      </c>
      <c r="J6" t="s">
        <v>3065</v>
      </c>
    </row>
    <row r="7" spans="1:10" x14ac:dyDescent="0.3">
      <c r="A7" s="101"/>
      <c r="H7" s="101" t="s">
        <v>2800</v>
      </c>
      <c r="I7" s="3">
        <v>-106139749.38</v>
      </c>
      <c r="J7" t="s">
        <v>3090</v>
      </c>
    </row>
    <row r="8" spans="1:10" x14ac:dyDescent="0.3">
      <c r="A8" s="101"/>
      <c r="H8" s="101" t="s">
        <v>2802</v>
      </c>
      <c r="I8" s="3">
        <v>26521134.960000001</v>
      </c>
      <c r="J8" t="s">
        <v>3142</v>
      </c>
    </row>
    <row r="9" spans="1:10" x14ac:dyDescent="0.3">
      <c r="A9" s="101"/>
      <c r="H9" s="101" t="s">
        <v>2804</v>
      </c>
      <c r="I9" s="3">
        <v>6166277944.54</v>
      </c>
      <c r="J9" t="s">
        <v>3142</v>
      </c>
    </row>
    <row r="10" spans="1:10" x14ac:dyDescent="0.3">
      <c r="A10" s="101"/>
      <c r="H10" s="101" t="s">
        <v>2807</v>
      </c>
      <c r="I10" s="3">
        <v>845103.11</v>
      </c>
      <c r="J10" t="s">
        <v>3043</v>
      </c>
    </row>
    <row r="11" spans="1:10" x14ac:dyDescent="0.3">
      <c r="A11" s="101"/>
      <c r="H11" s="101" t="s">
        <v>2808</v>
      </c>
      <c r="I11" s="3">
        <v>30880891.98</v>
      </c>
      <c r="J11" t="s">
        <v>3043</v>
      </c>
    </row>
    <row r="12" spans="1:10" x14ac:dyDescent="0.3">
      <c r="A12" s="101"/>
      <c r="H12" s="101" t="s">
        <v>2810</v>
      </c>
      <c r="I12" s="3">
        <v>-1123125.1299999999</v>
      </c>
      <c r="J12" t="s">
        <v>3043</v>
      </c>
    </row>
    <row r="13" spans="1:10" x14ac:dyDescent="0.3">
      <c r="A13" s="101"/>
      <c r="H13" s="101" t="s">
        <v>2811</v>
      </c>
      <c r="I13" s="3">
        <v>-4803972.91</v>
      </c>
      <c r="J13" t="s">
        <v>3043</v>
      </c>
    </row>
    <row r="14" spans="1:10" x14ac:dyDescent="0.3">
      <c r="A14" s="101"/>
      <c r="H14" s="101" t="s">
        <v>2815</v>
      </c>
      <c r="I14" s="3">
        <v>3623953.34</v>
      </c>
      <c r="J14" t="s">
        <v>3065</v>
      </c>
    </row>
    <row r="15" spans="1:10" x14ac:dyDescent="0.3">
      <c r="A15" s="101"/>
      <c r="H15" s="101" t="s">
        <v>2816</v>
      </c>
      <c r="I15" s="3">
        <v>415100749.86000001</v>
      </c>
      <c r="J15" t="s">
        <v>3044</v>
      </c>
    </row>
    <row r="16" spans="1:10" x14ac:dyDescent="0.3">
      <c r="A16" s="101"/>
      <c r="H16" s="101" t="s">
        <v>2821</v>
      </c>
      <c r="I16" s="3">
        <v>3101853.37</v>
      </c>
      <c r="J16" t="s">
        <v>3045</v>
      </c>
    </row>
    <row r="17" spans="1:10" x14ac:dyDescent="0.3">
      <c r="A17" s="101"/>
      <c r="H17" s="101" t="s">
        <v>2822</v>
      </c>
      <c r="I17" s="3">
        <v>2250735.4900000002</v>
      </c>
      <c r="J17" t="s">
        <v>3045</v>
      </c>
    </row>
    <row r="18" spans="1:10" x14ac:dyDescent="0.3">
      <c r="A18" s="101"/>
      <c r="H18" s="101" t="s">
        <v>2823</v>
      </c>
      <c r="I18" s="3">
        <v>70468.160000000003</v>
      </c>
      <c r="J18" t="s">
        <v>3045</v>
      </c>
    </row>
    <row r="19" spans="1:10" x14ac:dyDescent="0.3">
      <c r="A19" s="101"/>
      <c r="H19" s="101" t="s">
        <v>2826</v>
      </c>
      <c r="I19" s="3">
        <v>429870707.80000001</v>
      </c>
      <c r="J19" t="s">
        <v>3088</v>
      </c>
    </row>
    <row r="20" spans="1:10" x14ac:dyDescent="0.3">
      <c r="A20" s="101"/>
      <c r="H20" s="101" t="s">
        <v>2827</v>
      </c>
      <c r="I20" s="3">
        <v>47677.08</v>
      </c>
      <c r="J20" t="s">
        <v>3088</v>
      </c>
    </row>
    <row r="21" spans="1:10" x14ac:dyDescent="0.3">
      <c r="A21" s="101"/>
      <c r="H21" s="101" t="s">
        <v>2828</v>
      </c>
      <c r="I21" s="3">
        <v>3776501.61</v>
      </c>
      <c r="J21" t="s">
        <v>3088</v>
      </c>
    </row>
    <row r="22" spans="1:10" x14ac:dyDescent="0.3">
      <c r="A22" s="101"/>
      <c r="H22" s="101" t="s">
        <v>2829</v>
      </c>
      <c r="I22" s="3">
        <v>4688.6400000000003</v>
      </c>
      <c r="J22" t="s">
        <v>3088</v>
      </c>
    </row>
    <row r="23" spans="1:10" x14ac:dyDescent="0.3">
      <c r="A23" s="101"/>
      <c r="H23" s="101" t="s">
        <v>2831</v>
      </c>
      <c r="I23" s="3">
        <v>15541666.6</v>
      </c>
      <c r="J23" t="s">
        <v>3045</v>
      </c>
    </row>
    <row r="24" spans="1:10" x14ac:dyDescent="0.3">
      <c r="A24" s="101"/>
      <c r="H24" s="101" t="s">
        <v>2832</v>
      </c>
      <c r="I24" s="3">
        <v>20332608.780000001</v>
      </c>
      <c r="J24" t="s">
        <v>3045</v>
      </c>
    </row>
    <row r="25" spans="1:10" x14ac:dyDescent="0.3">
      <c r="A25" s="101"/>
      <c r="H25" s="101" t="s">
        <v>2833</v>
      </c>
      <c r="I25" s="3">
        <v>13333333.32</v>
      </c>
      <c r="J25" t="s">
        <v>3045</v>
      </c>
    </row>
    <row r="26" spans="1:10" x14ac:dyDescent="0.3">
      <c r="A26" s="101"/>
      <c r="H26" s="101" t="s">
        <v>2834</v>
      </c>
      <c r="I26" s="3">
        <v>178915568.49000001</v>
      </c>
      <c r="J26" t="s">
        <v>3046</v>
      </c>
    </row>
    <row r="27" spans="1:10" x14ac:dyDescent="0.3">
      <c r="A27" s="101"/>
      <c r="H27" s="101" t="s">
        <v>2835</v>
      </c>
      <c r="I27" s="3">
        <v>100.9</v>
      </c>
      <c r="J27" t="s">
        <v>3046</v>
      </c>
    </row>
    <row r="28" spans="1:10" x14ac:dyDescent="0.3">
      <c r="A28" s="101"/>
      <c r="H28" s="101" t="s">
        <v>2837</v>
      </c>
      <c r="I28" s="3">
        <v>400000000</v>
      </c>
      <c r="J28" t="s">
        <v>3046</v>
      </c>
    </row>
    <row r="29" spans="1:10" x14ac:dyDescent="0.3">
      <c r="A29" s="101"/>
      <c r="H29" s="101" t="s">
        <v>3036</v>
      </c>
      <c r="I29" s="3">
        <v>578000000</v>
      </c>
      <c r="J29" t="s">
        <v>3067</v>
      </c>
    </row>
    <row r="30" spans="1:10" x14ac:dyDescent="0.3">
      <c r="A30" s="101"/>
      <c r="H30" s="101" t="s">
        <v>2841</v>
      </c>
      <c r="I30" s="3">
        <v>142569977.05000001</v>
      </c>
      <c r="J30" t="s">
        <v>3066</v>
      </c>
    </row>
    <row r="31" spans="1:10" x14ac:dyDescent="0.3">
      <c r="A31" s="101"/>
      <c r="H31" s="101" t="s">
        <v>2843</v>
      </c>
      <c r="I31" s="3">
        <v>-42513866.649999999</v>
      </c>
      <c r="J31" t="s">
        <v>3047</v>
      </c>
    </row>
    <row r="32" spans="1:10" x14ac:dyDescent="0.3">
      <c r="A32" s="101"/>
      <c r="H32" s="101" t="s">
        <v>3034</v>
      </c>
      <c r="I32" s="3">
        <v>-110087232.42</v>
      </c>
      <c r="J32" t="s">
        <v>3068</v>
      </c>
    </row>
    <row r="33" spans="1:10" x14ac:dyDescent="0.3">
      <c r="A33" s="101"/>
      <c r="H33" s="101" t="s">
        <v>2844</v>
      </c>
      <c r="I33" s="3">
        <v>249854021.58000001</v>
      </c>
      <c r="J33" t="s">
        <v>3048</v>
      </c>
    </row>
    <row r="34" spans="1:10" x14ac:dyDescent="0.3">
      <c r="A34" s="101"/>
      <c r="H34" s="101" t="s">
        <v>2845</v>
      </c>
      <c r="I34" s="3">
        <v>-8020000</v>
      </c>
      <c r="J34" t="s">
        <v>3059</v>
      </c>
    </row>
    <row r="35" spans="1:10" x14ac:dyDescent="0.3">
      <c r="A35" s="101"/>
      <c r="H35" s="101" t="s">
        <v>2846</v>
      </c>
      <c r="I35" s="3">
        <v>1997.79</v>
      </c>
      <c r="J35" t="s">
        <v>3048</v>
      </c>
    </row>
    <row r="36" spans="1:10" x14ac:dyDescent="0.3">
      <c r="A36" s="101"/>
      <c r="H36" s="101" t="s">
        <v>2848</v>
      </c>
      <c r="I36" s="3">
        <v>33295734.710000001</v>
      </c>
      <c r="J36" t="s">
        <v>3048</v>
      </c>
    </row>
    <row r="37" spans="1:10" x14ac:dyDescent="0.3">
      <c r="A37" s="101"/>
      <c r="H37" s="101" t="s">
        <v>2851</v>
      </c>
      <c r="I37" s="3">
        <v>22807885.27</v>
      </c>
      <c r="J37" t="s">
        <v>3049</v>
      </c>
    </row>
    <row r="38" spans="1:10" x14ac:dyDescent="0.3">
      <c r="A38" s="101"/>
      <c r="H38" s="101" t="s">
        <v>2852</v>
      </c>
      <c r="I38" s="3">
        <v>110077232.42</v>
      </c>
      <c r="J38" t="s">
        <v>3069</v>
      </c>
    </row>
    <row r="39" spans="1:10" x14ac:dyDescent="0.3">
      <c r="A39" s="101"/>
      <c r="H39" s="101" t="s">
        <v>2855</v>
      </c>
      <c r="I39" s="3">
        <v>1693997086.79</v>
      </c>
      <c r="J39" t="s">
        <v>3061</v>
      </c>
    </row>
    <row r="40" spans="1:10" x14ac:dyDescent="0.3">
      <c r="A40" s="101"/>
      <c r="H40" s="101" t="s">
        <v>2856</v>
      </c>
      <c r="I40" s="3">
        <v>1258112747.6600001</v>
      </c>
      <c r="J40" t="s">
        <v>3077</v>
      </c>
    </row>
    <row r="41" spans="1:10" x14ac:dyDescent="0.3">
      <c r="A41" s="101"/>
      <c r="H41" s="101" t="s">
        <v>2858</v>
      </c>
      <c r="I41" s="3">
        <v>-205804736</v>
      </c>
      <c r="J41" t="s">
        <v>3061</v>
      </c>
    </row>
    <row r="42" spans="1:10" x14ac:dyDescent="0.3">
      <c r="A42" s="101"/>
      <c r="H42" s="101" t="s">
        <v>2859</v>
      </c>
      <c r="I42" s="3">
        <v>-307105304.19999999</v>
      </c>
      <c r="J42" t="s">
        <v>3077</v>
      </c>
    </row>
    <row r="43" spans="1:10" x14ac:dyDescent="0.3">
      <c r="A43" s="101"/>
      <c r="H43" s="101" t="s">
        <v>2861</v>
      </c>
      <c r="I43" s="3">
        <v>-17880733.059999999</v>
      </c>
      <c r="J43" t="s">
        <v>3050</v>
      </c>
    </row>
    <row r="44" spans="1:10" x14ac:dyDescent="0.3">
      <c r="A44" s="101"/>
      <c r="H44" s="101" t="s">
        <v>2862</v>
      </c>
      <c r="I44" s="3">
        <v>-31836626.34</v>
      </c>
      <c r="J44" t="s">
        <v>3050</v>
      </c>
    </row>
    <row r="45" spans="1:10" x14ac:dyDescent="0.3">
      <c r="A45" s="101"/>
      <c r="H45" s="101" t="s">
        <v>2865</v>
      </c>
      <c r="I45" s="3">
        <v>172514571.36000001</v>
      </c>
      <c r="J45" t="s">
        <v>3049</v>
      </c>
    </row>
    <row r="46" spans="1:10" x14ac:dyDescent="0.3">
      <c r="A46" s="101"/>
      <c r="H46" s="101" t="s">
        <v>2867</v>
      </c>
      <c r="I46" s="3">
        <v>7156322.2800000003</v>
      </c>
      <c r="J46" t="s">
        <v>3049</v>
      </c>
    </row>
    <row r="47" spans="1:10" x14ac:dyDescent="0.3">
      <c r="A47" s="101"/>
      <c r="H47" s="101" t="s">
        <v>2868</v>
      </c>
      <c r="I47" s="3">
        <v>61899007.780000001</v>
      </c>
      <c r="J47" t="s">
        <v>3049</v>
      </c>
    </row>
    <row r="48" spans="1:10" x14ac:dyDescent="0.3">
      <c r="A48" s="101"/>
      <c r="H48" s="101" t="s">
        <v>2869</v>
      </c>
      <c r="I48" s="3">
        <v>8941235.4499999993</v>
      </c>
      <c r="J48" t="s">
        <v>3049</v>
      </c>
    </row>
    <row r="49" spans="1:10" x14ac:dyDescent="0.3">
      <c r="A49" s="101"/>
      <c r="H49" s="101" t="s">
        <v>2871</v>
      </c>
      <c r="I49" s="3">
        <v>-20137599.539999999</v>
      </c>
      <c r="J49" t="s">
        <v>3049</v>
      </c>
    </row>
    <row r="50" spans="1:10" x14ac:dyDescent="0.3">
      <c r="A50" s="101"/>
      <c r="H50" s="101" t="s">
        <v>2872</v>
      </c>
      <c r="I50" s="3">
        <v>-889006.91</v>
      </c>
      <c r="J50" t="s">
        <v>3049</v>
      </c>
    </row>
    <row r="51" spans="1:10" x14ac:dyDescent="0.3">
      <c r="A51" s="101"/>
      <c r="H51" s="101" t="s">
        <v>2875</v>
      </c>
      <c r="I51" s="3">
        <v>19128.57</v>
      </c>
      <c r="J51" t="s">
        <v>3049</v>
      </c>
    </row>
    <row r="52" spans="1:10" x14ac:dyDescent="0.3">
      <c r="A52" s="101"/>
      <c r="H52" s="101" t="s">
        <v>2876</v>
      </c>
      <c r="I52" s="3">
        <v>39114.379999999997</v>
      </c>
      <c r="J52" t="s">
        <v>3049</v>
      </c>
    </row>
    <row r="53" spans="1:10" x14ac:dyDescent="0.3">
      <c r="A53" s="101"/>
      <c r="H53" s="101" t="s">
        <v>2877</v>
      </c>
      <c r="I53" s="3">
        <v>4950.5</v>
      </c>
      <c r="J53" t="s">
        <v>3049</v>
      </c>
    </row>
    <row r="54" spans="1:10" x14ac:dyDescent="0.3">
      <c r="A54" s="101"/>
      <c r="H54" s="101" t="s">
        <v>2879</v>
      </c>
      <c r="I54" s="3">
        <v>-107838.82</v>
      </c>
      <c r="J54" t="s">
        <v>3050</v>
      </c>
    </row>
    <row r="55" spans="1:10" x14ac:dyDescent="0.3">
      <c r="A55" s="101"/>
      <c r="H55" s="101" t="s">
        <v>2882</v>
      </c>
      <c r="I55" s="3">
        <v>70213.97</v>
      </c>
      <c r="J55" t="s">
        <v>3049</v>
      </c>
    </row>
    <row r="56" spans="1:10" x14ac:dyDescent="0.3">
      <c r="A56" s="101"/>
      <c r="H56" s="101" t="s">
        <v>3017</v>
      </c>
      <c r="I56" s="3">
        <v>75089.83</v>
      </c>
      <c r="J56" t="s">
        <v>3049</v>
      </c>
    </row>
    <row r="57" spans="1:10" x14ac:dyDescent="0.3">
      <c r="A57" s="101"/>
      <c r="H57" s="101" t="s">
        <v>2883</v>
      </c>
      <c r="I57" s="3">
        <v>6582.81</v>
      </c>
      <c r="J57" t="s">
        <v>3049</v>
      </c>
    </row>
    <row r="58" spans="1:10" x14ac:dyDescent="0.3">
      <c r="A58" s="101"/>
      <c r="H58" s="101" t="s">
        <v>2885</v>
      </c>
      <c r="I58" s="3">
        <v>-299725.03000000003</v>
      </c>
      <c r="J58" t="s">
        <v>3050</v>
      </c>
    </row>
    <row r="59" spans="1:10" x14ac:dyDescent="0.3">
      <c r="A59" s="101"/>
      <c r="H59" s="101" t="s">
        <v>2888</v>
      </c>
      <c r="I59" s="3">
        <v>-57136.55</v>
      </c>
      <c r="J59" t="s">
        <v>3071</v>
      </c>
    </row>
    <row r="60" spans="1:10" x14ac:dyDescent="0.3">
      <c r="A60" s="101"/>
      <c r="H60" s="101" t="s">
        <v>2891</v>
      </c>
      <c r="I60" s="3">
        <v>-52241618</v>
      </c>
      <c r="J60" t="s">
        <v>3091</v>
      </c>
    </row>
    <row r="61" spans="1:10" x14ac:dyDescent="0.3">
      <c r="A61" s="101"/>
      <c r="H61" s="101" t="s">
        <v>2892</v>
      </c>
      <c r="I61" s="3">
        <v>-32758382</v>
      </c>
      <c r="J61" t="s">
        <v>3092</v>
      </c>
    </row>
    <row r="62" spans="1:10" x14ac:dyDescent="0.3">
      <c r="A62" s="101"/>
      <c r="H62" s="101" t="s">
        <v>2895</v>
      </c>
      <c r="I62" s="3">
        <v>-19090323.440000001</v>
      </c>
      <c r="J62" t="s">
        <v>3070</v>
      </c>
    </row>
    <row r="63" spans="1:10" x14ac:dyDescent="0.3">
      <c r="A63" s="101"/>
      <c r="H63" s="101" t="s">
        <v>2898</v>
      </c>
      <c r="I63" s="3">
        <v>-1029981953.49</v>
      </c>
      <c r="J63" t="s">
        <v>3052</v>
      </c>
    </row>
    <row r="64" spans="1:10" x14ac:dyDescent="0.3">
      <c r="A64" s="101"/>
      <c r="H64" s="101" t="s">
        <v>2899</v>
      </c>
      <c r="I64" s="3">
        <v>-1250023260</v>
      </c>
      <c r="J64" t="s">
        <v>3052</v>
      </c>
    </row>
    <row r="65" spans="1:10" x14ac:dyDescent="0.3">
      <c r="A65" s="101"/>
      <c r="H65" s="101" t="s">
        <v>2900</v>
      </c>
      <c r="I65" s="3">
        <v>-900323195.75999999</v>
      </c>
      <c r="J65" t="s">
        <v>3052</v>
      </c>
    </row>
    <row r="66" spans="1:10" x14ac:dyDescent="0.3">
      <c r="A66" s="101"/>
      <c r="H66" s="101" t="s">
        <v>2901</v>
      </c>
      <c r="I66" s="3">
        <v>-700000000</v>
      </c>
      <c r="J66" t="s">
        <v>3052</v>
      </c>
    </row>
    <row r="67" spans="1:10" x14ac:dyDescent="0.3">
      <c r="A67" s="101"/>
      <c r="H67" s="101" t="s">
        <v>2903</v>
      </c>
      <c r="I67" s="3">
        <v>-15321461.59</v>
      </c>
      <c r="J67" t="s">
        <v>3052</v>
      </c>
    </row>
    <row r="68" spans="1:10" x14ac:dyDescent="0.3">
      <c r="A68" s="101"/>
      <c r="H68" s="101" t="s">
        <v>2904</v>
      </c>
      <c r="I68" s="3">
        <v>-7415110.1799999997</v>
      </c>
      <c r="J68" t="s">
        <v>3052</v>
      </c>
    </row>
    <row r="69" spans="1:10" x14ac:dyDescent="0.3">
      <c r="A69" s="101"/>
      <c r="H69" s="101" t="s">
        <v>2905</v>
      </c>
      <c r="I69" s="3">
        <v>-8840785.3800000008</v>
      </c>
      <c r="J69" t="s">
        <v>3052</v>
      </c>
    </row>
    <row r="70" spans="1:10" x14ac:dyDescent="0.3">
      <c r="A70" s="101"/>
      <c r="H70" s="101" t="s">
        <v>2906</v>
      </c>
      <c r="I70" s="3">
        <v>-8573517.9700000007</v>
      </c>
      <c r="J70" t="s">
        <v>3052</v>
      </c>
    </row>
    <row r="71" spans="1:10" x14ac:dyDescent="0.3">
      <c r="A71" s="101"/>
      <c r="H71" s="101" t="s">
        <v>3039</v>
      </c>
      <c r="I71" s="3">
        <v>-142569977.05000001</v>
      </c>
      <c r="J71" t="s">
        <v>3072</v>
      </c>
    </row>
    <row r="72" spans="1:10" x14ac:dyDescent="0.3">
      <c r="A72" s="101"/>
      <c r="H72" s="101" t="s">
        <v>3041</v>
      </c>
      <c r="I72" s="3">
        <v>-31915377.289999999</v>
      </c>
      <c r="J72" t="s">
        <v>3072</v>
      </c>
    </row>
    <row r="73" spans="1:10" x14ac:dyDescent="0.3">
      <c r="A73" s="101"/>
      <c r="H73" s="101" t="s">
        <v>2909</v>
      </c>
      <c r="I73" s="3">
        <v>-3727675573</v>
      </c>
      <c r="J73" t="s">
        <v>3051</v>
      </c>
    </row>
    <row r="74" spans="1:10" x14ac:dyDescent="0.3">
      <c r="A74" s="101"/>
      <c r="H74" s="101" t="s">
        <v>2910</v>
      </c>
      <c r="I74" s="3">
        <v>-1431739605</v>
      </c>
      <c r="J74" t="s">
        <v>3051</v>
      </c>
    </row>
    <row r="75" spans="1:10" x14ac:dyDescent="0.3">
      <c r="A75" s="101"/>
      <c r="H75" s="101" t="s">
        <v>2913</v>
      </c>
      <c r="I75" s="3">
        <v>-990604.77</v>
      </c>
      <c r="J75" t="s">
        <v>3087</v>
      </c>
    </row>
    <row r="76" spans="1:10" x14ac:dyDescent="0.3">
      <c r="A76" s="101"/>
      <c r="H76" s="101" t="s">
        <v>2914</v>
      </c>
      <c r="I76" s="3">
        <v>182431.54</v>
      </c>
      <c r="J76" t="s">
        <v>3088</v>
      </c>
    </row>
    <row r="77" spans="1:10" x14ac:dyDescent="0.3">
      <c r="A77" s="101"/>
      <c r="H77" s="101" t="s">
        <v>2916</v>
      </c>
      <c r="I77" s="3">
        <v>12155691.109999999</v>
      </c>
      <c r="J77" t="s">
        <v>3054</v>
      </c>
    </row>
    <row r="78" spans="1:10" x14ac:dyDescent="0.3">
      <c r="A78" s="101"/>
      <c r="H78" s="101" t="s">
        <v>2917</v>
      </c>
      <c r="I78" s="3">
        <v>-5003522.8099999996</v>
      </c>
      <c r="J78" t="s">
        <v>3087</v>
      </c>
    </row>
    <row r="79" spans="1:10" x14ac:dyDescent="0.3">
      <c r="A79" s="101"/>
      <c r="H79" s="101" t="s">
        <v>2918</v>
      </c>
      <c r="I79" s="3">
        <v>21403.46</v>
      </c>
      <c r="J79" t="s">
        <v>3053</v>
      </c>
    </row>
    <row r="80" spans="1:10" x14ac:dyDescent="0.3">
      <c r="A80" s="101"/>
      <c r="H80" s="101" t="s">
        <v>2919</v>
      </c>
      <c r="I80" s="3">
        <v>829700</v>
      </c>
      <c r="J80" t="s">
        <v>3053</v>
      </c>
    </row>
    <row r="81" spans="1:10" x14ac:dyDescent="0.3">
      <c r="A81" s="101"/>
      <c r="H81" s="101" t="s">
        <v>2920</v>
      </c>
      <c r="I81" s="3">
        <v>136460</v>
      </c>
      <c r="J81" t="s">
        <v>3053</v>
      </c>
    </row>
    <row r="82" spans="1:10" x14ac:dyDescent="0.3">
      <c r="A82" s="101"/>
      <c r="H82" s="101" t="s">
        <v>2921</v>
      </c>
      <c r="I82" s="3">
        <v>11150.6</v>
      </c>
      <c r="J82" t="s">
        <v>3088</v>
      </c>
    </row>
    <row r="83" spans="1:10" x14ac:dyDescent="0.3">
      <c r="A83" s="101"/>
      <c r="H83" s="101" t="s">
        <v>2923</v>
      </c>
      <c r="I83" s="3">
        <v>-255539.65</v>
      </c>
      <c r="J83" t="s">
        <v>3087</v>
      </c>
    </row>
    <row r="84" spans="1:10" x14ac:dyDescent="0.3">
      <c r="A84" s="101"/>
      <c r="H84" s="101" t="s">
        <v>3035</v>
      </c>
      <c r="I84" s="3">
        <v>8320.1299999999992</v>
      </c>
      <c r="J84" t="s">
        <v>3053</v>
      </c>
    </row>
    <row r="85" spans="1:10" x14ac:dyDescent="0.3">
      <c r="A85" s="101"/>
      <c r="H85" s="101" t="s">
        <v>2925</v>
      </c>
      <c r="I85" s="3">
        <v>-2760920.37</v>
      </c>
      <c r="J85" t="s">
        <v>3087</v>
      </c>
    </row>
    <row r="86" spans="1:10" x14ac:dyDescent="0.3">
      <c r="A86" s="101"/>
      <c r="H86" s="101" t="s">
        <v>2927</v>
      </c>
      <c r="I86" s="3">
        <v>-649084.93000000005</v>
      </c>
      <c r="J86" t="s">
        <v>3087</v>
      </c>
    </row>
    <row r="87" spans="1:10" x14ac:dyDescent="0.3">
      <c r="A87" s="101"/>
      <c r="H87" s="101" t="s">
        <v>2928</v>
      </c>
      <c r="I87" s="3">
        <v>-67310.63</v>
      </c>
      <c r="J87" t="s">
        <v>3087</v>
      </c>
    </row>
    <row r="88" spans="1:10" x14ac:dyDescent="0.3">
      <c r="A88" s="101"/>
      <c r="H88" s="101" t="s">
        <v>2929</v>
      </c>
      <c r="I88" s="3">
        <v>-6398028.8399999999</v>
      </c>
      <c r="J88" t="s">
        <v>3056</v>
      </c>
    </row>
    <row r="89" spans="1:10" x14ac:dyDescent="0.3">
      <c r="A89" s="101"/>
      <c r="H89" s="101" t="s">
        <v>2931</v>
      </c>
      <c r="I89" s="3">
        <v>76915.97</v>
      </c>
      <c r="J89" t="s">
        <v>3053</v>
      </c>
    </row>
    <row r="90" spans="1:10" x14ac:dyDescent="0.3">
      <c r="A90" s="101"/>
      <c r="H90" s="101" t="s">
        <v>2936</v>
      </c>
      <c r="I90" s="3">
        <v>-14783162.74</v>
      </c>
      <c r="J90" t="s">
        <v>3047</v>
      </c>
    </row>
    <row r="91" spans="1:10" x14ac:dyDescent="0.3">
      <c r="A91" s="101"/>
      <c r="H91" s="101" t="s">
        <v>2939</v>
      </c>
      <c r="I91" s="3">
        <v>5911413.5700000003</v>
      </c>
      <c r="J91" t="s">
        <v>3049</v>
      </c>
    </row>
    <row r="92" spans="1:10" x14ac:dyDescent="0.3">
      <c r="A92" s="101"/>
      <c r="H92" s="101" t="s">
        <v>2940</v>
      </c>
      <c r="I92" s="3">
        <v>31915377.289999999</v>
      </c>
      <c r="J92" t="s">
        <v>3069</v>
      </c>
    </row>
    <row r="93" spans="1:10" x14ac:dyDescent="0.3">
      <c r="A93" s="101"/>
      <c r="H93" s="101" t="s">
        <v>2942</v>
      </c>
      <c r="I93" s="3">
        <v>38385.94</v>
      </c>
      <c r="J93" t="s">
        <v>3049</v>
      </c>
    </row>
    <row r="94" spans="1:10" x14ac:dyDescent="0.3">
      <c r="A94" s="101"/>
      <c r="H94" s="101" t="s">
        <v>2944</v>
      </c>
      <c r="I94" s="3">
        <v>4622950</v>
      </c>
      <c r="J94" t="s">
        <v>3049</v>
      </c>
    </row>
    <row r="95" spans="1:10" x14ac:dyDescent="0.3">
      <c r="A95" s="101"/>
      <c r="H95" s="101" t="s">
        <v>2945</v>
      </c>
      <c r="I95" s="3">
        <v>643322</v>
      </c>
      <c r="J95" t="s">
        <v>3049</v>
      </c>
    </row>
    <row r="96" spans="1:10" x14ac:dyDescent="0.3">
      <c r="A96" s="101"/>
      <c r="H96" s="101" t="s">
        <v>2946</v>
      </c>
      <c r="I96" s="3">
        <v>-4249690.87</v>
      </c>
      <c r="J96" t="s">
        <v>3047</v>
      </c>
    </row>
    <row r="97" spans="1:10" x14ac:dyDescent="0.3">
      <c r="A97" s="101"/>
      <c r="H97" s="101" t="s">
        <v>2947</v>
      </c>
      <c r="I97" s="3">
        <v>10000</v>
      </c>
      <c r="J97" t="s">
        <v>3069</v>
      </c>
    </row>
    <row r="98" spans="1:10" x14ac:dyDescent="0.3">
      <c r="A98" s="101"/>
      <c r="H98" s="101" t="s">
        <v>2950</v>
      </c>
      <c r="I98" s="3">
        <v>-42469472.409999996</v>
      </c>
      <c r="J98" t="s">
        <v>3061</v>
      </c>
    </row>
    <row r="99" spans="1:10" x14ac:dyDescent="0.3">
      <c r="A99" s="101"/>
      <c r="H99" s="101" t="s">
        <v>2957</v>
      </c>
      <c r="I99" s="3">
        <v>-151655346.03</v>
      </c>
      <c r="J99" t="s">
        <v>3073</v>
      </c>
    </row>
    <row r="100" spans="1:10" x14ac:dyDescent="0.3">
      <c r="A100" s="101"/>
      <c r="H100" s="101" t="s">
        <v>2958</v>
      </c>
      <c r="I100" s="3">
        <v>-5014863.7300000004</v>
      </c>
      <c r="J100" t="s">
        <v>3073</v>
      </c>
    </row>
    <row r="101" spans="1:10" x14ac:dyDescent="0.3">
      <c r="A101" s="101"/>
      <c r="H101" s="101" t="s">
        <v>2959</v>
      </c>
      <c r="I101" s="3">
        <v>11518409.18</v>
      </c>
      <c r="J101" t="s">
        <v>3073</v>
      </c>
    </row>
    <row r="102" spans="1:10" x14ac:dyDescent="0.3">
      <c r="A102" s="101"/>
      <c r="H102" s="101" t="s">
        <v>2960</v>
      </c>
      <c r="I102" s="3">
        <v>22788597.41</v>
      </c>
      <c r="J102" t="s">
        <v>3073</v>
      </c>
    </row>
    <row r="103" spans="1:10" x14ac:dyDescent="0.3">
      <c r="A103" s="101"/>
      <c r="H103" s="101" t="s">
        <v>2962</v>
      </c>
      <c r="I103" s="3">
        <v>3245172</v>
      </c>
      <c r="J103" t="s">
        <v>3049</v>
      </c>
    </row>
    <row r="104" spans="1:10" x14ac:dyDescent="0.3">
      <c r="A104" s="101"/>
      <c r="H104" s="101" t="s">
        <v>2963</v>
      </c>
      <c r="I104" s="3">
        <v>5075243.34</v>
      </c>
      <c r="J104" t="s">
        <v>3049</v>
      </c>
    </row>
    <row r="105" spans="1:10" x14ac:dyDescent="0.3">
      <c r="A105" s="101"/>
      <c r="H105" s="101" t="s">
        <v>2964</v>
      </c>
      <c r="I105" s="3">
        <v>2676218.15</v>
      </c>
      <c r="J105" t="s">
        <v>3049</v>
      </c>
    </row>
    <row r="106" spans="1:10" x14ac:dyDescent="0.3">
      <c r="A106" s="101"/>
      <c r="H106" s="101" t="s">
        <v>2965</v>
      </c>
      <c r="I106" s="3">
        <v>-8025785.0899999999</v>
      </c>
      <c r="J106" t="s">
        <v>3047</v>
      </c>
    </row>
    <row r="107" spans="1:10" x14ac:dyDescent="0.3">
      <c r="A107" s="101"/>
      <c r="H107" s="101" t="s">
        <v>2966</v>
      </c>
      <c r="I107" s="3">
        <v>-36673351.030000001</v>
      </c>
      <c r="J107" t="s">
        <v>3047</v>
      </c>
    </row>
    <row r="108" spans="1:10" x14ac:dyDescent="0.3">
      <c r="A108" s="101"/>
      <c r="H108" s="101" t="s">
        <v>2968</v>
      </c>
      <c r="I108" s="3">
        <v>-5471000</v>
      </c>
      <c r="J108" t="s">
        <v>3059</v>
      </c>
    </row>
    <row r="109" spans="1:10" x14ac:dyDescent="0.3">
      <c r="A109" s="101"/>
      <c r="H109" s="101" t="s">
        <v>2969</v>
      </c>
      <c r="I109" s="3">
        <v>55018652.520000003</v>
      </c>
      <c r="J109" t="s">
        <v>3088</v>
      </c>
    </row>
    <row r="110" spans="1:10" x14ac:dyDescent="0.3">
      <c r="A110" s="101"/>
      <c r="H110" s="101" t="s">
        <v>2970</v>
      </c>
      <c r="I110" s="3">
        <v>96026.04</v>
      </c>
      <c r="J110" t="s">
        <v>3088</v>
      </c>
    </row>
    <row r="111" spans="1:10" x14ac:dyDescent="0.3">
      <c r="A111" s="101"/>
      <c r="H111" s="101" t="s">
        <v>2971</v>
      </c>
      <c r="I111" s="3">
        <v>-374856752.81</v>
      </c>
      <c r="J111" t="s">
        <v>3074</v>
      </c>
    </row>
    <row r="112" spans="1:10" x14ac:dyDescent="0.3">
      <c r="A112" s="101"/>
      <c r="H112" s="101" t="s">
        <v>2973</v>
      </c>
      <c r="I112" s="3">
        <v>-62716098</v>
      </c>
      <c r="J112" t="s">
        <v>3057</v>
      </c>
    </row>
    <row r="113" spans="1:10" x14ac:dyDescent="0.3">
      <c r="A113" s="101"/>
      <c r="H113" s="101" t="s">
        <v>2974</v>
      </c>
      <c r="I113" s="3">
        <v>-503613000</v>
      </c>
      <c r="J113" t="s">
        <v>3057</v>
      </c>
    </row>
    <row r="114" spans="1:10" x14ac:dyDescent="0.3">
      <c r="A114" s="101"/>
      <c r="H114" s="101" t="s">
        <v>2975</v>
      </c>
      <c r="I114" s="3">
        <v>-578000000</v>
      </c>
      <c r="J114" t="s">
        <v>3075</v>
      </c>
    </row>
    <row r="115" spans="1:10" x14ac:dyDescent="0.3">
      <c r="A115" s="101"/>
      <c r="H115" s="101" t="s">
        <v>2977</v>
      </c>
      <c r="I115" s="3">
        <v>-205639000</v>
      </c>
      <c r="J115" t="s">
        <v>3057</v>
      </c>
    </row>
    <row r="116" spans="1:10" x14ac:dyDescent="0.3">
      <c r="A116" s="101"/>
      <c r="H116" s="101" t="s">
        <v>3094</v>
      </c>
      <c r="I116" s="3">
        <v>-361.41</v>
      </c>
      <c r="J116" t="s">
        <v>3058</v>
      </c>
    </row>
    <row r="117" spans="1:10" x14ac:dyDescent="0.3">
      <c r="A117" s="101"/>
      <c r="H117" s="101" t="s">
        <v>2979</v>
      </c>
      <c r="I117" s="3">
        <v>344869602.87</v>
      </c>
      <c r="J117" t="s">
        <v>3058</v>
      </c>
    </row>
    <row r="118" spans="1:10" x14ac:dyDescent="0.3">
      <c r="A118" s="101"/>
      <c r="H118" s="101" t="s">
        <v>2982</v>
      </c>
      <c r="I118" s="3">
        <v>-28629330.370000001</v>
      </c>
      <c r="J118" t="s">
        <v>3059</v>
      </c>
    </row>
    <row r="119" spans="1:10" x14ac:dyDescent="0.3">
      <c r="A119" s="101"/>
      <c r="H119" s="101" t="s">
        <v>2983</v>
      </c>
      <c r="I119" s="3">
        <v>-6896912.1900000004</v>
      </c>
      <c r="J119" t="s">
        <v>3059</v>
      </c>
    </row>
    <row r="120" spans="1:10" x14ac:dyDescent="0.3">
      <c r="A120" s="101"/>
      <c r="H120" s="101" t="s">
        <v>2984</v>
      </c>
      <c r="I120" s="3">
        <v>-6460635</v>
      </c>
      <c r="J120" t="s">
        <v>3059</v>
      </c>
    </row>
    <row r="121" spans="1:10" x14ac:dyDescent="0.3">
      <c r="A121" s="101"/>
      <c r="H121" s="101" t="s">
        <v>2986</v>
      </c>
      <c r="I121" s="3">
        <v>39524943.399999999</v>
      </c>
      <c r="J121" t="s">
        <v>3053</v>
      </c>
    </row>
    <row r="122" spans="1:10" x14ac:dyDescent="0.3">
      <c r="A122" s="101"/>
      <c r="H122" s="101" t="s">
        <v>2990</v>
      </c>
      <c r="I122" s="3">
        <v>-100517879.37</v>
      </c>
      <c r="J122" t="s">
        <v>3050</v>
      </c>
    </row>
    <row r="123" spans="1:10" x14ac:dyDescent="0.3">
      <c r="A123" s="101"/>
      <c r="H123" s="101" t="s">
        <v>2991</v>
      </c>
      <c r="I123" s="3">
        <v>-3612035.02</v>
      </c>
      <c r="J123" t="s">
        <v>3050</v>
      </c>
    </row>
    <row r="124" spans="1:10" x14ac:dyDescent="0.3">
      <c r="A124" s="101"/>
      <c r="H124" s="101" t="s">
        <v>2992</v>
      </c>
      <c r="I124" s="3">
        <v>-2260404.5699999998</v>
      </c>
      <c r="J124" t="s">
        <v>3050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532E4-1C65-43E8-8ED9-FE05E4CDA34D}">
  <sheetPr published="0" codeName="Sheet21"/>
  <dimension ref="A1:AY238"/>
  <sheetViews>
    <sheetView topLeftCell="N1" zoomScale="70" zoomScaleNormal="70" workbookViewId="0">
      <selection activeCell="AF12" sqref="AF12"/>
    </sheetView>
  </sheetViews>
  <sheetFormatPr defaultRowHeight="14.4" x14ac:dyDescent="0.3"/>
  <cols>
    <col min="1" max="1" width="16.77734375" bestFit="1" customWidth="1"/>
    <col min="2" max="2" width="13.33203125" style="3" bestFit="1" customWidth="1"/>
    <col min="3" max="3" width="15.109375" style="3" bestFit="1" customWidth="1"/>
    <col min="4" max="4" width="7.33203125" customWidth="1"/>
    <col min="5" max="5" width="7.44140625" customWidth="1"/>
    <col min="6" max="6" width="32.77734375" customWidth="1"/>
    <col min="7" max="7" width="20.109375" customWidth="1"/>
    <col min="8" max="8" width="39.88671875" customWidth="1"/>
    <col min="9" max="9" width="37.5546875" customWidth="1"/>
    <col min="10" max="10" width="15.109375" customWidth="1"/>
    <col min="11" max="11" width="55.44140625" customWidth="1"/>
    <col min="12" max="14" width="3.77734375" customWidth="1"/>
    <col min="15" max="15" width="4.33203125" customWidth="1"/>
    <col min="16" max="16" width="4" customWidth="1"/>
    <col min="17" max="17" width="5.88671875" customWidth="1"/>
    <col min="18" max="18" width="4.6640625" customWidth="1"/>
    <col min="19" max="19" width="9.33203125" bestFit="1" customWidth="1"/>
    <col min="20" max="20" width="14.33203125" style="3" bestFit="1" customWidth="1"/>
    <col min="21" max="21" width="15.77734375" style="3" bestFit="1" customWidth="1"/>
    <col min="22" max="22" width="7.109375" style="3" bestFit="1" customWidth="1"/>
    <col min="23" max="23" width="7.33203125" customWidth="1"/>
    <col min="24" max="24" width="6.88671875" customWidth="1"/>
    <col min="26" max="26" width="8" bestFit="1" customWidth="1"/>
    <col min="27" max="27" width="7.21875" bestFit="1" customWidth="1"/>
    <col min="28" max="28" width="15.21875" bestFit="1" customWidth="1"/>
    <col min="29" max="29" width="42.88671875" bestFit="1" customWidth="1"/>
    <col min="32" max="32" width="16.33203125" bestFit="1" customWidth="1"/>
    <col min="33" max="33" width="12.77734375" style="3" bestFit="1" customWidth="1"/>
    <col min="34" max="34" width="32.5546875" bestFit="1" customWidth="1"/>
    <col min="37" max="37" width="14.44140625" bestFit="1" customWidth="1"/>
    <col min="38" max="38" width="13.21875" style="3" bestFit="1" customWidth="1"/>
    <col min="39" max="39" width="32.88671875" bestFit="1" customWidth="1"/>
    <col min="40" max="40" width="6" customWidth="1"/>
    <col min="41" max="41" width="5.77734375" customWidth="1"/>
    <col min="42" max="42" width="25.109375" customWidth="1"/>
    <col min="43" max="43" width="7.33203125" bestFit="1" customWidth="1"/>
    <col min="44" max="44" width="36.33203125" customWidth="1"/>
    <col min="45" max="45" width="36.33203125" bestFit="1" customWidth="1"/>
    <col min="48" max="48" width="8" bestFit="1" customWidth="1"/>
    <col min="49" max="49" width="7.21875" bestFit="1" customWidth="1"/>
    <col min="50" max="50" width="15.21875" bestFit="1" customWidth="1"/>
    <col min="51" max="51" width="55.77734375" bestFit="1" customWidth="1"/>
  </cols>
  <sheetData>
    <row r="1" spans="1:51" x14ac:dyDescent="0.3">
      <c r="A1" t="s">
        <v>1786</v>
      </c>
      <c r="B1" s="3" t="s">
        <v>1976</v>
      </c>
      <c r="C1" t="s">
        <v>2996</v>
      </c>
      <c r="S1" t="s">
        <v>1786</v>
      </c>
      <c r="T1" s="3" t="s">
        <v>1976</v>
      </c>
      <c r="U1" s="3" t="s">
        <v>2997</v>
      </c>
      <c r="V1" s="3" t="s">
        <v>2998</v>
      </c>
      <c r="Z1" t="s">
        <v>1785</v>
      </c>
      <c r="AA1" t="s">
        <v>2999</v>
      </c>
      <c r="AB1" t="s">
        <v>3001</v>
      </c>
      <c r="AC1" t="s">
        <v>2998</v>
      </c>
      <c r="AF1" t="s">
        <v>1786</v>
      </c>
      <c r="AG1" s="3" t="s">
        <v>1976</v>
      </c>
      <c r="AH1" t="s">
        <v>2782</v>
      </c>
      <c r="AK1" t="s">
        <v>1786</v>
      </c>
      <c r="AL1" s="3" t="s">
        <v>1976</v>
      </c>
      <c r="AM1" t="s">
        <v>2782</v>
      </c>
      <c r="AP1" t="s">
        <v>1785</v>
      </c>
      <c r="AQ1" t="s">
        <v>2995</v>
      </c>
      <c r="AR1" t="s">
        <v>3062</v>
      </c>
      <c r="AS1" t="s">
        <v>3063</v>
      </c>
      <c r="AV1" t="s">
        <v>1785</v>
      </c>
      <c r="AW1" t="s">
        <v>2999</v>
      </c>
      <c r="AX1" t="s">
        <v>3001</v>
      </c>
      <c r="AY1" t="s">
        <v>2998</v>
      </c>
    </row>
    <row r="2" spans="1:51" x14ac:dyDescent="0.3">
      <c r="A2" t="s">
        <v>2793</v>
      </c>
      <c r="B2" s="3">
        <v>26265348.920000002</v>
      </c>
      <c r="C2" t="s">
        <v>2994</v>
      </c>
      <c r="S2" t="s">
        <v>2792</v>
      </c>
      <c r="T2" s="3">
        <v>211839697.63</v>
      </c>
      <c r="U2" s="3">
        <v>211839697.63000003</v>
      </c>
      <c r="V2" s="3">
        <v>0</v>
      </c>
      <c r="Z2" t="s">
        <v>1781</v>
      </c>
      <c r="AA2" t="s">
        <v>3000</v>
      </c>
      <c r="AC2" t="s">
        <v>1781</v>
      </c>
      <c r="AF2" s="101" t="s">
        <v>2793</v>
      </c>
      <c r="AG2">
        <v>26265348.920000002</v>
      </c>
      <c r="AH2" t="s">
        <v>3065</v>
      </c>
      <c r="AK2" t="s">
        <v>2793</v>
      </c>
      <c r="AL2" s="3">
        <v>18134116.440000001</v>
      </c>
      <c r="AM2" t="s">
        <v>3065</v>
      </c>
      <c r="AP2" s="90" t="s">
        <v>2792</v>
      </c>
      <c r="AQ2" s="97"/>
      <c r="AR2" s="97"/>
      <c r="AS2" s="97"/>
      <c r="AV2" t="s">
        <v>1781</v>
      </c>
      <c r="AW2" t="s">
        <v>3000</v>
      </c>
      <c r="AY2" t="s">
        <v>1781</v>
      </c>
    </row>
    <row r="3" spans="1:51" x14ac:dyDescent="0.3">
      <c r="A3" t="s">
        <v>2794</v>
      </c>
      <c r="B3" s="3">
        <v>183085058.93000001</v>
      </c>
      <c r="C3" t="s">
        <v>2994</v>
      </c>
      <c r="S3" t="s">
        <v>2797</v>
      </c>
      <c r="T3" s="3">
        <v>-635317925.64999998</v>
      </c>
      <c r="U3" s="3">
        <v>-635317925.64999998</v>
      </c>
      <c r="V3" s="3">
        <v>0</v>
      </c>
      <c r="Z3" t="s">
        <v>1782</v>
      </c>
      <c r="AA3" t="s">
        <v>3000</v>
      </c>
      <c r="AC3" t="s">
        <v>1782</v>
      </c>
      <c r="AF3" s="101" t="s">
        <v>2794</v>
      </c>
      <c r="AG3">
        <v>195211765.15000001</v>
      </c>
      <c r="AH3" t="s">
        <v>3090</v>
      </c>
      <c r="AK3" t="s">
        <v>2794</v>
      </c>
      <c r="AL3" s="3">
        <v>81955701.359999999</v>
      </c>
      <c r="AM3" t="s">
        <v>3090</v>
      </c>
      <c r="AP3" s="91" t="s">
        <v>2793</v>
      </c>
      <c r="AQ3" s="97" t="s">
        <v>2994</v>
      </c>
      <c r="AR3" s="97" t="s">
        <v>3065</v>
      </c>
      <c r="AS3" s="97" t="s">
        <v>3065</v>
      </c>
      <c r="AV3" t="s">
        <v>1782</v>
      </c>
      <c r="AW3" t="s">
        <v>3000</v>
      </c>
      <c r="AY3" t="s">
        <v>1782</v>
      </c>
    </row>
    <row r="4" spans="1:51" x14ac:dyDescent="0.3">
      <c r="A4" t="s">
        <v>2795</v>
      </c>
      <c r="B4" s="3">
        <v>2489289.7799999998</v>
      </c>
      <c r="C4" t="s">
        <v>2994</v>
      </c>
      <c r="S4" t="s">
        <v>2801</v>
      </c>
      <c r="T4" s="3">
        <v>4695312935.1300001</v>
      </c>
      <c r="U4" s="3">
        <v>4695312935.1300001</v>
      </c>
      <c r="V4" s="3">
        <v>0</v>
      </c>
      <c r="Z4" t="s">
        <v>1783</v>
      </c>
      <c r="AA4" t="s">
        <v>3000</v>
      </c>
      <c r="AC4" t="s">
        <v>1783</v>
      </c>
      <c r="AF4" s="101" t="s">
        <v>2795</v>
      </c>
      <c r="AG4">
        <v>2489289.7799999998</v>
      </c>
      <c r="AH4" t="s">
        <v>3065</v>
      </c>
      <c r="AK4" t="s">
        <v>2795</v>
      </c>
      <c r="AL4" s="3">
        <v>2489289.7799999998</v>
      </c>
      <c r="AM4" t="s">
        <v>3065</v>
      </c>
      <c r="AP4" s="91" t="s">
        <v>2794</v>
      </c>
      <c r="AQ4" s="97" t="s">
        <v>2994</v>
      </c>
      <c r="AR4" s="97" t="s">
        <v>3090</v>
      </c>
      <c r="AS4" s="97" t="s">
        <v>3090</v>
      </c>
      <c r="AV4" t="s">
        <v>1783</v>
      </c>
      <c r="AW4" t="s">
        <v>3000</v>
      </c>
      <c r="AY4" t="s">
        <v>1783</v>
      </c>
    </row>
    <row r="5" spans="1:51" x14ac:dyDescent="0.3">
      <c r="A5" t="s">
        <v>2796</v>
      </c>
      <c r="C5" t="s">
        <v>2994</v>
      </c>
      <c r="S5" t="s">
        <v>2806</v>
      </c>
      <c r="T5" s="3">
        <v>62559745.090000004</v>
      </c>
      <c r="U5" s="3">
        <v>62559745.089999996</v>
      </c>
      <c r="V5" s="3">
        <v>0</v>
      </c>
      <c r="Z5" t="s">
        <v>1784</v>
      </c>
      <c r="AA5" t="s">
        <v>3000</v>
      </c>
      <c r="AC5" t="s">
        <v>1784</v>
      </c>
      <c r="AF5" s="101" t="s">
        <v>2798</v>
      </c>
      <c r="AG5">
        <v>-9276632.5600000005</v>
      </c>
      <c r="AH5" t="s">
        <v>3065</v>
      </c>
      <c r="AK5" t="s">
        <v>2798</v>
      </c>
      <c r="AL5" s="3">
        <v>-5115533.57</v>
      </c>
      <c r="AM5" t="s">
        <v>3065</v>
      </c>
      <c r="AP5" s="91" t="s">
        <v>2795</v>
      </c>
      <c r="AQ5" s="97" t="s">
        <v>2994</v>
      </c>
      <c r="AR5" s="97" t="s">
        <v>3065</v>
      </c>
      <c r="AS5" s="97" t="s">
        <v>3065</v>
      </c>
      <c r="AV5" t="s">
        <v>1784</v>
      </c>
      <c r="AW5" t="s">
        <v>3000</v>
      </c>
      <c r="AY5" t="s">
        <v>1784</v>
      </c>
    </row>
    <row r="6" spans="1:51" x14ac:dyDescent="0.3">
      <c r="A6" t="s">
        <v>2798</v>
      </c>
      <c r="B6" s="3">
        <v>-9343370.1400000006</v>
      </c>
      <c r="C6" t="s">
        <v>2994</v>
      </c>
      <c r="S6" t="s">
        <v>2809</v>
      </c>
      <c r="T6" s="3">
        <v>-15427973.1</v>
      </c>
      <c r="U6" s="3">
        <v>-15427973.1</v>
      </c>
      <c r="V6" s="3">
        <v>0</v>
      </c>
      <c r="Z6" t="s">
        <v>2993</v>
      </c>
      <c r="AA6" t="s">
        <v>3000</v>
      </c>
      <c r="AB6" t="s">
        <v>3000</v>
      </c>
      <c r="AC6" t="s">
        <v>3002</v>
      </c>
      <c r="AF6" s="101" t="s">
        <v>2799</v>
      </c>
      <c r="AG6">
        <v>-503495528.60000002</v>
      </c>
      <c r="AH6" t="s">
        <v>3065</v>
      </c>
      <c r="AK6" t="s">
        <v>2799</v>
      </c>
      <c r="AL6" s="3">
        <v>-496517037.29000002</v>
      </c>
      <c r="AM6" t="s">
        <v>3065</v>
      </c>
      <c r="AP6" s="91" t="s">
        <v>2796</v>
      </c>
      <c r="AQ6" s="97" t="s">
        <v>2994</v>
      </c>
      <c r="AR6" s="97" t="s">
        <v>3065</v>
      </c>
      <c r="AS6" s="97" t="s">
        <v>3065</v>
      </c>
      <c r="AV6" t="s">
        <v>2993</v>
      </c>
      <c r="AW6" t="s">
        <v>3000</v>
      </c>
      <c r="AX6" t="s">
        <v>3000</v>
      </c>
      <c r="AY6" t="s">
        <v>3106</v>
      </c>
    </row>
    <row r="7" spans="1:51" x14ac:dyDescent="0.3">
      <c r="A7" t="s">
        <v>2799</v>
      </c>
      <c r="B7" s="3">
        <v>-520288302.57999998</v>
      </c>
      <c r="C7" t="s">
        <v>2994</v>
      </c>
      <c r="S7" t="s">
        <v>2812</v>
      </c>
      <c r="T7" s="3">
        <v>24808298.289999999</v>
      </c>
      <c r="U7" s="3">
        <v>24808298.289999999</v>
      </c>
      <c r="V7" s="3">
        <v>0</v>
      </c>
      <c r="AF7" s="101" t="s">
        <v>2800</v>
      </c>
      <c r="AG7">
        <v>-108219600.31</v>
      </c>
      <c r="AH7" t="s">
        <v>3090</v>
      </c>
      <c r="AK7" t="s">
        <v>2800</v>
      </c>
      <c r="AL7" s="3">
        <v>-31165488.23</v>
      </c>
      <c r="AM7" t="s">
        <v>3090</v>
      </c>
      <c r="AP7" s="90" t="s">
        <v>2797</v>
      </c>
      <c r="AQ7" s="97"/>
      <c r="AR7" s="97"/>
      <c r="AS7" s="97"/>
    </row>
    <row r="8" spans="1:51" x14ac:dyDescent="0.3">
      <c r="A8" t="s">
        <v>2800</v>
      </c>
      <c r="B8" s="3">
        <v>-105686252.93000001</v>
      </c>
      <c r="C8" t="s">
        <v>2994</v>
      </c>
      <c r="S8" t="s">
        <v>2816</v>
      </c>
      <c r="T8" s="3">
        <v>432879130.23000002</v>
      </c>
      <c r="U8" s="3">
        <v>432879130.23000002</v>
      </c>
      <c r="V8" s="3">
        <v>0</v>
      </c>
      <c r="AF8" s="101" t="s">
        <v>2802</v>
      </c>
      <c r="AG8">
        <v>44517695.670000002</v>
      </c>
      <c r="AH8" t="s">
        <v>3142</v>
      </c>
      <c r="AK8" t="s">
        <v>2802</v>
      </c>
      <c r="AL8" s="3">
        <v>62219315.200000003</v>
      </c>
      <c r="AM8" t="s">
        <v>3065</v>
      </c>
      <c r="AP8" s="91" t="s">
        <v>2798</v>
      </c>
      <c r="AQ8" s="97" t="s">
        <v>2994</v>
      </c>
      <c r="AR8" s="97" t="s">
        <v>3065</v>
      </c>
      <c r="AS8" s="97" t="s">
        <v>3065</v>
      </c>
    </row>
    <row r="9" spans="1:51" x14ac:dyDescent="0.3">
      <c r="A9" t="s">
        <v>2802</v>
      </c>
      <c r="B9" s="3">
        <v>57273044.020000003</v>
      </c>
      <c r="C9" t="s">
        <v>2994</v>
      </c>
      <c r="S9" t="s">
        <v>2817</v>
      </c>
      <c r="T9" s="3">
        <v>2396665.48</v>
      </c>
      <c r="U9" s="3">
        <v>2396665.48</v>
      </c>
      <c r="V9" s="3">
        <v>0</v>
      </c>
      <c r="AF9" s="101" t="s">
        <v>2804</v>
      </c>
      <c r="AG9">
        <v>4654694780.46</v>
      </c>
      <c r="AH9" t="s">
        <v>3142</v>
      </c>
      <c r="AK9" t="s">
        <v>2804</v>
      </c>
      <c r="AL9" s="3">
        <v>4643800393.75</v>
      </c>
      <c r="AM9" t="s">
        <v>3065</v>
      </c>
      <c r="AP9" s="91" t="s">
        <v>2799</v>
      </c>
      <c r="AQ9" s="97" t="s">
        <v>2994</v>
      </c>
      <c r="AR9" s="97" t="s">
        <v>3065</v>
      </c>
      <c r="AS9" s="97" t="s">
        <v>3065</v>
      </c>
    </row>
    <row r="10" spans="1:51" x14ac:dyDescent="0.3">
      <c r="A10" t="s">
        <v>2803</v>
      </c>
      <c r="C10" t="s">
        <v>2994</v>
      </c>
      <c r="F10" t="s">
        <v>1785</v>
      </c>
      <c r="G10" t="s">
        <v>2995</v>
      </c>
      <c r="H10" t="s">
        <v>3062</v>
      </c>
      <c r="I10" t="s">
        <v>3063</v>
      </c>
      <c r="S10" t="s">
        <v>2825</v>
      </c>
      <c r="T10" s="3">
        <v>0.01</v>
      </c>
      <c r="U10" s="3">
        <v>0.01</v>
      </c>
      <c r="V10" s="3">
        <v>0</v>
      </c>
      <c r="AF10" s="101" t="s">
        <v>2807</v>
      </c>
      <c r="AG10">
        <v>845103.11</v>
      </c>
      <c r="AH10" t="s">
        <v>3043</v>
      </c>
      <c r="AK10" t="s">
        <v>2807</v>
      </c>
      <c r="AL10" s="3">
        <v>845103.11</v>
      </c>
      <c r="AM10" t="s">
        <v>3043</v>
      </c>
      <c r="AP10" s="91" t="s">
        <v>2800</v>
      </c>
      <c r="AQ10" s="97" t="s">
        <v>2994</v>
      </c>
      <c r="AR10" s="97" t="s">
        <v>3090</v>
      </c>
      <c r="AS10" s="97" t="s">
        <v>3090</v>
      </c>
      <c r="AV10" t="s">
        <v>2782</v>
      </c>
      <c r="AW10" t="s">
        <v>3119</v>
      </c>
    </row>
    <row r="11" spans="1:51" ht="86.4" x14ac:dyDescent="0.3">
      <c r="A11" t="s">
        <v>2804</v>
      </c>
      <c r="B11" s="3">
        <v>4638039891.1099997</v>
      </c>
      <c r="C11" t="s">
        <v>2994</v>
      </c>
      <c r="F11" t="s">
        <v>2791</v>
      </c>
      <c r="G11" t="s">
        <v>2994</v>
      </c>
      <c r="H11" t="s">
        <v>3064</v>
      </c>
      <c r="I11" t="s">
        <v>3064</v>
      </c>
      <c r="K11" t="str">
        <f>IF(bs_acc[[#This Row],[BS_line]]=bs_acc[[#This Row],[BS_line2]],bs_acc[[#This Row],[BS_line]],bs_acc[[#This Row],[BS_line]]&amp;"_"&amp;bs_acc[[#This Row],[BS_line2]])</f>
        <v>Technical</v>
      </c>
      <c r="S11" t="s">
        <v>2830</v>
      </c>
      <c r="T11" s="3">
        <v>19057100.559999999</v>
      </c>
      <c r="U11" s="3">
        <v>19057100.560000002</v>
      </c>
      <c r="V11" s="3">
        <v>0</v>
      </c>
      <c r="AF11" s="101" t="s">
        <v>2808</v>
      </c>
      <c r="AG11">
        <v>60714641.979999997</v>
      </c>
      <c r="AH11" t="s">
        <v>3043</v>
      </c>
      <c r="AK11" t="s">
        <v>2809</v>
      </c>
      <c r="AL11" s="3">
        <v>-818898.95</v>
      </c>
      <c r="AM11" t="s">
        <v>3043</v>
      </c>
      <c r="AP11" s="90" t="s">
        <v>2801</v>
      </c>
      <c r="AQ11" s="97"/>
      <c r="AR11" s="97"/>
      <c r="AS11" s="97"/>
      <c r="AV11" t="s">
        <v>3065</v>
      </c>
      <c r="AW11" s="50" t="s">
        <v>3120</v>
      </c>
    </row>
    <row r="12" spans="1:51" ht="28.8" x14ac:dyDescent="0.3">
      <c r="A12" t="s">
        <v>2805</v>
      </c>
      <c r="C12" t="s">
        <v>2994</v>
      </c>
      <c r="F12" t="s">
        <v>2792</v>
      </c>
      <c r="K12">
        <f>IF(bs_acc[[#This Row],[BS_line]]=bs_acc[[#This Row],[BS_line2]],bs_acc[[#This Row],[BS_line]],bs_acc[[#This Row],[BS_line]]&amp;"_"&amp;bs_acc[[#This Row],[BS_line2]])</f>
        <v>0</v>
      </c>
      <c r="S12" t="s">
        <v>2834</v>
      </c>
      <c r="T12" s="3">
        <v>19592739.390000001</v>
      </c>
      <c r="U12" s="3">
        <v>19592739.390000001</v>
      </c>
      <c r="V12" s="3">
        <v>0</v>
      </c>
      <c r="AF12" s="101" t="s">
        <v>2810</v>
      </c>
      <c r="AG12">
        <v>-818454.81</v>
      </c>
      <c r="AH12" t="s">
        <v>3043</v>
      </c>
      <c r="AK12" t="s">
        <v>2815</v>
      </c>
      <c r="AL12" s="3">
        <v>24808298.289999999</v>
      </c>
      <c r="AM12" t="s">
        <v>3065</v>
      </c>
      <c r="AP12" s="91" t="s">
        <v>2802</v>
      </c>
      <c r="AQ12" s="97" t="s">
        <v>2994</v>
      </c>
      <c r="AR12" s="97" t="s">
        <v>3065</v>
      </c>
      <c r="AS12" s="97" t="s">
        <v>3065</v>
      </c>
      <c r="AV12" t="s">
        <v>3090</v>
      </c>
      <c r="AW12" s="50" t="s">
        <v>3121</v>
      </c>
    </row>
    <row r="13" spans="1:51" ht="28.8" x14ac:dyDescent="0.3">
      <c r="A13" t="s">
        <v>2807</v>
      </c>
      <c r="B13" s="3">
        <v>845103.11</v>
      </c>
      <c r="C13" t="s">
        <v>2994</v>
      </c>
      <c r="F13" t="s">
        <v>2793</v>
      </c>
      <c r="G13" t="s">
        <v>2994</v>
      </c>
      <c r="H13" t="s">
        <v>3065</v>
      </c>
      <c r="I13" t="s">
        <v>3065</v>
      </c>
      <c r="K13" t="str">
        <f>IF(bs_acc[[#This Row],[BS_line]]=bs_acc[[#This Row],[BS_line2]],bs_acc[[#This Row],[BS_line]],bs_acc[[#This Row],[BS_line]]&amp;"_"&amp;bs_acc[[#This Row],[BS_line2]])</f>
        <v>Property, plant and equipment</v>
      </c>
      <c r="S13" t="s">
        <v>2835</v>
      </c>
      <c r="T13" s="3">
        <v>96.61</v>
      </c>
      <c r="U13" s="3">
        <v>96.61</v>
      </c>
      <c r="V13" s="3">
        <v>0</v>
      </c>
      <c r="AF13" s="101" t="s">
        <v>2811</v>
      </c>
      <c r="AG13">
        <v>-13570053.779999999</v>
      </c>
      <c r="AH13" t="s">
        <v>3043</v>
      </c>
      <c r="AK13" t="s">
        <v>2816</v>
      </c>
      <c r="AL13" s="3">
        <v>590901364.52999997</v>
      </c>
      <c r="AM13" t="s">
        <v>3044</v>
      </c>
      <c r="AP13" s="91" t="s">
        <v>2803</v>
      </c>
      <c r="AQ13" s="97" t="s">
        <v>2994</v>
      </c>
      <c r="AR13" s="97" t="s">
        <v>3065</v>
      </c>
      <c r="AS13" s="97" t="s">
        <v>3065</v>
      </c>
      <c r="AV13" t="s">
        <v>3043</v>
      </c>
      <c r="AW13" s="50" t="s">
        <v>3122</v>
      </c>
    </row>
    <row r="14" spans="1:51" x14ac:dyDescent="0.3">
      <c r="A14" t="s">
        <v>2808</v>
      </c>
      <c r="B14" s="3">
        <v>61714641.979999997</v>
      </c>
      <c r="C14" t="s">
        <v>2994</v>
      </c>
      <c r="F14" t="s">
        <v>2794</v>
      </c>
      <c r="G14" t="s">
        <v>2994</v>
      </c>
      <c r="H14" t="s">
        <v>3090</v>
      </c>
      <c r="I14" t="s">
        <v>3090</v>
      </c>
      <c r="K14" t="str">
        <f>IF(bs_acc[[#This Row],[BS_line]]=bs_acc[[#This Row],[BS_line2]],bs_acc[[#This Row],[BS_line]],bs_acc[[#This Row],[BS_line]]&amp;"_"&amp;bs_acc[[#This Row],[BS_line2]])</f>
        <v>Right-of-use assets</v>
      </c>
      <c r="S14" t="s">
        <v>2836</v>
      </c>
      <c r="T14" s="3">
        <v>1102598622</v>
      </c>
      <c r="U14" s="3">
        <v>1102598622</v>
      </c>
      <c r="V14" s="3">
        <v>0</v>
      </c>
      <c r="AF14" s="101" t="s">
        <v>2815</v>
      </c>
      <c r="AG14">
        <v>7564708.3399999999</v>
      </c>
      <c r="AH14" t="s">
        <v>3065</v>
      </c>
      <c r="AK14" t="s">
        <v>2821</v>
      </c>
      <c r="AL14" s="3">
        <v>1655934.71</v>
      </c>
      <c r="AM14" t="s">
        <v>3045</v>
      </c>
      <c r="AP14" s="91" t="s">
        <v>2804</v>
      </c>
      <c r="AQ14" s="97" t="s">
        <v>2994</v>
      </c>
      <c r="AR14" s="97" t="s">
        <v>3065</v>
      </c>
      <c r="AS14" s="97" t="s">
        <v>3065</v>
      </c>
      <c r="AV14" t="s">
        <v>3044</v>
      </c>
      <c r="AW14" s="50" t="s">
        <v>2816</v>
      </c>
    </row>
    <row r="15" spans="1:51" ht="57.6" x14ac:dyDescent="0.3">
      <c r="A15" t="s">
        <v>2810</v>
      </c>
      <c r="B15" s="3">
        <v>-818898.95</v>
      </c>
      <c r="C15" t="s">
        <v>2994</v>
      </c>
      <c r="F15" t="s">
        <v>2795</v>
      </c>
      <c r="G15" t="s">
        <v>2994</v>
      </c>
      <c r="H15" t="s">
        <v>3065</v>
      </c>
      <c r="I15" t="s">
        <v>3065</v>
      </c>
      <c r="K15" t="str">
        <f>IF(bs_acc[[#This Row],[BS_line]]=bs_acc[[#This Row],[BS_line2]],bs_acc[[#This Row],[BS_line]],bs_acc[[#This Row],[BS_line]]&amp;"_"&amp;bs_acc[[#This Row],[BS_line2]])</f>
        <v>Property, plant and equipment</v>
      </c>
      <c r="S15" t="s">
        <v>2840</v>
      </c>
      <c r="T15" s="3">
        <v>720569977.04999995</v>
      </c>
      <c r="U15" s="3">
        <v>720569977.04999995</v>
      </c>
      <c r="V15" s="3">
        <v>0</v>
      </c>
      <c r="AF15" s="101" t="s">
        <v>2816</v>
      </c>
      <c r="AG15">
        <v>424732595.83999997</v>
      </c>
      <c r="AH15" t="s">
        <v>3044</v>
      </c>
      <c r="AK15" t="s">
        <v>2822</v>
      </c>
      <c r="AL15" s="3">
        <v>484234.67</v>
      </c>
      <c r="AM15" t="s">
        <v>3045</v>
      </c>
      <c r="AP15" s="91" t="s">
        <v>2805</v>
      </c>
      <c r="AQ15" s="97" t="s">
        <v>2994</v>
      </c>
      <c r="AR15" s="97" t="s">
        <v>3065</v>
      </c>
      <c r="AS15" s="97" t="s">
        <v>3065</v>
      </c>
      <c r="AV15" t="s">
        <v>3045</v>
      </c>
      <c r="AW15" s="50" t="s">
        <v>3123</v>
      </c>
    </row>
    <row r="16" spans="1:51" ht="28.8" x14ac:dyDescent="0.3">
      <c r="A16" t="s">
        <v>2811</v>
      </c>
      <c r="B16" s="3">
        <v>-14609074.15</v>
      </c>
      <c r="C16" t="s">
        <v>2994</v>
      </c>
      <c r="F16" t="s">
        <v>2796</v>
      </c>
      <c r="G16" t="s">
        <v>2994</v>
      </c>
      <c r="H16" t="s">
        <v>3065</v>
      </c>
      <c r="I16" t="s">
        <v>3065</v>
      </c>
      <c r="K16" t="str">
        <f>IF(bs_acc[[#This Row],[BS_line]]=bs_acc[[#This Row],[BS_line2]],bs_acc[[#This Row],[BS_line]],bs_acc[[#This Row],[BS_line]]&amp;"_"&amp;bs_acc[[#This Row],[BS_line2]])</f>
        <v>Property, plant and equipment</v>
      </c>
      <c r="S16" t="s">
        <v>2842</v>
      </c>
      <c r="T16" s="3">
        <v>-41121212.020000003</v>
      </c>
      <c r="U16" s="3">
        <v>-41121212.020000003</v>
      </c>
      <c r="V16" s="3">
        <v>0</v>
      </c>
      <c r="AF16" s="101" t="s">
        <v>2821</v>
      </c>
      <c r="AG16">
        <v>1655934.71</v>
      </c>
      <c r="AH16" t="s">
        <v>3045</v>
      </c>
      <c r="AK16" t="s">
        <v>2823</v>
      </c>
      <c r="AL16" s="3">
        <v>256496.1</v>
      </c>
      <c r="AM16" t="s">
        <v>3045</v>
      </c>
      <c r="AP16" s="90" t="s">
        <v>2806</v>
      </c>
      <c r="AQ16" s="97"/>
      <c r="AR16" s="97"/>
      <c r="AS16" s="97"/>
      <c r="AV16" t="s">
        <v>3046</v>
      </c>
      <c r="AW16" s="50" t="s">
        <v>3124</v>
      </c>
    </row>
    <row r="17" spans="1:49" x14ac:dyDescent="0.3">
      <c r="A17" t="s">
        <v>2815</v>
      </c>
      <c r="B17" s="3">
        <v>24808298.289999999</v>
      </c>
      <c r="C17" t="s">
        <v>2994</v>
      </c>
      <c r="F17" t="s">
        <v>2797</v>
      </c>
      <c r="K17">
        <f>IF(bs_acc[[#This Row],[BS_line]]=bs_acc[[#This Row],[BS_line2]],bs_acc[[#This Row],[BS_line]],bs_acc[[#This Row],[BS_line]]&amp;"_"&amp;bs_acc[[#This Row],[BS_line2]])</f>
        <v>0</v>
      </c>
      <c r="S17" t="s">
        <v>2849</v>
      </c>
      <c r="T17" s="3">
        <v>1984889812.5799999</v>
      </c>
      <c r="U17" s="3">
        <v>1984889812.5799999</v>
      </c>
      <c r="V17" s="3">
        <v>0</v>
      </c>
      <c r="AF17" s="101" t="s">
        <v>2822</v>
      </c>
      <c r="AG17">
        <v>4701579.58</v>
      </c>
      <c r="AH17" t="s">
        <v>3045</v>
      </c>
      <c r="AK17" t="s">
        <v>2832</v>
      </c>
      <c r="AL17" s="3">
        <v>9429823.2300000004</v>
      </c>
      <c r="AM17" t="s">
        <v>3045</v>
      </c>
      <c r="AP17" s="91" t="s">
        <v>2807</v>
      </c>
      <c r="AQ17" s="97" t="s">
        <v>2994</v>
      </c>
      <c r="AR17" s="97" t="s">
        <v>3043</v>
      </c>
      <c r="AS17" s="97" t="s">
        <v>3043</v>
      </c>
      <c r="AV17" t="s">
        <v>3067</v>
      </c>
      <c r="AW17" s="50" t="s">
        <v>3036</v>
      </c>
    </row>
    <row r="18" spans="1:49" ht="72" x14ac:dyDescent="0.3">
      <c r="A18" t="s">
        <v>2816</v>
      </c>
      <c r="B18" s="3">
        <v>432879130.23000002</v>
      </c>
      <c r="C18" t="s">
        <v>2994</v>
      </c>
      <c r="F18" t="s">
        <v>2798</v>
      </c>
      <c r="G18" t="s">
        <v>2994</v>
      </c>
      <c r="H18" t="s">
        <v>3065</v>
      </c>
      <c r="I18" t="s">
        <v>3065</v>
      </c>
      <c r="K18" t="str">
        <f>IF(bs_acc[[#This Row],[BS_line]]=bs_acc[[#This Row],[BS_line2]],bs_acc[[#This Row],[BS_line]],bs_acc[[#This Row],[BS_line]]&amp;"_"&amp;bs_acc[[#This Row],[BS_line2]])</f>
        <v>Property, plant and equipment</v>
      </c>
      <c r="S18" t="s">
        <v>2887</v>
      </c>
      <c r="T18" s="3">
        <v>-89448993.340000004</v>
      </c>
      <c r="U18" s="3">
        <v>-89448993.339999989</v>
      </c>
      <c r="V18" s="3">
        <v>0</v>
      </c>
      <c r="AF18" s="101" t="s">
        <v>2823</v>
      </c>
      <c r="AG18">
        <v>307646.53999999998</v>
      </c>
      <c r="AH18" t="s">
        <v>3045</v>
      </c>
      <c r="AK18" t="s">
        <v>2834</v>
      </c>
      <c r="AL18" s="3">
        <v>19555521.390000001</v>
      </c>
      <c r="AM18" t="s">
        <v>3046</v>
      </c>
      <c r="AP18" s="90" t="s">
        <v>2809</v>
      </c>
      <c r="AQ18" s="97" t="s">
        <v>2994</v>
      </c>
      <c r="AR18" s="97" t="s">
        <v>3043</v>
      </c>
      <c r="AS18" s="97" t="s">
        <v>3043</v>
      </c>
      <c r="AV18" t="s">
        <v>3047</v>
      </c>
      <c r="AW18" s="50" t="s">
        <v>3125</v>
      </c>
    </row>
    <row r="19" spans="1:49" ht="43.2" x14ac:dyDescent="0.3">
      <c r="A19" t="s">
        <v>2821</v>
      </c>
      <c r="B19" s="3">
        <v>1655934.71</v>
      </c>
      <c r="C19" t="s">
        <v>2994</v>
      </c>
      <c r="F19" t="s">
        <v>2799</v>
      </c>
      <c r="G19" t="s">
        <v>2994</v>
      </c>
      <c r="H19" t="s">
        <v>3065</v>
      </c>
      <c r="I19" t="s">
        <v>3065</v>
      </c>
      <c r="K19" t="str">
        <f>IF(bs_acc[[#This Row],[BS_line]]=bs_acc[[#This Row],[BS_line2]],bs_acc[[#This Row],[BS_line]],bs_acc[[#This Row],[BS_line]]&amp;"_"&amp;bs_acc[[#This Row],[BS_line2]])</f>
        <v>Property, plant and equipment</v>
      </c>
      <c r="S19" t="s">
        <v>2896</v>
      </c>
      <c r="T19" s="3">
        <v>-3139202690.0999999</v>
      </c>
      <c r="U19" s="3">
        <v>-3139202690.0999999</v>
      </c>
      <c r="V19" s="3">
        <v>0</v>
      </c>
      <c r="AF19" s="101" t="s">
        <v>2828</v>
      </c>
      <c r="AG19">
        <v>0.01</v>
      </c>
      <c r="AH19" t="s">
        <v>3088</v>
      </c>
      <c r="AK19" t="s">
        <v>2835</v>
      </c>
      <c r="AL19" s="3">
        <v>96.61</v>
      </c>
      <c r="AM19" t="s">
        <v>3046</v>
      </c>
      <c r="AP19" s="90" t="s">
        <v>2812</v>
      </c>
      <c r="AQ19" s="97"/>
      <c r="AR19" s="97"/>
      <c r="AS19" s="97"/>
      <c r="AV19" t="s">
        <v>3048</v>
      </c>
      <c r="AW19" s="50" t="s">
        <v>3126</v>
      </c>
    </row>
    <row r="20" spans="1:49" ht="244.8" x14ac:dyDescent="0.3">
      <c r="A20" t="s">
        <v>2822</v>
      </c>
      <c r="B20" s="3">
        <v>484234.67</v>
      </c>
      <c r="C20" t="s">
        <v>2994</v>
      </c>
      <c r="F20" t="s">
        <v>2800</v>
      </c>
      <c r="G20" t="s">
        <v>2994</v>
      </c>
      <c r="H20" t="s">
        <v>3090</v>
      </c>
      <c r="I20" t="s">
        <v>3090</v>
      </c>
      <c r="K20" t="str">
        <f>IF(bs_acc[[#This Row],[BS_line]]=bs_acc[[#This Row],[BS_line2]],bs_acc[[#This Row],[BS_line]],bs_acc[[#This Row],[BS_line]]&amp;"_"&amp;bs_acc[[#This Row],[BS_line2]])</f>
        <v>Right-of-use assets</v>
      </c>
      <c r="S20" t="s">
        <v>2907</v>
      </c>
      <c r="T20" s="3">
        <v>-2948790164.4400001</v>
      </c>
      <c r="U20" s="3">
        <v>-2948790164.4400001</v>
      </c>
      <c r="V20" s="3">
        <v>0</v>
      </c>
      <c r="AF20" s="101" t="s">
        <v>2831</v>
      </c>
      <c r="AG20">
        <v>1007267</v>
      </c>
      <c r="AH20" t="s">
        <v>3045</v>
      </c>
      <c r="AK20" t="s">
        <v>2837</v>
      </c>
      <c r="AL20" s="3">
        <v>1102598622</v>
      </c>
      <c r="AM20" t="s">
        <v>3046</v>
      </c>
      <c r="AP20" s="91" t="s">
        <v>2813</v>
      </c>
      <c r="AQ20" s="97"/>
      <c r="AR20" s="97"/>
      <c r="AS20" s="97"/>
      <c r="AV20" t="s">
        <v>3049</v>
      </c>
      <c r="AW20" s="50" t="s">
        <v>3140</v>
      </c>
    </row>
    <row r="21" spans="1:49" ht="100.8" x14ac:dyDescent="0.3">
      <c r="A21" t="s">
        <v>2823</v>
      </c>
      <c r="B21" s="3">
        <v>256496.1</v>
      </c>
      <c r="C21" t="s">
        <v>2994</v>
      </c>
      <c r="F21" t="s">
        <v>2801</v>
      </c>
      <c r="K21">
        <f>IF(bs_acc[[#This Row],[BS_line]]=bs_acc[[#This Row],[BS_line2]],bs_acc[[#This Row],[BS_line]],bs_acc[[#This Row],[BS_line]]&amp;"_"&amp;bs_acc[[#This Row],[BS_line2]])</f>
        <v>0</v>
      </c>
      <c r="S21" t="s">
        <v>2911</v>
      </c>
      <c r="T21" s="3">
        <v>-168078434.75</v>
      </c>
      <c r="U21" s="3">
        <v>-168078434.75000006</v>
      </c>
      <c r="V21" s="3">
        <v>0</v>
      </c>
      <c r="AF21" s="101" t="s">
        <v>2832</v>
      </c>
      <c r="AG21">
        <v>23163045.629999999</v>
      </c>
      <c r="AH21" t="s">
        <v>3045</v>
      </c>
      <c r="AK21" t="s">
        <v>3036</v>
      </c>
      <c r="AL21" s="3">
        <v>578000000</v>
      </c>
      <c r="AM21" t="s">
        <v>3067</v>
      </c>
      <c r="AP21" s="92" t="s">
        <v>2814</v>
      </c>
      <c r="AQ21" s="97" t="s">
        <v>2994</v>
      </c>
      <c r="AR21" s="97" t="s">
        <v>3065</v>
      </c>
      <c r="AS21" s="97" t="s">
        <v>3065</v>
      </c>
      <c r="AV21" t="s">
        <v>3061</v>
      </c>
      <c r="AW21" s="50" t="s">
        <v>3127</v>
      </c>
    </row>
    <row r="22" spans="1:49" ht="72" x14ac:dyDescent="0.3">
      <c r="A22" t="s">
        <v>2826</v>
      </c>
      <c r="C22" t="s">
        <v>2994</v>
      </c>
      <c r="F22" t="s">
        <v>2802</v>
      </c>
      <c r="G22" t="s">
        <v>2994</v>
      </c>
      <c r="H22" t="s">
        <v>3142</v>
      </c>
      <c r="I22" t="s">
        <v>3142</v>
      </c>
      <c r="K22" t="str">
        <f>IF(bs_acc[[#This Row],[BS_line]]=bs_acc[[#This Row],[BS_line2]],bs_acc[[#This Row],[BS_line]],bs_acc[[#This Row],[BS_line]]&amp;"_"&amp;bs_acc[[#This Row],[BS_line2]])</f>
        <v>Fixed assets for operating lease</v>
      </c>
      <c r="S22" t="s">
        <v>2922</v>
      </c>
      <c r="T22" s="3">
        <v>-17140853.59</v>
      </c>
      <c r="U22" s="3">
        <v>-17140853.589999996</v>
      </c>
      <c r="V22" s="3">
        <v>0</v>
      </c>
      <c r="AF22" s="101" t="s">
        <v>3016</v>
      </c>
      <c r="AG22">
        <v>2507261</v>
      </c>
      <c r="AH22" t="s">
        <v>3045</v>
      </c>
      <c r="AK22" t="s">
        <v>3095</v>
      </c>
      <c r="AL22" s="3">
        <v>142569977.05000001</v>
      </c>
      <c r="AM22" t="s">
        <v>3066</v>
      </c>
      <c r="AP22" s="91" t="s">
        <v>2815</v>
      </c>
      <c r="AQ22" s="97" t="s">
        <v>2994</v>
      </c>
      <c r="AR22" s="97" t="s">
        <v>3065</v>
      </c>
      <c r="AS22" s="97" t="s">
        <v>3065</v>
      </c>
      <c r="AV22" t="s">
        <v>3077</v>
      </c>
      <c r="AW22" s="50" t="s">
        <v>3128</v>
      </c>
    </row>
    <row r="23" spans="1:49" ht="72" x14ac:dyDescent="0.3">
      <c r="A23" t="s">
        <v>2828</v>
      </c>
      <c r="B23" s="3">
        <v>0.01</v>
      </c>
      <c r="C23" t="s">
        <v>2994</v>
      </c>
      <c r="F23" t="s">
        <v>2803</v>
      </c>
      <c r="G23" t="s">
        <v>2994</v>
      </c>
      <c r="H23" t="s">
        <v>3142</v>
      </c>
      <c r="I23" t="s">
        <v>3142</v>
      </c>
      <c r="K23" t="str">
        <f>IF(bs_acc[[#This Row],[BS_line]]=bs_acc[[#This Row],[BS_line2]],bs_acc[[#This Row],[BS_line]],bs_acc[[#This Row],[BS_line]]&amp;"_"&amp;bs_acc[[#This Row],[BS_line2]])</f>
        <v>Fixed assets for operating lease</v>
      </c>
      <c r="S23" t="s">
        <v>2929</v>
      </c>
      <c r="T23" s="3">
        <v>-6043333.6100000003</v>
      </c>
      <c r="U23" s="3">
        <v>-6043333.6100000003</v>
      </c>
      <c r="V23" s="3">
        <v>0</v>
      </c>
      <c r="AF23" s="101" t="s">
        <v>2834</v>
      </c>
      <c r="AG23">
        <v>152744761.74000001</v>
      </c>
      <c r="AH23" t="s">
        <v>3046</v>
      </c>
      <c r="AK23" t="s">
        <v>2843</v>
      </c>
      <c r="AL23" s="3">
        <v>-156482912.06999999</v>
      </c>
      <c r="AM23" t="s">
        <v>3047</v>
      </c>
      <c r="AP23" s="90" t="s">
        <v>2816</v>
      </c>
      <c r="AQ23" s="97" t="s">
        <v>2994</v>
      </c>
      <c r="AR23" s="97" t="s">
        <v>3044</v>
      </c>
      <c r="AS23" s="97" t="s">
        <v>3044</v>
      </c>
      <c r="AV23" t="s">
        <v>3050</v>
      </c>
      <c r="AW23" s="50" t="s">
        <v>3129</v>
      </c>
    </row>
    <row r="24" spans="1:49" x14ac:dyDescent="0.3">
      <c r="A24" t="s">
        <v>2831</v>
      </c>
      <c r="B24" s="3">
        <v>3279924</v>
      </c>
      <c r="C24" t="s">
        <v>2994</v>
      </c>
      <c r="F24" t="s">
        <v>2804</v>
      </c>
      <c r="G24" t="s">
        <v>2994</v>
      </c>
      <c r="H24" t="s">
        <v>3142</v>
      </c>
      <c r="I24" t="s">
        <v>3142</v>
      </c>
      <c r="K24" t="str">
        <f>IF(bs_acc[[#This Row],[BS_line]]=bs_acc[[#This Row],[BS_line2]],bs_acc[[#This Row],[BS_line]],bs_acc[[#This Row],[BS_line]]&amp;"_"&amp;bs_acc[[#This Row],[BS_line2]])</f>
        <v>Fixed assets for operating lease</v>
      </c>
      <c r="S24" t="s">
        <v>2930</v>
      </c>
      <c r="T24" s="3">
        <v>-32700.27</v>
      </c>
      <c r="U24" s="3">
        <v>-32700.27</v>
      </c>
      <c r="V24" s="3">
        <v>0</v>
      </c>
      <c r="AF24" s="101" t="s">
        <v>2835</v>
      </c>
      <c r="AG24">
        <v>92.5</v>
      </c>
      <c r="AH24" t="s">
        <v>3046</v>
      </c>
      <c r="AK24" t="s">
        <v>2844</v>
      </c>
      <c r="AL24" s="3">
        <v>79264097.810000002</v>
      </c>
      <c r="AM24" t="s">
        <v>3048</v>
      </c>
      <c r="AP24" s="90" t="s">
        <v>2817</v>
      </c>
      <c r="AQ24" s="97"/>
      <c r="AR24" s="97"/>
      <c r="AS24" s="97"/>
      <c r="AV24" t="s">
        <v>3071</v>
      </c>
      <c r="AW24" s="50" t="s">
        <v>2888</v>
      </c>
    </row>
    <row r="25" spans="1:49" ht="43.2" x14ac:dyDescent="0.3">
      <c r="A25" t="s">
        <v>2832</v>
      </c>
      <c r="B25" s="3">
        <v>13269915.560000001</v>
      </c>
      <c r="C25" t="s">
        <v>2994</v>
      </c>
      <c r="F25" t="s">
        <v>2805</v>
      </c>
      <c r="G25" t="s">
        <v>2994</v>
      </c>
      <c r="H25" t="s">
        <v>3142</v>
      </c>
      <c r="I25" t="s">
        <v>3142</v>
      </c>
      <c r="K25" t="str">
        <f>IF(bs_acc[[#This Row],[BS_line]]=bs_acc[[#This Row],[BS_line2]],bs_acc[[#This Row],[BS_line]],bs_acc[[#This Row],[BS_line]]&amp;"_"&amp;bs_acc[[#This Row],[BS_line2]])</f>
        <v>Fixed assets for operating lease</v>
      </c>
      <c r="S25" t="s">
        <v>2932</v>
      </c>
      <c r="T25" s="3">
        <v>571103.69999999995</v>
      </c>
      <c r="U25" s="3">
        <v>571103.69999999995</v>
      </c>
      <c r="V25" s="3">
        <v>0</v>
      </c>
      <c r="AF25" s="101" t="s">
        <v>2837</v>
      </c>
      <c r="AG25">
        <v>1000000000</v>
      </c>
      <c r="AH25" t="s">
        <v>3046</v>
      </c>
      <c r="AK25" t="s">
        <v>2846</v>
      </c>
      <c r="AL25" s="3">
        <v>1997.79</v>
      </c>
      <c r="AM25" t="s">
        <v>3048</v>
      </c>
      <c r="AP25" s="91" t="s">
        <v>2818</v>
      </c>
      <c r="AQ25" s="97"/>
      <c r="AR25" s="97"/>
      <c r="AS25" s="97"/>
      <c r="AV25" t="s">
        <v>3070</v>
      </c>
      <c r="AW25" s="50" t="s">
        <v>3130</v>
      </c>
    </row>
    <row r="26" spans="1:49" ht="28.8" x14ac:dyDescent="0.3">
      <c r="A26" t="s">
        <v>2833</v>
      </c>
      <c r="C26" t="s">
        <v>2994</v>
      </c>
      <c r="F26" t="s">
        <v>2806</v>
      </c>
      <c r="K26">
        <f>IF(bs_acc[[#This Row],[BS_line]]=bs_acc[[#This Row],[BS_line2]],bs_acc[[#This Row],[BS_line]],bs_acc[[#This Row],[BS_line]]&amp;"_"&amp;bs_acc[[#This Row],[BS_line2]])</f>
        <v>0</v>
      </c>
      <c r="S26" t="s">
        <v>2934</v>
      </c>
      <c r="T26" s="3">
        <v>-11421377</v>
      </c>
      <c r="U26" s="3">
        <v>-11421376.999999996</v>
      </c>
      <c r="V26" s="3">
        <v>0</v>
      </c>
      <c r="AF26" s="101" t="s">
        <v>3036</v>
      </c>
      <c r="AG26">
        <v>578000000</v>
      </c>
      <c r="AH26" t="s">
        <v>3067</v>
      </c>
      <c r="AK26" t="s">
        <v>2847</v>
      </c>
      <c r="AL26" s="3">
        <v>-569466.43000000005</v>
      </c>
      <c r="AM26" t="s">
        <v>3047</v>
      </c>
      <c r="AP26" s="92" t="s">
        <v>2819</v>
      </c>
      <c r="AQ26" s="97" t="s">
        <v>2994</v>
      </c>
      <c r="AR26" s="97" t="s">
        <v>3045</v>
      </c>
      <c r="AS26" s="97" t="s">
        <v>3045</v>
      </c>
      <c r="AV26" t="s">
        <v>3092</v>
      </c>
      <c r="AW26" s="50" t="s">
        <v>3108</v>
      </c>
    </row>
    <row r="27" spans="1:49" ht="187.2" x14ac:dyDescent="0.3">
      <c r="A27" t="s">
        <v>3016</v>
      </c>
      <c r="B27" s="3">
        <v>2507261</v>
      </c>
      <c r="C27" t="s">
        <v>2994</v>
      </c>
      <c r="F27" t="s">
        <v>2807</v>
      </c>
      <c r="G27" t="s">
        <v>2994</v>
      </c>
      <c r="H27" s="86" t="s">
        <v>3043</v>
      </c>
      <c r="I27" s="86" t="s">
        <v>3043</v>
      </c>
      <c r="K27" t="str">
        <f>IF(bs_acc[[#This Row],[BS_line]]=bs_acc[[#This Row],[BS_line2]],bs_acc[[#This Row],[BS_line]],bs_acc[[#This Row],[BS_line]]&amp;"_"&amp;bs_acc[[#This Row],[BS_line2]])</f>
        <v>Intangible assets</v>
      </c>
      <c r="S27" t="s">
        <v>2971</v>
      </c>
      <c r="T27" s="3">
        <v>-522461782.47000003</v>
      </c>
      <c r="U27" s="3">
        <v>-522461782.47000003</v>
      </c>
      <c r="V27" s="3">
        <v>0</v>
      </c>
      <c r="AF27" s="101" t="s">
        <v>2841</v>
      </c>
      <c r="AG27">
        <v>142569977.05000001</v>
      </c>
      <c r="AH27" t="s">
        <v>3066</v>
      </c>
      <c r="AK27" t="s">
        <v>2848</v>
      </c>
      <c r="AL27" s="3">
        <v>52931757.259999998</v>
      </c>
      <c r="AM27" t="s">
        <v>3048</v>
      </c>
      <c r="AP27" s="91" t="s">
        <v>2820</v>
      </c>
      <c r="AQ27" s="97"/>
      <c r="AR27" s="97"/>
      <c r="AS27" s="97"/>
      <c r="AV27" t="s">
        <v>3052</v>
      </c>
      <c r="AW27" s="50" t="s">
        <v>3131</v>
      </c>
    </row>
    <row r="28" spans="1:49" ht="43.2" x14ac:dyDescent="0.3">
      <c r="A28" t="s">
        <v>2834</v>
      </c>
      <c r="B28" s="3">
        <v>19592739.390000001</v>
      </c>
      <c r="C28" t="s">
        <v>2994</v>
      </c>
      <c r="F28" t="s">
        <v>2808</v>
      </c>
      <c r="G28" t="s">
        <v>2994</v>
      </c>
      <c r="H28" s="86" t="s">
        <v>3043</v>
      </c>
      <c r="I28" s="86" t="s">
        <v>3043</v>
      </c>
      <c r="K28" t="str">
        <f>IF(bs_acc[[#This Row],[BS_line]]=bs_acc[[#This Row],[BS_line2]],bs_acc[[#This Row],[BS_line]],bs_acc[[#This Row],[BS_line]]&amp;"_"&amp;bs_acc[[#This Row],[BS_line2]])</f>
        <v>Intangible assets</v>
      </c>
      <c r="S28" t="s">
        <v>2972</v>
      </c>
      <c r="T28" s="3">
        <v>-1144329098</v>
      </c>
      <c r="U28" s="3">
        <v>-1144329098</v>
      </c>
      <c r="V28" s="3">
        <v>0</v>
      </c>
      <c r="AF28" s="101" t="s">
        <v>2843</v>
      </c>
      <c r="AG28">
        <v>-42566325.119999997</v>
      </c>
      <c r="AH28" t="s">
        <v>3047</v>
      </c>
      <c r="AK28" t="s">
        <v>2851</v>
      </c>
      <c r="AL28" s="3">
        <v>251017530.69999999</v>
      </c>
      <c r="AM28" t="s">
        <v>3049</v>
      </c>
      <c r="AP28" s="92" t="s">
        <v>2821</v>
      </c>
      <c r="AQ28" s="97" t="s">
        <v>2994</v>
      </c>
      <c r="AR28" s="97" t="s">
        <v>3045</v>
      </c>
      <c r="AS28" s="97" t="s">
        <v>3045</v>
      </c>
      <c r="AV28" t="s">
        <v>3051</v>
      </c>
      <c r="AW28" s="50" t="s">
        <v>3132</v>
      </c>
    </row>
    <row r="29" spans="1:49" ht="115.2" x14ac:dyDescent="0.3">
      <c r="A29" t="s">
        <v>2835</v>
      </c>
      <c r="B29" s="3">
        <v>96.61</v>
      </c>
      <c r="C29" t="s">
        <v>2994</v>
      </c>
      <c r="F29" t="s">
        <v>2809</v>
      </c>
      <c r="K29">
        <f>IF(bs_acc[[#This Row],[BS_line]]=bs_acc[[#This Row],[BS_line2]],bs_acc[[#This Row],[BS_line]],bs_acc[[#This Row],[BS_line]]&amp;"_"&amp;bs_acc[[#This Row],[BS_line2]])</f>
        <v>0</v>
      </c>
      <c r="S29" t="s">
        <v>2976</v>
      </c>
      <c r="T29" s="3">
        <v>-205639000</v>
      </c>
      <c r="U29" s="3">
        <v>-205639000</v>
      </c>
      <c r="V29" s="3">
        <v>0</v>
      </c>
      <c r="AF29" s="101" t="s">
        <v>3034</v>
      </c>
      <c r="AG29">
        <v>-110075954.42</v>
      </c>
      <c r="AH29" t="s">
        <v>3068</v>
      </c>
      <c r="AK29" t="s">
        <v>2855</v>
      </c>
      <c r="AL29" s="3">
        <v>808432258.97000003</v>
      </c>
      <c r="AM29" t="s">
        <v>3061</v>
      </c>
      <c r="AP29" s="92" t="s">
        <v>2822</v>
      </c>
      <c r="AQ29" s="97" t="s">
        <v>2994</v>
      </c>
      <c r="AR29" s="97" t="s">
        <v>3045</v>
      </c>
      <c r="AS29" s="97" t="s">
        <v>3045</v>
      </c>
      <c r="AV29" t="s">
        <v>3087</v>
      </c>
      <c r="AW29" s="50" t="s">
        <v>3133</v>
      </c>
    </row>
    <row r="30" spans="1:49" ht="43.2" x14ac:dyDescent="0.3">
      <c r="A30" t="s">
        <v>2837</v>
      </c>
      <c r="B30" s="3">
        <v>1102598622</v>
      </c>
      <c r="C30" t="s">
        <v>2994</v>
      </c>
      <c r="F30" t="s">
        <v>2810</v>
      </c>
      <c r="G30" t="s">
        <v>2994</v>
      </c>
      <c r="H30" s="86" t="s">
        <v>3043</v>
      </c>
      <c r="I30" s="86" t="s">
        <v>3043</v>
      </c>
      <c r="K30" t="str">
        <f>IF(bs_acc[[#This Row],[BS_line]]=bs_acc[[#This Row],[BS_line2]],bs_acc[[#This Row],[BS_line]],bs_acc[[#This Row],[BS_line]]&amp;"_"&amp;bs_acc[[#This Row],[BS_line2]])</f>
        <v>Intangible assets</v>
      </c>
      <c r="S30" t="s">
        <v>2978</v>
      </c>
      <c r="T30" s="3">
        <v>-151789493.34999999</v>
      </c>
      <c r="U30" s="3">
        <v>-151789493.35000002</v>
      </c>
      <c r="V30" s="3">
        <v>0</v>
      </c>
      <c r="AF30" s="101" t="s">
        <v>2844</v>
      </c>
      <c r="AG30">
        <v>51593929.420000002</v>
      </c>
      <c r="AH30" t="s">
        <v>3048</v>
      </c>
      <c r="AK30" t="s">
        <v>2856</v>
      </c>
      <c r="AL30" s="3">
        <v>1220559561.9400001</v>
      </c>
      <c r="AM30" t="s">
        <v>3077</v>
      </c>
      <c r="AP30" s="91" t="s">
        <v>2823</v>
      </c>
      <c r="AQ30" s="97" t="s">
        <v>2994</v>
      </c>
      <c r="AR30" s="97" t="s">
        <v>3045</v>
      </c>
      <c r="AS30" s="97" t="s">
        <v>3045</v>
      </c>
      <c r="AV30" t="s">
        <v>3053</v>
      </c>
      <c r="AW30" s="50" t="s">
        <v>3134</v>
      </c>
    </row>
    <row r="31" spans="1:49" x14ac:dyDescent="0.3">
      <c r="A31" t="s">
        <v>3036</v>
      </c>
      <c r="B31" s="3">
        <v>578000000</v>
      </c>
      <c r="C31" t="s">
        <v>2994</v>
      </c>
      <c r="F31" t="s">
        <v>2811</v>
      </c>
      <c r="G31" t="s">
        <v>2994</v>
      </c>
      <c r="H31" s="86" t="s">
        <v>3043</v>
      </c>
      <c r="I31" s="86" t="s">
        <v>3043</v>
      </c>
      <c r="K31" t="str">
        <f>IF(bs_acc[[#This Row],[BS_line]]=bs_acc[[#This Row],[BS_line2]],bs_acc[[#This Row],[BS_line]],bs_acc[[#This Row],[BS_line]]&amp;"_"&amp;bs_acc[[#This Row],[BS_line2]])</f>
        <v>Intangible assets</v>
      </c>
      <c r="S31" t="s">
        <v>2980</v>
      </c>
      <c r="T31" s="3">
        <v>-39077942.93</v>
      </c>
      <c r="U31" s="3">
        <v>-39077942.93</v>
      </c>
      <c r="V31" s="3">
        <v>0</v>
      </c>
      <c r="AF31" s="101" t="s">
        <v>2845</v>
      </c>
      <c r="AG31">
        <v>-15616000</v>
      </c>
      <c r="AH31" t="s">
        <v>3059</v>
      </c>
      <c r="AK31" t="s">
        <v>2858</v>
      </c>
      <c r="AL31" s="3">
        <v>-62477714.469999999</v>
      </c>
      <c r="AM31" t="s">
        <v>3061</v>
      </c>
      <c r="AP31" s="91" t="s">
        <v>2824</v>
      </c>
      <c r="AQ31" s="97" t="s">
        <v>2994</v>
      </c>
      <c r="AR31" s="97" t="s">
        <v>3045</v>
      </c>
      <c r="AS31" s="97" t="s">
        <v>3045</v>
      </c>
      <c r="AV31" t="s">
        <v>3054</v>
      </c>
      <c r="AW31" s="50" t="s">
        <v>2916</v>
      </c>
    </row>
    <row r="32" spans="1:49" ht="115.2" x14ac:dyDescent="0.3">
      <c r="A32" t="s">
        <v>2841</v>
      </c>
      <c r="B32" s="3">
        <v>142569977.05000001</v>
      </c>
      <c r="C32" t="s">
        <v>2994</v>
      </c>
      <c r="F32" t="s">
        <v>2812</v>
      </c>
      <c r="K32">
        <f>IF(bs_acc[[#This Row],[BS_line]]=bs_acc[[#This Row],[BS_line2]],bs_acc[[#This Row],[BS_line]],bs_acc[[#This Row],[BS_line]]&amp;"_"&amp;bs_acc[[#This Row],[BS_line2]])</f>
        <v>0</v>
      </c>
      <c r="S32" t="s">
        <v>2985</v>
      </c>
      <c r="T32" s="3">
        <v>29317254.41</v>
      </c>
      <c r="U32" s="3">
        <v>29317254.41</v>
      </c>
      <c r="V32" s="3">
        <v>0</v>
      </c>
      <c r="AF32" s="101" t="s">
        <v>2846</v>
      </c>
      <c r="AG32">
        <v>1997.79</v>
      </c>
      <c r="AH32" t="s">
        <v>3048</v>
      </c>
      <c r="AK32" t="s">
        <v>2859</v>
      </c>
      <c r="AL32" s="3">
        <v>-197879005.87</v>
      </c>
      <c r="AM32" t="s">
        <v>3077</v>
      </c>
      <c r="AP32" s="90" t="s">
        <v>2825</v>
      </c>
      <c r="AQ32" s="97"/>
      <c r="AR32" s="97"/>
      <c r="AS32" s="97"/>
      <c r="AV32" t="s">
        <v>3088</v>
      </c>
      <c r="AW32" s="50" t="s">
        <v>3139</v>
      </c>
    </row>
    <row r="33" spans="1:49" x14ac:dyDescent="0.3">
      <c r="A33" t="s">
        <v>2843</v>
      </c>
      <c r="B33" s="3">
        <v>-46152780.549999997</v>
      </c>
      <c r="C33" t="s">
        <v>2994</v>
      </c>
      <c r="F33" t="s">
        <v>2813</v>
      </c>
      <c r="K33">
        <f>IF(bs_acc[[#This Row],[BS_line]]=bs_acc[[#This Row],[BS_line2]],bs_acc[[#This Row],[BS_line]],bs_acc[[#This Row],[BS_line]]&amp;"_"&amp;bs_acc[[#This Row],[BS_line2]])</f>
        <v>0</v>
      </c>
      <c r="S33" t="s">
        <v>2987</v>
      </c>
      <c r="T33" s="3">
        <v>-149541314.47</v>
      </c>
      <c r="U33" s="3">
        <v>-149541314.47</v>
      </c>
      <c r="V33" s="3">
        <v>0</v>
      </c>
      <c r="AF33" s="101" t="s">
        <v>2847</v>
      </c>
      <c r="AG33">
        <v>-558866.22</v>
      </c>
      <c r="AH33" t="s">
        <v>3047</v>
      </c>
      <c r="AK33" t="s">
        <v>2861</v>
      </c>
      <c r="AL33" s="3">
        <v>-86078289.099999994</v>
      </c>
      <c r="AM33" t="s">
        <v>3050</v>
      </c>
      <c r="AP33" s="91" t="s">
        <v>2826</v>
      </c>
      <c r="AQ33" s="97" t="s">
        <v>2994</v>
      </c>
      <c r="AR33" s="97" t="s">
        <v>3088</v>
      </c>
      <c r="AS33" s="97" t="s">
        <v>3088</v>
      </c>
      <c r="AV33" t="s">
        <v>3056</v>
      </c>
      <c r="AW33" s="50" t="s">
        <v>2931</v>
      </c>
    </row>
    <row r="34" spans="1:49" ht="72" x14ac:dyDescent="0.3">
      <c r="A34" t="s">
        <v>3034</v>
      </c>
      <c r="B34" s="3">
        <v>-110075954.42</v>
      </c>
      <c r="C34" t="s">
        <v>2994</v>
      </c>
      <c r="F34" t="s">
        <v>2814</v>
      </c>
      <c r="G34" t="s">
        <v>2994</v>
      </c>
      <c r="H34" t="s">
        <v>3065</v>
      </c>
      <c r="I34" t="s">
        <v>3065</v>
      </c>
      <c r="K34" t="str">
        <f>IF(bs_acc[[#This Row],[BS_line]]=bs_acc[[#This Row],[BS_line2]],bs_acc[[#This Row],[BS_line]],bs_acc[[#This Row],[BS_line]]&amp;"_"&amp;bs_acc[[#This Row],[BS_line2]])</f>
        <v>Property, plant and equipment</v>
      </c>
      <c r="S34" t="s">
        <v>2993</v>
      </c>
      <c r="T34" s="3">
        <v>-21528889.07</v>
      </c>
      <c r="U34" s="3">
        <v>-21528889.07</v>
      </c>
      <c r="V34" s="3">
        <v>0</v>
      </c>
      <c r="AF34" s="101" t="s">
        <v>2848</v>
      </c>
      <c r="AG34">
        <v>50904590.460000001</v>
      </c>
      <c r="AH34" t="s">
        <v>3048</v>
      </c>
      <c r="AK34" t="s">
        <v>2862</v>
      </c>
      <c r="AL34" s="3">
        <v>-14740522</v>
      </c>
      <c r="AM34" t="s">
        <v>3050</v>
      </c>
      <c r="AP34" s="91" t="s">
        <v>2827</v>
      </c>
      <c r="AQ34" s="97" t="s">
        <v>2994</v>
      </c>
      <c r="AR34" s="97" t="s">
        <v>3088</v>
      </c>
      <c r="AS34" s="97" t="s">
        <v>3088</v>
      </c>
      <c r="AV34" t="s">
        <v>3073</v>
      </c>
      <c r="AW34" s="50" t="s">
        <v>3135</v>
      </c>
    </row>
    <row r="35" spans="1:49" x14ac:dyDescent="0.3">
      <c r="A35" t="s">
        <v>2844</v>
      </c>
      <c r="B35" s="3">
        <v>78992234.329999998</v>
      </c>
      <c r="C35" t="s">
        <v>2994</v>
      </c>
      <c r="F35" t="s">
        <v>2815</v>
      </c>
      <c r="G35" t="s">
        <v>2994</v>
      </c>
      <c r="H35" t="s">
        <v>3065</v>
      </c>
      <c r="I35" t="s">
        <v>3065</v>
      </c>
      <c r="K35" t="str">
        <f>IF(bs_acc[[#This Row],[BS_line]]=bs_acc[[#This Row],[BS_line2]],bs_acc[[#This Row],[BS_line]],bs_acc[[#This Row],[BS_line]]&amp;"_"&amp;bs_acc[[#This Row],[BS_line2]])</f>
        <v>Property, plant and equipment</v>
      </c>
      <c r="AF35" s="101" t="s">
        <v>2851</v>
      </c>
      <c r="AG35">
        <v>10681032.689999999</v>
      </c>
      <c r="AH35" t="s">
        <v>3049</v>
      </c>
      <c r="AK35" t="s">
        <v>3098</v>
      </c>
      <c r="AL35" s="3">
        <v>-43.65</v>
      </c>
      <c r="AM35" t="s">
        <v>3050</v>
      </c>
      <c r="AP35" s="91" t="s">
        <v>2828</v>
      </c>
      <c r="AQ35" s="97" t="s">
        <v>2994</v>
      </c>
      <c r="AR35" s="97" t="s">
        <v>3088</v>
      </c>
      <c r="AS35" s="97" t="s">
        <v>3088</v>
      </c>
      <c r="AV35" t="s">
        <v>3074</v>
      </c>
      <c r="AW35" s="50" t="s">
        <v>2971</v>
      </c>
    </row>
    <row r="36" spans="1:49" ht="43.2" x14ac:dyDescent="0.3">
      <c r="A36" t="s">
        <v>2845</v>
      </c>
      <c r="B36" s="3">
        <v>-16249000</v>
      </c>
      <c r="C36" t="s">
        <v>2994</v>
      </c>
      <c r="F36" t="s">
        <v>2816</v>
      </c>
      <c r="G36" t="s">
        <v>2994</v>
      </c>
      <c r="H36" s="86" t="s">
        <v>3044</v>
      </c>
      <c r="I36" s="86" t="s">
        <v>3044</v>
      </c>
      <c r="K36" t="str">
        <f>IF(bs_acc[[#This Row],[BS_line]]=bs_acc[[#This Row],[BS_line2]],bs_acc[[#This Row],[BS_line]],bs_acc[[#This Row],[BS_line]]&amp;"_"&amp;bs_acc[[#This Row],[BS_line2]])</f>
        <v>Deferred tax asset</v>
      </c>
      <c r="AF36" s="101" t="s">
        <v>2852</v>
      </c>
      <c r="AG36">
        <v>110067954.42</v>
      </c>
      <c r="AH36" t="s">
        <v>3069</v>
      </c>
      <c r="AK36" t="s">
        <v>3101</v>
      </c>
      <c r="AL36" s="3">
        <v>-3852.69</v>
      </c>
      <c r="AM36" t="s">
        <v>3050</v>
      </c>
      <c r="AP36" s="91" t="s">
        <v>2829</v>
      </c>
      <c r="AQ36" s="97" t="s">
        <v>2994</v>
      </c>
      <c r="AR36" s="97" t="s">
        <v>3088</v>
      </c>
      <c r="AS36" s="97" t="s">
        <v>3088</v>
      </c>
      <c r="AV36" t="s">
        <v>3057</v>
      </c>
      <c r="AW36" s="50" t="s">
        <v>3136</v>
      </c>
    </row>
    <row r="37" spans="1:49" ht="28.8" x14ac:dyDescent="0.3">
      <c r="A37" t="s">
        <v>2846</v>
      </c>
      <c r="B37" s="3">
        <v>1997.79</v>
      </c>
      <c r="C37" t="s">
        <v>2994</v>
      </c>
      <c r="F37" t="s">
        <v>2817</v>
      </c>
      <c r="K37">
        <f>IF(bs_acc[[#This Row],[BS_line]]=bs_acc[[#This Row],[BS_line2]],bs_acc[[#This Row],[BS_line]],bs_acc[[#This Row],[BS_line]]&amp;"_"&amp;bs_acc[[#This Row],[BS_line2]])</f>
        <v>0</v>
      </c>
      <c r="AF37" s="101" t="s">
        <v>2855</v>
      </c>
      <c r="AG37">
        <v>856577312.48000002</v>
      </c>
      <c r="AH37" t="s">
        <v>3061</v>
      </c>
      <c r="AK37" t="s">
        <v>2888</v>
      </c>
      <c r="AL37" s="3">
        <v>-57136.55</v>
      </c>
      <c r="AM37" t="s">
        <v>3071</v>
      </c>
      <c r="AP37" s="90" t="s">
        <v>2830</v>
      </c>
      <c r="AQ37" s="97"/>
      <c r="AR37" s="97"/>
      <c r="AS37" s="97"/>
      <c r="AV37" t="s">
        <v>3058</v>
      </c>
      <c r="AW37" s="50" t="s">
        <v>3137</v>
      </c>
    </row>
    <row r="38" spans="1:49" ht="43.2" x14ac:dyDescent="0.3">
      <c r="A38" t="s">
        <v>2847</v>
      </c>
      <c r="B38" s="3">
        <v>-569466.43000000005</v>
      </c>
      <c r="C38" t="s">
        <v>2994</v>
      </c>
      <c r="F38" t="s">
        <v>2818</v>
      </c>
      <c r="K38">
        <f>IF(bs_acc[[#This Row],[BS_line]]=bs_acc[[#This Row],[BS_line2]],bs_acc[[#This Row],[BS_line]],bs_acc[[#This Row],[BS_line]]&amp;"_"&amp;bs_acc[[#This Row],[BS_line2]])</f>
        <v>0</v>
      </c>
      <c r="AF38" s="101" t="s">
        <v>2856</v>
      </c>
      <c r="AG38">
        <v>1244947198.5</v>
      </c>
      <c r="AH38" t="s">
        <v>3077</v>
      </c>
      <c r="AK38" t="s">
        <v>3107</v>
      </c>
      <c r="AL38" s="3">
        <v>-256752.02</v>
      </c>
      <c r="AM38" t="s">
        <v>3070</v>
      </c>
      <c r="AP38" s="91" t="s">
        <v>2831</v>
      </c>
      <c r="AQ38" s="97" t="s">
        <v>2994</v>
      </c>
      <c r="AR38" s="97" t="s">
        <v>3045</v>
      </c>
      <c r="AS38" s="97" t="s">
        <v>3045</v>
      </c>
      <c r="AV38" t="s">
        <v>3059</v>
      </c>
      <c r="AW38" s="50" t="s">
        <v>3138</v>
      </c>
    </row>
    <row r="39" spans="1:49" x14ac:dyDescent="0.3">
      <c r="A39" t="s">
        <v>2848</v>
      </c>
      <c r="B39" s="3">
        <v>52931757.259999998</v>
      </c>
      <c r="C39" t="s">
        <v>2994</v>
      </c>
      <c r="F39" t="s">
        <v>2819</v>
      </c>
      <c r="G39" t="s">
        <v>2994</v>
      </c>
      <c r="H39" s="86" t="s">
        <v>3045</v>
      </c>
      <c r="I39" s="86" t="s">
        <v>3045</v>
      </c>
      <c r="K39" t="str">
        <f>IF(bs_acc[[#This Row],[BS_line]]=bs_acc[[#This Row],[BS_line2]],bs_acc[[#This Row],[BS_line]],bs_acc[[#This Row],[BS_line]]&amp;"_"&amp;bs_acc[[#This Row],[BS_line2]])</f>
        <v>Inventories</v>
      </c>
      <c r="AF39" s="101" t="s">
        <v>2858</v>
      </c>
      <c r="AG39">
        <v>-68870734.150000006</v>
      </c>
      <c r="AH39" t="s">
        <v>3061</v>
      </c>
      <c r="AK39" t="s">
        <v>3103</v>
      </c>
      <c r="AL39" s="3">
        <v>-179276.98</v>
      </c>
      <c r="AM39" t="s">
        <v>3070</v>
      </c>
      <c r="AP39" s="91" t="s">
        <v>2832</v>
      </c>
      <c r="AQ39" s="97" t="s">
        <v>2994</v>
      </c>
      <c r="AR39" s="97" t="s">
        <v>3045</v>
      </c>
      <c r="AS39" s="97" t="s">
        <v>3045</v>
      </c>
    </row>
    <row r="40" spans="1:49" x14ac:dyDescent="0.3">
      <c r="A40" t="s">
        <v>2851</v>
      </c>
      <c r="B40" s="3">
        <v>13591082.75</v>
      </c>
      <c r="C40" t="s">
        <v>2994</v>
      </c>
      <c r="F40" t="s">
        <v>2820</v>
      </c>
      <c r="K40">
        <f>IF(bs_acc[[#This Row],[BS_line]]=bs_acc[[#This Row],[BS_line2]],bs_acc[[#This Row],[BS_line]],bs_acc[[#This Row],[BS_line]]&amp;"_"&amp;bs_acc[[#This Row],[BS_line2]])</f>
        <v>0</v>
      </c>
      <c r="AF40" s="101" t="s">
        <v>2859</v>
      </c>
      <c r="AG40">
        <v>-207364649.58000001</v>
      </c>
      <c r="AH40" t="s">
        <v>3077</v>
      </c>
      <c r="AK40" t="s">
        <v>3108</v>
      </c>
      <c r="AL40" s="3">
        <v>-85448654.840000004</v>
      </c>
      <c r="AM40" t="s">
        <v>3092</v>
      </c>
      <c r="AP40" s="91" t="s">
        <v>3016</v>
      </c>
      <c r="AQ40" s="97" t="s">
        <v>2994</v>
      </c>
      <c r="AR40" s="97" t="s">
        <v>3045</v>
      </c>
      <c r="AS40" s="97" t="s">
        <v>3045</v>
      </c>
    </row>
    <row r="41" spans="1:49" x14ac:dyDescent="0.3">
      <c r="A41" t="s">
        <v>2852</v>
      </c>
      <c r="B41" s="3">
        <v>110065954.42</v>
      </c>
      <c r="C41" t="s">
        <v>2994</v>
      </c>
      <c r="F41" t="s">
        <v>2821</v>
      </c>
      <c r="G41" t="s">
        <v>2994</v>
      </c>
      <c r="H41" s="86" t="s">
        <v>3045</v>
      </c>
      <c r="I41" s="86" t="s">
        <v>3045</v>
      </c>
      <c r="K41" t="str">
        <f>IF(bs_acc[[#This Row],[BS_line]]=bs_acc[[#This Row],[BS_line2]],bs_acc[[#This Row],[BS_line]],bs_acc[[#This Row],[BS_line]]&amp;"_"&amp;bs_acc[[#This Row],[BS_line2]])</f>
        <v>Inventories</v>
      </c>
      <c r="AF41" s="101" t="s">
        <v>2861</v>
      </c>
      <c r="AG41">
        <v>-25959609.239999998</v>
      </c>
      <c r="AH41" t="s">
        <v>3050</v>
      </c>
      <c r="AK41" t="s">
        <v>2898</v>
      </c>
      <c r="AL41" s="3">
        <v>-1151761343.02</v>
      </c>
      <c r="AM41" t="s">
        <v>3052</v>
      </c>
      <c r="AP41" s="91" t="s">
        <v>2833</v>
      </c>
      <c r="AQ41" s="97" t="s">
        <v>2994</v>
      </c>
      <c r="AR41" s="97" t="s">
        <v>3045</v>
      </c>
      <c r="AS41" s="97" t="s">
        <v>3045</v>
      </c>
    </row>
    <row r="42" spans="1:49" x14ac:dyDescent="0.3">
      <c r="A42" t="s">
        <v>2855</v>
      </c>
      <c r="B42" s="3">
        <v>808432258.97000003</v>
      </c>
      <c r="C42" t="s">
        <v>2994</v>
      </c>
      <c r="F42" t="s">
        <v>2822</v>
      </c>
      <c r="G42" t="s">
        <v>2994</v>
      </c>
      <c r="H42" s="86" t="s">
        <v>3045</v>
      </c>
      <c r="I42" s="86" t="s">
        <v>3045</v>
      </c>
      <c r="K42" t="str">
        <f>IF(bs_acc[[#This Row],[BS_line]]=bs_acc[[#This Row],[BS_line2]],bs_acc[[#This Row],[BS_line]],bs_acc[[#This Row],[BS_line]]&amp;"_"&amp;bs_acc[[#This Row],[BS_line2]])</f>
        <v>Inventories</v>
      </c>
      <c r="AF42" s="101" t="s">
        <v>2862</v>
      </c>
      <c r="AG42">
        <v>-13887650.99</v>
      </c>
      <c r="AH42" t="s">
        <v>3050</v>
      </c>
      <c r="AK42" t="s">
        <v>2899</v>
      </c>
      <c r="AL42" s="3">
        <v>-990808424.89999998</v>
      </c>
      <c r="AM42" t="s">
        <v>3052</v>
      </c>
      <c r="AP42" s="90" t="s">
        <v>2834</v>
      </c>
      <c r="AQ42" s="97" t="s">
        <v>2994</v>
      </c>
      <c r="AR42" s="97" t="s">
        <v>3046</v>
      </c>
      <c r="AS42" s="97" t="s">
        <v>3046</v>
      </c>
    </row>
    <row r="43" spans="1:49" x14ac:dyDescent="0.3">
      <c r="A43" t="s">
        <v>2856</v>
      </c>
      <c r="B43" s="3">
        <v>1220559561.9400001</v>
      </c>
      <c r="C43" t="s">
        <v>2994</v>
      </c>
      <c r="F43" t="s">
        <v>2823</v>
      </c>
      <c r="G43" t="s">
        <v>2994</v>
      </c>
      <c r="H43" s="86" t="s">
        <v>3045</v>
      </c>
      <c r="I43" s="86" t="s">
        <v>3045</v>
      </c>
      <c r="K43" t="str">
        <f>IF(bs_acc[[#This Row],[BS_line]]=bs_acc[[#This Row],[BS_line2]],bs_acc[[#This Row],[BS_line]],bs_acc[[#This Row],[BS_line]]&amp;"_"&amp;bs_acc[[#This Row],[BS_line2]])</f>
        <v>Inventories</v>
      </c>
      <c r="AF43" s="101" t="s">
        <v>2865</v>
      </c>
      <c r="AG43">
        <v>136704214.78</v>
      </c>
      <c r="AH43" t="s">
        <v>3049</v>
      </c>
      <c r="AK43" t="s">
        <v>2900</v>
      </c>
      <c r="AL43" s="3">
        <v>-411583488</v>
      </c>
      <c r="AM43" t="s">
        <v>3052</v>
      </c>
      <c r="AP43" s="90" t="s">
        <v>2835</v>
      </c>
      <c r="AQ43" s="97" t="s">
        <v>2994</v>
      </c>
      <c r="AR43" s="97" t="s">
        <v>3046</v>
      </c>
      <c r="AS43" s="97" t="s">
        <v>3046</v>
      </c>
    </row>
    <row r="44" spans="1:49" x14ac:dyDescent="0.3">
      <c r="A44" t="s">
        <v>2858</v>
      </c>
      <c r="B44" s="3">
        <v>-62477714.469999999</v>
      </c>
      <c r="C44" t="s">
        <v>2994</v>
      </c>
      <c r="F44" t="s">
        <v>2824</v>
      </c>
      <c r="G44" t="s">
        <v>2994</v>
      </c>
      <c r="H44" s="86" t="s">
        <v>3045</v>
      </c>
      <c r="I44" s="86" t="s">
        <v>3045</v>
      </c>
      <c r="K44" t="str">
        <f>IF(bs_acc[[#This Row],[BS_line]]=bs_acc[[#This Row],[BS_line2]],bs_acc[[#This Row],[BS_line]],bs_acc[[#This Row],[BS_line]]&amp;"_"&amp;bs_acc[[#This Row],[BS_line2]])</f>
        <v>Inventories</v>
      </c>
      <c r="AF44" s="101" t="s">
        <v>2867</v>
      </c>
      <c r="AG44">
        <v>19434108.100000001</v>
      </c>
      <c r="AH44" t="s">
        <v>3049</v>
      </c>
      <c r="AK44" t="s">
        <v>3031</v>
      </c>
      <c r="AL44" s="3">
        <v>-142573311.13999999</v>
      </c>
      <c r="AM44" t="s">
        <v>3052</v>
      </c>
      <c r="AP44" s="90" t="s">
        <v>2836</v>
      </c>
      <c r="AQ44" s="97"/>
      <c r="AR44" s="97"/>
      <c r="AS44" s="97"/>
    </row>
    <row r="45" spans="1:49" x14ac:dyDescent="0.3">
      <c r="A45" t="s">
        <v>2859</v>
      </c>
      <c r="B45" s="3">
        <v>-197879005.87</v>
      </c>
      <c r="C45" t="s">
        <v>2994</v>
      </c>
      <c r="F45" t="s">
        <v>2825</v>
      </c>
      <c r="K45">
        <f>IF(bs_acc[[#This Row],[BS_line]]=bs_acc[[#This Row],[BS_line2]],bs_acc[[#This Row],[BS_line]],bs_acc[[#This Row],[BS_line]]&amp;"_"&amp;bs_acc[[#This Row],[BS_line2]])</f>
        <v>0</v>
      </c>
      <c r="AF45" s="101" t="s">
        <v>2868</v>
      </c>
      <c r="AG45">
        <v>41250636.119999997</v>
      </c>
      <c r="AH45" t="s">
        <v>3049</v>
      </c>
      <c r="AK45" t="s">
        <v>2901</v>
      </c>
      <c r="AL45" s="3">
        <v>-211292939.22999999</v>
      </c>
      <c r="AM45" t="s">
        <v>3052</v>
      </c>
      <c r="AP45" s="91" t="s">
        <v>2837</v>
      </c>
      <c r="AQ45" s="97" t="s">
        <v>2994</v>
      </c>
      <c r="AR45" s="97" t="s">
        <v>3046</v>
      </c>
      <c r="AS45" s="97" t="s">
        <v>3046</v>
      </c>
    </row>
    <row r="46" spans="1:49" x14ac:dyDescent="0.3">
      <c r="A46" t="s">
        <v>2861</v>
      </c>
      <c r="B46" s="3">
        <v>-26304301.109999999</v>
      </c>
      <c r="C46" t="s">
        <v>2994</v>
      </c>
      <c r="F46" t="s">
        <v>2826</v>
      </c>
      <c r="G46" t="s">
        <v>2994</v>
      </c>
      <c r="H46" s="86" t="s">
        <v>3088</v>
      </c>
      <c r="I46" s="86" t="s">
        <v>3088</v>
      </c>
      <c r="K46" t="str">
        <f>IF(bs_acc[[#This Row],[BS_line]]=bs_acc[[#This Row],[BS_line2]],bs_acc[[#This Row],[BS_line]],bs_acc[[#This Row],[BS_line]]&amp;"_"&amp;bs_acc[[#This Row],[BS_line2]])</f>
        <v>Taxes receivables</v>
      </c>
      <c r="AF46" s="101" t="s">
        <v>2869</v>
      </c>
      <c r="AG46">
        <v>5617910.71</v>
      </c>
      <c r="AH46" t="s">
        <v>3049</v>
      </c>
      <c r="AK46" t="s">
        <v>2903</v>
      </c>
      <c r="AL46" s="3">
        <v>-20855731.989999998</v>
      </c>
      <c r="AM46" t="s">
        <v>3052</v>
      </c>
      <c r="AP46" s="90" t="s">
        <v>2838</v>
      </c>
      <c r="AQ46" s="97"/>
      <c r="AR46" s="97"/>
      <c r="AS46" s="97"/>
    </row>
    <row r="47" spans="1:49" x14ac:dyDescent="0.3">
      <c r="A47" t="s">
        <v>2862</v>
      </c>
      <c r="B47" s="3">
        <v>-13820655.33</v>
      </c>
      <c r="C47" t="s">
        <v>2994</v>
      </c>
      <c r="F47" t="s">
        <v>2827</v>
      </c>
      <c r="G47" t="s">
        <v>2994</v>
      </c>
      <c r="H47" s="86" t="s">
        <v>3088</v>
      </c>
      <c r="I47" s="86" t="s">
        <v>3088</v>
      </c>
      <c r="K47" t="str">
        <f>IF(bs_acc[[#This Row],[BS_line]]=bs_acc[[#This Row],[BS_line2]],bs_acc[[#This Row],[BS_line]],bs_acc[[#This Row],[BS_line]]&amp;"_"&amp;bs_acc[[#This Row],[BS_line2]])</f>
        <v>Taxes receivables</v>
      </c>
      <c r="AF47" s="101" t="s">
        <v>2871</v>
      </c>
      <c r="AG47">
        <v>-66016470.579999998</v>
      </c>
      <c r="AH47" t="s">
        <v>3049</v>
      </c>
      <c r="AK47" t="s">
        <v>2904</v>
      </c>
      <c r="AL47" s="3">
        <v>-8088034.4400000004</v>
      </c>
      <c r="AM47" t="s">
        <v>3052</v>
      </c>
      <c r="AP47" s="91" t="s">
        <v>2839</v>
      </c>
      <c r="AQ47" s="97" t="s">
        <v>2994</v>
      </c>
      <c r="AR47" s="97" t="s">
        <v>3046</v>
      </c>
      <c r="AS47" s="97" t="s">
        <v>3046</v>
      </c>
    </row>
    <row r="48" spans="1:49" x14ac:dyDescent="0.3">
      <c r="A48" t="s">
        <v>2865</v>
      </c>
      <c r="B48" s="3">
        <v>128168670.5</v>
      </c>
      <c r="C48" t="s">
        <v>2994</v>
      </c>
      <c r="F48" t="s">
        <v>2828</v>
      </c>
      <c r="G48" t="s">
        <v>2994</v>
      </c>
      <c r="H48" s="86" t="s">
        <v>3088</v>
      </c>
      <c r="I48" s="86" t="s">
        <v>3088</v>
      </c>
      <c r="K48" t="str">
        <f>IF(bs_acc[[#This Row],[BS_line]]=bs_acc[[#This Row],[BS_line2]],bs_acc[[#This Row],[BS_line]],bs_acc[[#This Row],[BS_line]]&amp;"_"&amp;bs_acc[[#This Row],[BS_line2]])</f>
        <v>Taxes receivables</v>
      </c>
      <c r="AF48" s="101" t="s">
        <v>2872</v>
      </c>
      <c r="AG48">
        <v>-951624.95</v>
      </c>
      <c r="AH48" t="s">
        <v>3049</v>
      </c>
      <c r="AK48" t="s">
        <v>2905</v>
      </c>
      <c r="AL48" s="3">
        <v>-13685719.59</v>
      </c>
      <c r="AM48" t="s">
        <v>3052</v>
      </c>
      <c r="AP48" s="90" t="s">
        <v>2840</v>
      </c>
      <c r="AQ48" s="97"/>
      <c r="AR48" s="97"/>
      <c r="AS48" s="97"/>
    </row>
    <row r="49" spans="1:45" x14ac:dyDescent="0.3">
      <c r="A49" t="s">
        <v>2867</v>
      </c>
      <c r="B49" s="3">
        <v>19728228.940000001</v>
      </c>
      <c r="C49" t="s">
        <v>2994</v>
      </c>
      <c r="F49" t="s">
        <v>2829</v>
      </c>
      <c r="G49" t="s">
        <v>2994</v>
      </c>
      <c r="H49" s="86" t="s">
        <v>3088</v>
      </c>
      <c r="I49" s="86" t="s">
        <v>3088</v>
      </c>
      <c r="K49" t="str">
        <f>IF(bs_acc[[#This Row],[BS_line]]=bs_acc[[#This Row],[BS_line2]],bs_acc[[#This Row],[BS_line]],bs_acc[[#This Row],[BS_line]]&amp;"_"&amp;bs_acc[[#This Row],[BS_line2]])</f>
        <v>Taxes receivables</v>
      </c>
      <c r="AF49" s="101" t="s">
        <v>2874</v>
      </c>
      <c r="AG49">
        <v>25916.69</v>
      </c>
      <c r="AH49" t="s">
        <v>3049</v>
      </c>
      <c r="AK49" t="s">
        <v>2906</v>
      </c>
      <c r="AL49" s="3">
        <v>-3656857.81</v>
      </c>
      <c r="AM49" t="s">
        <v>3052</v>
      </c>
      <c r="AP49" s="91" t="s">
        <v>3037</v>
      </c>
      <c r="AQ49" s="97"/>
      <c r="AR49" s="97"/>
      <c r="AS49" s="97"/>
    </row>
    <row r="50" spans="1:45" x14ac:dyDescent="0.3">
      <c r="A50" t="s">
        <v>2868</v>
      </c>
      <c r="B50" s="3">
        <v>39517723.299999997</v>
      </c>
      <c r="C50" t="s">
        <v>2994</v>
      </c>
      <c r="F50" t="s">
        <v>2830</v>
      </c>
      <c r="K50">
        <f>IF(bs_acc[[#This Row],[BS_line]]=bs_acc[[#This Row],[BS_line2]],bs_acc[[#This Row],[BS_line]],bs_acc[[#This Row],[BS_line]]&amp;"_"&amp;bs_acc[[#This Row],[BS_line2]])</f>
        <v>0</v>
      </c>
      <c r="AF50" s="101" t="s">
        <v>2879</v>
      </c>
      <c r="AG50">
        <v>-43.65</v>
      </c>
      <c r="AH50" t="s">
        <v>3050</v>
      </c>
      <c r="AK50" t="s">
        <v>3109</v>
      </c>
      <c r="AL50" s="3">
        <v>-142569977.05000001</v>
      </c>
      <c r="AM50" t="s">
        <v>3052</v>
      </c>
      <c r="AP50" s="91" t="s">
        <v>3036</v>
      </c>
      <c r="AQ50" s="97" t="s">
        <v>2994</v>
      </c>
      <c r="AR50" s="97" t="s">
        <v>3067</v>
      </c>
      <c r="AS50" s="97" t="s">
        <v>3067</v>
      </c>
    </row>
    <row r="51" spans="1:45" x14ac:dyDescent="0.3">
      <c r="A51" t="s">
        <v>2869</v>
      </c>
      <c r="B51" s="3">
        <v>5744021.04</v>
      </c>
      <c r="C51" t="s">
        <v>2994</v>
      </c>
      <c r="F51" t="s">
        <v>2831</v>
      </c>
      <c r="G51" t="s">
        <v>2994</v>
      </c>
      <c r="H51" s="86" t="s">
        <v>3045</v>
      </c>
      <c r="I51" s="86" t="s">
        <v>3045</v>
      </c>
      <c r="K51" t="str">
        <f>IF(bs_acc[[#This Row],[BS_line]]=bs_acc[[#This Row],[BS_line2]],bs_acc[[#This Row],[BS_line]],bs_acc[[#This Row],[BS_line]]&amp;"_"&amp;bs_acc[[#This Row],[BS_line2]])</f>
        <v>Inventories</v>
      </c>
      <c r="AF51" s="101" t="s">
        <v>2881</v>
      </c>
      <c r="AG51">
        <v>-0.05</v>
      </c>
      <c r="AH51" t="s">
        <v>3049</v>
      </c>
      <c r="AK51" t="s">
        <v>3110</v>
      </c>
      <c r="AL51" s="3">
        <v>-42326862.93</v>
      </c>
      <c r="AM51" t="s">
        <v>3052</v>
      </c>
      <c r="AP51" s="91" t="s">
        <v>3095</v>
      </c>
      <c r="AQ51" s="97" t="s">
        <v>2994</v>
      </c>
      <c r="AR51" s="97" t="s">
        <v>3066</v>
      </c>
      <c r="AS51" s="97" t="s">
        <v>3066</v>
      </c>
    </row>
    <row r="52" spans="1:45" x14ac:dyDescent="0.3">
      <c r="A52" t="s">
        <v>2871</v>
      </c>
      <c r="B52" s="3">
        <v>-59771987.990000002</v>
      </c>
      <c r="C52" t="s">
        <v>2994</v>
      </c>
      <c r="F52" t="s">
        <v>2832</v>
      </c>
      <c r="G52" t="s">
        <v>2994</v>
      </c>
      <c r="H52" s="86" t="s">
        <v>3045</v>
      </c>
      <c r="I52" s="86" t="s">
        <v>3045</v>
      </c>
      <c r="K52" t="str">
        <f>IF(bs_acc[[#This Row],[BS_line]]=bs_acc[[#This Row],[BS_line2]],bs_acc[[#This Row],[BS_line]],bs_acc[[#This Row],[BS_line]]&amp;"_"&amp;bs_acc[[#This Row],[BS_line2]])</f>
        <v>Inventories</v>
      </c>
      <c r="AF52" s="101" t="s">
        <v>2882</v>
      </c>
      <c r="AG52">
        <v>158117.28</v>
      </c>
      <c r="AH52" t="s">
        <v>3049</v>
      </c>
      <c r="AK52" t="s">
        <v>2909</v>
      </c>
      <c r="AL52" s="3">
        <v>-2661384644.4400001</v>
      </c>
      <c r="AM52" t="s">
        <v>3051</v>
      </c>
      <c r="AP52" s="90" t="s">
        <v>2842</v>
      </c>
      <c r="AQ52" s="97"/>
      <c r="AR52" s="97"/>
      <c r="AS52" s="97"/>
    </row>
    <row r="53" spans="1:45" x14ac:dyDescent="0.3">
      <c r="A53" t="s">
        <v>2872</v>
      </c>
      <c r="B53" s="3">
        <v>-929171.82</v>
      </c>
      <c r="C53" t="s">
        <v>2994</v>
      </c>
      <c r="F53" t="s">
        <v>2833</v>
      </c>
      <c r="G53" t="s">
        <v>2994</v>
      </c>
      <c r="H53" s="86" t="s">
        <v>3045</v>
      </c>
      <c r="I53" s="86" t="s">
        <v>3045</v>
      </c>
      <c r="K53" t="str">
        <f>IF(bs_acc[[#This Row],[BS_line]]=bs_acc[[#This Row],[BS_line2]],bs_acc[[#This Row],[BS_line]],bs_acc[[#This Row],[BS_line]]&amp;"_"&amp;bs_acc[[#This Row],[BS_line2]])</f>
        <v>Inventories</v>
      </c>
      <c r="AF53" s="101" t="s">
        <v>3017</v>
      </c>
      <c r="AG53">
        <v>32547.15</v>
      </c>
      <c r="AH53" t="s">
        <v>3049</v>
      </c>
      <c r="AK53" t="s">
        <v>2910</v>
      </c>
      <c r="AL53" s="3">
        <v>-287405520</v>
      </c>
      <c r="AM53" t="s">
        <v>3051</v>
      </c>
      <c r="AP53" s="91" t="s">
        <v>2843</v>
      </c>
      <c r="AQ53" s="97" t="s">
        <v>2994</v>
      </c>
      <c r="AR53" s="97" t="s">
        <v>3047</v>
      </c>
      <c r="AS53" s="97" t="s">
        <v>3047</v>
      </c>
    </row>
    <row r="54" spans="1:45" x14ac:dyDescent="0.3">
      <c r="A54" t="s">
        <v>2874</v>
      </c>
      <c r="B54" s="3">
        <v>25916.69</v>
      </c>
      <c r="C54" t="s">
        <v>2994</v>
      </c>
      <c r="F54" t="s">
        <v>3016</v>
      </c>
      <c r="G54" t="s">
        <v>2994</v>
      </c>
      <c r="H54" s="86" t="s">
        <v>3045</v>
      </c>
      <c r="I54" s="86" t="s">
        <v>3045</v>
      </c>
      <c r="K54" t="str">
        <f>IF(bs_acc[[#This Row],[BS_line]]=bs_acc[[#This Row],[BS_line2]],bs_acc[[#This Row],[BS_line]],bs_acc[[#This Row],[BS_line]]&amp;"_"&amp;bs_acc[[#This Row],[BS_line2]])</f>
        <v>Inventories</v>
      </c>
      <c r="AF54" s="101" t="s">
        <v>2883</v>
      </c>
      <c r="AG54">
        <v>8148.86</v>
      </c>
      <c r="AH54" t="s">
        <v>3049</v>
      </c>
      <c r="AK54" t="s">
        <v>2913</v>
      </c>
      <c r="AL54" s="3">
        <v>-766718.77</v>
      </c>
      <c r="AM54" t="s">
        <v>3087</v>
      </c>
      <c r="AP54" s="91" t="s">
        <v>2844</v>
      </c>
      <c r="AQ54" s="97" t="s">
        <v>2994</v>
      </c>
      <c r="AR54" s="97" t="s">
        <v>3048</v>
      </c>
      <c r="AS54" s="97" t="s">
        <v>3048</v>
      </c>
    </row>
    <row r="55" spans="1:45" x14ac:dyDescent="0.3">
      <c r="A55" t="s">
        <v>2879</v>
      </c>
      <c r="B55" s="3">
        <v>-43.65</v>
      </c>
      <c r="C55" t="s">
        <v>2994</v>
      </c>
      <c r="F55" t="s">
        <v>2834</v>
      </c>
      <c r="G55" t="s">
        <v>2994</v>
      </c>
      <c r="H55" s="86" t="s">
        <v>3046</v>
      </c>
      <c r="I55" s="86" t="s">
        <v>3046</v>
      </c>
      <c r="K55" t="str">
        <f>IF(bs_acc[[#This Row],[BS_line]]=bs_acc[[#This Row],[BS_line2]],bs_acc[[#This Row],[BS_line]],bs_acc[[#This Row],[BS_line]]&amp;"_"&amp;bs_acc[[#This Row],[BS_line2]])</f>
        <v>Cash and cash equivalents</v>
      </c>
      <c r="AF55" s="101" t="s">
        <v>2885</v>
      </c>
      <c r="AG55">
        <v>-3852.69</v>
      </c>
      <c r="AH55" t="s">
        <v>3050</v>
      </c>
      <c r="AK55" t="s">
        <v>3018</v>
      </c>
      <c r="AL55" s="3">
        <v>2137</v>
      </c>
      <c r="AM55" t="s">
        <v>3053</v>
      </c>
      <c r="AP55" s="91" t="s">
        <v>2846</v>
      </c>
      <c r="AQ55" s="97" t="s">
        <v>2994</v>
      </c>
      <c r="AR55" s="97" t="s">
        <v>3048</v>
      </c>
      <c r="AS55" s="97" t="s">
        <v>3048</v>
      </c>
    </row>
    <row r="56" spans="1:45" x14ac:dyDescent="0.3">
      <c r="A56" t="s">
        <v>2881</v>
      </c>
      <c r="B56" s="3">
        <v>-0.06</v>
      </c>
      <c r="C56" t="s">
        <v>2994</v>
      </c>
      <c r="F56" t="s">
        <v>2835</v>
      </c>
      <c r="G56" t="s">
        <v>2994</v>
      </c>
      <c r="H56" s="86" t="s">
        <v>3046</v>
      </c>
      <c r="I56" s="86" t="s">
        <v>3046</v>
      </c>
      <c r="K56" t="str">
        <f>IF(bs_acc[[#This Row],[BS_line]]=bs_acc[[#This Row],[BS_line2]],bs_acc[[#This Row],[BS_line]],bs_acc[[#This Row],[BS_line]]&amp;"_"&amp;bs_acc[[#This Row],[BS_line2]])</f>
        <v>Cash and cash equivalents</v>
      </c>
      <c r="AF56" s="101" t="s">
        <v>2888</v>
      </c>
      <c r="AG56">
        <v>-57136.55</v>
      </c>
      <c r="AH56" t="s">
        <v>3071</v>
      </c>
      <c r="AK56" t="s">
        <v>2914</v>
      </c>
      <c r="AL56" s="3">
        <v>-243031002.74000001</v>
      </c>
      <c r="AM56" t="s">
        <v>3087</v>
      </c>
      <c r="AP56" s="91" t="s">
        <v>2847</v>
      </c>
      <c r="AQ56" s="97" t="s">
        <v>2994</v>
      </c>
      <c r="AR56" s="97" t="s">
        <v>3047</v>
      </c>
      <c r="AS56" s="97" t="s">
        <v>3047</v>
      </c>
    </row>
    <row r="57" spans="1:45" x14ac:dyDescent="0.3">
      <c r="A57" t="s">
        <v>2882</v>
      </c>
      <c r="B57" s="3">
        <v>204113.69</v>
      </c>
      <c r="C57" t="s">
        <v>2994</v>
      </c>
      <c r="F57" t="s">
        <v>2836</v>
      </c>
      <c r="K57">
        <f>IF(bs_acc[[#This Row],[BS_line]]=bs_acc[[#This Row],[BS_line2]],bs_acc[[#This Row],[BS_line]],bs_acc[[#This Row],[BS_line]]&amp;"_"&amp;bs_acc[[#This Row],[BS_line2]])</f>
        <v>0</v>
      </c>
      <c r="AF57" s="101" t="s">
        <v>2891</v>
      </c>
      <c r="AG57">
        <v>-51715335.439999998</v>
      </c>
      <c r="AH57" t="s">
        <v>3091</v>
      </c>
      <c r="AK57" t="s">
        <v>2916</v>
      </c>
      <c r="AL57" s="3">
        <v>11754023.109999999</v>
      </c>
      <c r="AM57" t="s">
        <v>3054</v>
      </c>
      <c r="AP57" s="91" t="s">
        <v>2848</v>
      </c>
      <c r="AQ57" s="97" t="s">
        <v>2994</v>
      </c>
      <c r="AR57" s="97" t="s">
        <v>3048</v>
      </c>
      <c r="AS57" s="97" t="s">
        <v>3048</v>
      </c>
    </row>
    <row r="58" spans="1:45" x14ac:dyDescent="0.3">
      <c r="A58" t="s">
        <v>3017</v>
      </c>
      <c r="B58" s="3">
        <v>31223.3</v>
      </c>
      <c r="C58" t="s">
        <v>2994</v>
      </c>
      <c r="F58" t="s">
        <v>2837</v>
      </c>
      <c r="G58" t="s">
        <v>2994</v>
      </c>
      <c r="H58" s="86" t="s">
        <v>3046</v>
      </c>
      <c r="I58" s="86" t="s">
        <v>3046</v>
      </c>
      <c r="K58" t="str">
        <f>IF(bs_acc[[#This Row],[BS_line]]=bs_acc[[#This Row],[BS_line2]],bs_acc[[#This Row],[BS_line]],bs_acc[[#This Row],[BS_line]]&amp;"_"&amp;bs_acc[[#This Row],[BS_line2]])</f>
        <v>Cash and cash equivalents</v>
      </c>
      <c r="AF58" s="101" t="s">
        <v>2892</v>
      </c>
      <c r="AG58">
        <v>-32232099.420000002</v>
      </c>
      <c r="AH58" t="s">
        <v>3092</v>
      </c>
      <c r="AK58" t="s">
        <v>2917</v>
      </c>
      <c r="AL58" s="3">
        <v>-5485471.2999999998</v>
      </c>
      <c r="AM58" t="s">
        <v>3087</v>
      </c>
      <c r="AP58" s="90" t="s">
        <v>2849</v>
      </c>
      <c r="AQ58" s="97"/>
      <c r="AR58" s="97"/>
      <c r="AS58" s="97"/>
    </row>
    <row r="59" spans="1:45" x14ac:dyDescent="0.3">
      <c r="A59" t="s">
        <v>2883</v>
      </c>
      <c r="B59" s="3">
        <v>7790.03</v>
      </c>
      <c r="C59" t="s">
        <v>2994</v>
      </c>
      <c r="F59" t="s">
        <v>2838</v>
      </c>
      <c r="K59">
        <f>IF(bs_acc[[#This Row],[BS_line]]=bs_acc[[#This Row],[BS_line2]],bs_acc[[#This Row],[BS_line]],bs_acc[[#This Row],[BS_line]]&amp;"_"&amp;bs_acc[[#This Row],[BS_line2]])</f>
        <v>0</v>
      </c>
      <c r="AF59" s="101" t="s">
        <v>2895</v>
      </c>
      <c r="AG59">
        <v>-9122544.5800000001</v>
      </c>
      <c r="AH59" t="s">
        <v>3070</v>
      </c>
      <c r="AK59" t="s">
        <v>2918</v>
      </c>
      <c r="AL59" s="3">
        <v>21403.46</v>
      </c>
      <c r="AM59" t="s">
        <v>3088</v>
      </c>
      <c r="AP59" s="91" t="s">
        <v>2850</v>
      </c>
      <c r="AQ59" s="97"/>
      <c r="AR59" s="97"/>
      <c r="AS59" s="97"/>
    </row>
    <row r="60" spans="1:45" x14ac:dyDescent="0.3">
      <c r="A60" t="s">
        <v>2885</v>
      </c>
      <c r="B60" s="3">
        <v>-3852.69</v>
      </c>
      <c r="C60" t="s">
        <v>2994</v>
      </c>
      <c r="F60" t="s">
        <v>2839</v>
      </c>
      <c r="G60" t="s">
        <v>2994</v>
      </c>
      <c r="H60" s="86" t="s">
        <v>3046</v>
      </c>
      <c r="I60" s="86" t="s">
        <v>3046</v>
      </c>
      <c r="K60" t="str">
        <f>IF(bs_acc[[#This Row],[BS_line]]=bs_acc[[#This Row],[BS_line2]],bs_acc[[#This Row],[BS_line]],bs_acc[[#This Row],[BS_line]]&amp;"_"&amp;bs_acc[[#This Row],[BS_line2]])</f>
        <v>Cash and cash equivalents</v>
      </c>
      <c r="AF60" s="101" t="s">
        <v>2898</v>
      </c>
      <c r="AG60">
        <v>-1083973822.02</v>
      </c>
      <c r="AH60" t="s">
        <v>3052</v>
      </c>
      <c r="AK60" t="s">
        <v>2919</v>
      </c>
      <c r="AL60" s="3">
        <v>768300</v>
      </c>
      <c r="AM60" t="s">
        <v>3088</v>
      </c>
      <c r="AP60" s="92" t="s">
        <v>2851</v>
      </c>
      <c r="AQ60" s="97" t="s">
        <v>2994</v>
      </c>
      <c r="AR60" s="97" t="s">
        <v>3049</v>
      </c>
      <c r="AS60" s="97" t="s">
        <v>3049</v>
      </c>
    </row>
    <row r="61" spans="1:45" x14ac:dyDescent="0.3">
      <c r="A61" t="s">
        <v>2886</v>
      </c>
      <c r="C61" t="s">
        <v>2994</v>
      </c>
      <c r="F61" t="s">
        <v>2840</v>
      </c>
      <c r="K61">
        <f>IF(bs_acc[[#This Row],[BS_line]]=bs_acc[[#This Row],[BS_line2]],bs_acc[[#This Row],[BS_line]],bs_acc[[#This Row],[BS_line]]&amp;"_"&amp;bs_acc[[#This Row],[BS_line2]])</f>
        <v>0</v>
      </c>
      <c r="AF61" s="101" t="s">
        <v>2899</v>
      </c>
      <c r="AG61">
        <v>-1022610740.9</v>
      </c>
      <c r="AH61" t="s">
        <v>3052</v>
      </c>
      <c r="AK61" t="s">
        <v>2920</v>
      </c>
      <c r="AL61" s="3">
        <v>136460</v>
      </c>
      <c r="AM61" t="s">
        <v>3088</v>
      </c>
      <c r="AP61" s="92" t="s">
        <v>2853</v>
      </c>
      <c r="AQ61" s="97"/>
      <c r="AR61" s="97"/>
      <c r="AS61" s="97"/>
    </row>
    <row r="62" spans="1:45" x14ac:dyDescent="0.3">
      <c r="A62" t="s">
        <v>2888</v>
      </c>
      <c r="B62" s="3">
        <v>-57136.55</v>
      </c>
      <c r="C62" t="s">
        <v>2994</v>
      </c>
      <c r="F62" t="s">
        <v>3037</v>
      </c>
      <c r="K62">
        <f>IF(bs_acc[[#This Row],[BS_line]]=bs_acc[[#This Row],[BS_line2]],bs_acc[[#This Row],[BS_line]],bs_acc[[#This Row],[BS_line]]&amp;"_"&amp;bs_acc[[#This Row],[BS_line2]])</f>
        <v>0</v>
      </c>
      <c r="AF62" s="101" t="s">
        <v>2900</v>
      </c>
      <c r="AG62">
        <v>-397988669</v>
      </c>
      <c r="AH62" t="s">
        <v>3052</v>
      </c>
      <c r="AK62" t="s">
        <v>2921</v>
      </c>
      <c r="AL62" s="3">
        <v>8259.76</v>
      </c>
      <c r="AM62" t="s">
        <v>3088</v>
      </c>
      <c r="AP62" s="93" t="s">
        <v>2854</v>
      </c>
      <c r="AQ62" s="97"/>
      <c r="AR62" s="97"/>
      <c r="AS62" s="97"/>
    </row>
    <row r="63" spans="1:45" x14ac:dyDescent="0.3">
      <c r="A63" t="s">
        <v>2891</v>
      </c>
      <c r="B63" s="3">
        <v>-50590887.5</v>
      </c>
      <c r="C63" t="s">
        <v>2994</v>
      </c>
      <c r="F63" t="s">
        <v>3036</v>
      </c>
      <c r="G63" t="s">
        <v>2994</v>
      </c>
      <c r="H63" t="s">
        <v>3067</v>
      </c>
      <c r="I63" t="s">
        <v>3067</v>
      </c>
      <c r="K63" t="str">
        <f>IF(bs_acc[[#This Row],[BS_line]]=bs_acc[[#This Row],[BS_line2]],bs_acc[[#This Row],[BS_line]],bs_acc[[#This Row],[BS_line]]&amp;"_"&amp;bs_acc[[#This Row],[BS_line2]])</f>
        <v>Investments in subsidaries</v>
      </c>
      <c r="AF63" s="101" t="s">
        <v>3031</v>
      </c>
      <c r="AG63">
        <v>-142573311.13999999</v>
      </c>
      <c r="AH63" t="s">
        <v>3052</v>
      </c>
      <c r="AK63" t="s">
        <v>3111</v>
      </c>
      <c r="AL63" s="3">
        <v>68428925.670000002</v>
      </c>
      <c r="AM63" t="s">
        <v>3088</v>
      </c>
      <c r="AP63" s="94" t="s">
        <v>2855</v>
      </c>
      <c r="AQ63" s="97" t="s">
        <v>2994</v>
      </c>
      <c r="AR63" s="97" t="s">
        <v>3061</v>
      </c>
      <c r="AS63" s="97" t="s">
        <v>3061</v>
      </c>
    </row>
    <row r="64" spans="1:45" x14ac:dyDescent="0.3">
      <c r="A64" t="s">
        <v>2892</v>
      </c>
      <c r="B64" s="3">
        <v>-30750954.550000001</v>
      </c>
      <c r="C64" t="s">
        <v>2994</v>
      </c>
      <c r="F64" t="s">
        <v>2841</v>
      </c>
      <c r="G64" t="s">
        <v>2994</v>
      </c>
      <c r="H64" t="s">
        <v>3066</v>
      </c>
      <c r="I64" t="s">
        <v>3066</v>
      </c>
      <c r="K64" t="str">
        <f>IF(bs_acc[[#This Row],[BS_line]]=bs_acc[[#This Row],[BS_line2]],bs_acc[[#This Row],[BS_line]],bs_acc[[#This Row],[BS_line]]&amp;"_"&amp;bs_acc[[#This Row],[BS_line2]])</f>
        <v>Loans given_IC</v>
      </c>
      <c r="AF64" s="101" t="s">
        <v>2901</v>
      </c>
      <c r="AG64">
        <v>-211292939.22999999</v>
      </c>
      <c r="AH64" t="s">
        <v>3052</v>
      </c>
      <c r="AK64" t="s">
        <v>2923</v>
      </c>
      <c r="AL64" s="3">
        <v>-820860.82</v>
      </c>
      <c r="AM64" t="s">
        <v>3087</v>
      </c>
      <c r="AP64" s="94" t="s">
        <v>2856</v>
      </c>
      <c r="AQ64" s="97" t="s">
        <v>2994</v>
      </c>
      <c r="AR64" s="97" t="s">
        <v>3077</v>
      </c>
      <c r="AS64" s="97" t="s">
        <v>3077</v>
      </c>
    </row>
    <row r="65" spans="1:45" x14ac:dyDescent="0.3">
      <c r="A65" t="s">
        <v>2895</v>
      </c>
      <c r="B65" s="3">
        <v>-8050014.7400000002</v>
      </c>
      <c r="C65" t="s">
        <v>2994</v>
      </c>
      <c r="F65" t="s">
        <v>2842</v>
      </c>
      <c r="K65">
        <f>IF(bs_acc[[#This Row],[BS_line]]=bs_acc[[#This Row],[BS_line2]],bs_acc[[#This Row],[BS_line]],bs_acc[[#This Row],[BS_line]]&amp;"_"&amp;bs_acc[[#This Row],[BS_line2]])</f>
        <v>0</v>
      </c>
      <c r="AF65" s="101" t="s">
        <v>2903</v>
      </c>
      <c r="AG65">
        <v>-15329057.970000001</v>
      </c>
      <c r="AH65" t="s">
        <v>3052</v>
      </c>
      <c r="AK65" t="s">
        <v>3035</v>
      </c>
      <c r="AL65" s="3">
        <v>8320.1299999999992</v>
      </c>
      <c r="AM65" t="s">
        <v>3088</v>
      </c>
      <c r="AP65" s="93" t="s">
        <v>2857</v>
      </c>
      <c r="AQ65" s="97"/>
      <c r="AR65" s="97"/>
      <c r="AS65" s="97"/>
    </row>
    <row r="66" spans="1:45" x14ac:dyDescent="0.3">
      <c r="A66" t="s">
        <v>2898</v>
      </c>
      <c r="B66" s="3">
        <v>-1151761343.02</v>
      </c>
      <c r="C66" t="s">
        <v>2994</v>
      </c>
      <c r="F66" t="s">
        <v>2843</v>
      </c>
      <c r="G66" t="s">
        <v>2994</v>
      </c>
      <c r="H66" s="86" t="s">
        <v>3047</v>
      </c>
      <c r="I66" s="86" t="s">
        <v>3047</v>
      </c>
      <c r="K66" t="str">
        <f>IF(bs_acc[[#This Row],[BS_line]]=bs_acc[[#This Row],[BS_line2]],bs_acc[[#This Row],[BS_line]],bs_acc[[#This Row],[BS_line]]&amp;"_"&amp;bs_acc[[#This Row],[BS_line2]])</f>
        <v>Trade payables</v>
      </c>
      <c r="AF66" s="101" t="s">
        <v>2904</v>
      </c>
      <c r="AG66">
        <v>-5428877.5499999998</v>
      </c>
      <c r="AH66" t="s">
        <v>3052</v>
      </c>
      <c r="AK66" t="s">
        <v>2925</v>
      </c>
      <c r="AL66" s="3">
        <v>-9824710.8100000005</v>
      </c>
      <c r="AM66" t="s">
        <v>3087</v>
      </c>
      <c r="AP66" s="94" t="s">
        <v>2858</v>
      </c>
      <c r="AQ66" s="97" t="s">
        <v>2994</v>
      </c>
      <c r="AR66" s="97" t="s">
        <v>3061</v>
      </c>
      <c r="AS66" s="97" t="s">
        <v>3061</v>
      </c>
    </row>
    <row r="67" spans="1:45" x14ac:dyDescent="0.3">
      <c r="A67" t="s">
        <v>2899</v>
      </c>
      <c r="B67" s="3">
        <v>-990808424.89999998</v>
      </c>
      <c r="C67" t="s">
        <v>2994</v>
      </c>
      <c r="F67" t="s">
        <v>3034</v>
      </c>
      <c r="G67" t="s">
        <v>2994</v>
      </c>
      <c r="H67" s="86" t="s">
        <v>3068</v>
      </c>
      <c r="I67" s="86" t="s">
        <v>3068</v>
      </c>
      <c r="K67" t="str">
        <f>IF(bs_acc[[#This Row],[BS_line]]=bs_acc[[#This Row],[BS_line2]],bs_acc[[#This Row],[BS_line]],bs_acc[[#This Row],[BS_line]]&amp;"_"&amp;bs_acc[[#This Row],[BS_line2]])</f>
        <v>Trade payables_IC</v>
      </c>
      <c r="AF67" s="101" t="s">
        <v>2905</v>
      </c>
      <c r="AG67">
        <v>-10966702.449999999</v>
      </c>
      <c r="AH67" t="s">
        <v>3052</v>
      </c>
      <c r="AK67" t="s">
        <v>2927</v>
      </c>
      <c r="AL67" s="3">
        <v>-2799882.79</v>
      </c>
      <c r="AM67" t="s">
        <v>3087</v>
      </c>
      <c r="AP67" s="94" t="s">
        <v>2859</v>
      </c>
      <c r="AQ67" s="97" t="s">
        <v>2994</v>
      </c>
      <c r="AR67" s="97" t="s">
        <v>3077</v>
      </c>
      <c r="AS67" s="97" t="s">
        <v>3077</v>
      </c>
    </row>
    <row r="68" spans="1:45" x14ac:dyDescent="0.3">
      <c r="A68" t="s">
        <v>2900</v>
      </c>
      <c r="B68" s="3">
        <v>-411583488</v>
      </c>
      <c r="C68" t="s">
        <v>2994</v>
      </c>
      <c r="F68" t="s">
        <v>2844</v>
      </c>
      <c r="G68" t="s">
        <v>2994</v>
      </c>
      <c r="H68" s="86" t="s">
        <v>3048</v>
      </c>
      <c r="I68" s="86" t="s">
        <v>3048</v>
      </c>
      <c r="K68" t="str">
        <f>IF(bs_acc[[#This Row],[BS_line]]=bs_acc[[#This Row],[BS_line2]],bs_acc[[#This Row],[BS_line]],bs_acc[[#This Row],[BS_line]]&amp;"_"&amp;bs_acc[[#This Row],[BS_line2]])</f>
        <v>Advances paid to suppliers</v>
      </c>
      <c r="AF68" s="101" t="s">
        <v>3039</v>
      </c>
      <c r="AG68">
        <v>-142569977.05000001</v>
      </c>
      <c r="AH68" t="s">
        <v>3072</v>
      </c>
      <c r="AK68" t="s">
        <v>3019</v>
      </c>
      <c r="AL68" s="3">
        <v>-3637811.56</v>
      </c>
      <c r="AM68" t="s">
        <v>3087</v>
      </c>
      <c r="AP68" s="91" t="s">
        <v>2860</v>
      </c>
      <c r="AQ68" s="97"/>
      <c r="AR68" s="97"/>
      <c r="AS68" s="97"/>
    </row>
    <row r="69" spans="1:45" x14ac:dyDescent="0.3">
      <c r="A69" t="s">
        <v>3031</v>
      </c>
      <c r="B69" s="3">
        <v>-142573311.13999999</v>
      </c>
      <c r="C69" t="s">
        <v>2994</v>
      </c>
      <c r="F69" t="s">
        <v>2845</v>
      </c>
      <c r="G69" t="s">
        <v>2994</v>
      </c>
      <c r="H69" s="86" t="s">
        <v>3059</v>
      </c>
      <c r="I69" s="86" t="s">
        <v>3059</v>
      </c>
      <c r="K69" t="str">
        <f>IF(bs_acc[[#This Row],[BS_line]]=bs_acc[[#This Row],[BS_line2]],bs_acc[[#This Row],[BS_line]],bs_acc[[#This Row],[BS_line]]&amp;"_"&amp;bs_acc[[#This Row],[BS_line2]])</f>
        <v>Provisions</v>
      </c>
      <c r="AF69" s="101" t="s">
        <v>3041</v>
      </c>
      <c r="AG69">
        <v>-41384661.719999999</v>
      </c>
      <c r="AH69" t="s">
        <v>3072</v>
      </c>
      <c r="AK69" t="s">
        <v>2928</v>
      </c>
      <c r="AL69" s="3">
        <v>-65907.740000000005</v>
      </c>
      <c r="AM69" t="s">
        <v>3087</v>
      </c>
      <c r="AP69" s="92" t="s">
        <v>2861</v>
      </c>
      <c r="AQ69" s="97" t="s">
        <v>2994</v>
      </c>
      <c r="AR69" s="97" t="s">
        <v>3050</v>
      </c>
      <c r="AS69" s="97" t="s">
        <v>3050</v>
      </c>
    </row>
    <row r="70" spans="1:45" x14ac:dyDescent="0.3">
      <c r="A70" t="s">
        <v>2901</v>
      </c>
      <c r="B70" s="3">
        <v>-211292939.22999999</v>
      </c>
      <c r="C70" t="s">
        <v>2994</v>
      </c>
      <c r="F70" t="s">
        <v>2846</v>
      </c>
      <c r="G70" t="s">
        <v>2994</v>
      </c>
      <c r="H70" s="86" t="s">
        <v>3048</v>
      </c>
      <c r="I70" s="86" t="s">
        <v>3048</v>
      </c>
      <c r="K70" t="str">
        <f>IF(bs_acc[[#This Row],[BS_line]]=bs_acc[[#This Row],[BS_line2]],bs_acc[[#This Row],[BS_line]],bs_acc[[#This Row],[BS_line]]&amp;"_"&amp;bs_acc[[#This Row],[BS_line2]])</f>
        <v>Advances paid to suppliers</v>
      </c>
      <c r="AF70" s="101" t="s">
        <v>2906</v>
      </c>
      <c r="AG70">
        <v>-1676933.86</v>
      </c>
      <c r="AH70" t="s">
        <v>3052</v>
      </c>
      <c r="AK70" t="s">
        <v>2929</v>
      </c>
      <c r="AL70" s="3">
        <v>-6043333.6100000003</v>
      </c>
      <c r="AM70" t="s">
        <v>3087</v>
      </c>
      <c r="AP70" s="92" t="s">
        <v>2862</v>
      </c>
      <c r="AQ70" s="97" t="s">
        <v>2994</v>
      </c>
      <c r="AR70" s="97" t="s">
        <v>3050</v>
      </c>
      <c r="AS70" s="97" t="s">
        <v>3050</v>
      </c>
    </row>
    <row r="71" spans="1:45" x14ac:dyDescent="0.3">
      <c r="A71" t="s">
        <v>2903</v>
      </c>
      <c r="B71" s="3">
        <v>-20855731.989999998</v>
      </c>
      <c r="C71" t="s">
        <v>2994</v>
      </c>
      <c r="F71" t="s">
        <v>2847</v>
      </c>
      <c r="G71" t="s">
        <v>2994</v>
      </c>
      <c r="H71" s="86" t="s">
        <v>3047</v>
      </c>
      <c r="I71" s="86" t="s">
        <v>3047</v>
      </c>
      <c r="K71" t="str">
        <f>IF(bs_acc[[#This Row],[BS_line]]=bs_acc[[#This Row],[BS_line2]],bs_acc[[#This Row],[BS_line]],bs_acc[[#This Row],[BS_line]]&amp;"_"&amp;bs_acc[[#This Row],[BS_line2]])</f>
        <v>Trade payables</v>
      </c>
      <c r="AF71" s="101" t="s">
        <v>2909</v>
      </c>
      <c r="AG71">
        <v>-2773112572.8000002</v>
      </c>
      <c r="AH71" t="s">
        <v>3051</v>
      </c>
      <c r="AK71" t="s">
        <v>2931</v>
      </c>
      <c r="AL71" s="3">
        <v>-32700.27</v>
      </c>
      <c r="AM71" t="s">
        <v>3056</v>
      </c>
      <c r="AP71" s="91" t="s">
        <v>3096</v>
      </c>
      <c r="AQ71" s="97" t="s">
        <v>2994</v>
      </c>
      <c r="AR71" s="97" t="s">
        <v>3049</v>
      </c>
      <c r="AS71" s="97" t="s">
        <v>3049</v>
      </c>
    </row>
    <row r="72" spans="1:45" x14ac:dyDescent="0.3">
      <c r="A72" t="s">
        <v>2904</v>
      </c>
      <c r="B72" s="3">
        <v>-8088034.4400000004</v>
      </c>
      <c r="C72" t="s">
        <v>2994</v>
      </c>
      <c r="F72" t="s">
        <v>2848</v>
      </c>
      <c r="G72" t="s">
        <v>2994</v>
      </c>
      <c r="H72" s="86" t="s">
        <v>3048</v>
      </c>
      <c r="I72" s="86" t="s">
        <v>3048</v>
      </c>
      <c r="K72" t="str">
        <f>IF(bs_acc[[#This Row],[BS_line]]=bs_acc[[#This Row],[BS_line2]],bs_acc[[#This Row],[BS_line]],bs_acc[[#This Row],[BS_line]]&amp;"_"&amp;bs_acc[[#This Row],[BS_line2]])</f>
        <v>Advances paid to suppliers</v>
      </c>
      <c r="AF72" s="101" t="s">
        <v>2910</v>
      </c>
      <c r="AG72">
        <v>-325821705.83999997</v>
      </c>
      <c r="AH72" t="s">
        <v>3051</v>
      </c>
      <c r="AK72" t="s">
        <v>2933</v>
      </c>
      <c r="AL72" s="3">
        <v>571103.69999999995</v>
      </c>
      <c r="AM72" t="s">
        <v>3053</v>
      </c>
      <c r="AP72" s="91" t="s">
        <v>3097</v>
      </c>
      <c r="AQ72" s="97"/>
      <c r="AR72" s="97"/>
      <c r="AS72" s="97"/>
    </row>
    <row r="73" spans="1:45" x14ac:dyDescent="0.3">
      <c r="A73" t="s">
        <v>2905</v>
      </c>
      <c r="B73" s="3">
        <v>-13685719.59</v>
      </c>
      <c r="C73" t="s">
        <v>2994</v>
      </c>
      <c r="F73" t="s">
        <v>2849</v>
      </c>
      <c r="K73">
        <f>IF(bs_acc[[#This Row],[BS_line]]=bs_acc[[#This Row],[BS_line2]],bs_acc[[#This Row],[BS_line]],bs_acc[[#This Row],[BS_line]]&amp;"_"&amp;bs_acc[[#This Row],[BS_line2]])</f>
        <v>0</v>
      </c>
      <c r="AF73" s="101" t="s">
        <v>2913</v>
      </c>
      <c r="AG73">
        <v>-353567.77</v>
      </c>
      <c r="AH73" t="s">
        <v>3087</v>
      </c>
      <c r="AK73" t="s">
        <v>2936</v>
      </c>
      <c r="AL73" s="3">
        <v>-10079439.140000001</v>
      </c>
      <c r="AM73" t="s">
        <v>3047</v>
      </c>
      <c r="AP73" s="92" t="s">
        <v>3098</v>
      </c>
      <c r="AQ73" s="97" t="s">
        <v>2994</v>
      </c>
      <c r="AR73" s="97" t="s">
        <v>3050</v>
      </c>
      <c r="AS73" s="97" t="s">
        <v>3050</v>
      </c>
    </row>
    <row r="74" spans="1:45" x14ac:dyDescent="0.3">
      <c r="A74" t="s">
        <v>3032</v>
      </c>
      <c r="C74" t="s">
        <v>2994</v>
      </c>
      <c r="F74" t="s">
        <v>2850</v>
      </c>
      <c r="K74">
        <f>IF(bs_acc[[#This Row],[BS_line]]=bs_acc[[#This Row],[BS_line2]],bs_acc[[#This Row],[BS_line]],bs_acc[[#This Row],[BS_line]]&amp;"_"&amp;bs_acc[[#This Row],[BS_line2]])</f>
        <v>0</v>
      </c>
      <c r="AF74" s="101" t="s">
        <v>3018</v>
      </c>
      <c r="AG74">
        <v>2137</v>
      </c>
      <c r="AH74" t="s">
        <v>3053</v>
      </c>
      <c r="AK74" t="s">
        <v>2937</v>
      </c>
      <c r="AL74" s="3">
        <v>136824.1</v>
      </c>
      <c r="AM74" t="s">
        <v>3049</v>
      </c>
      <c r="AP74" s="91" t="s">
        <v>3099</v>
      </c>
      <c r="AQ74" s="97" t="s">
        <v>2994</v>
      </c>
      <c r="AR74" s="97" t="s">
        <v>3049</v>
      </c>
      <c r="AS74" s="97" t="s">
        <v>3049</v>
      </c>
    </row>
    <row r="75" spans="1:45" x14ac:dyDescent="0.3">
      <c r="A75" t="s">
        <v>2906</v>
      </c>
      <c r="B75" s="3">
        <v>-3656857.81</v>
      </c>
      <c r="C75" t="s">
        <v>2994</v>
      </c>
      <c r="F75" t="s">
        <v>2851</v>
      </c>
      <c r="G75" t="s">
        <v>2994</v>
      </c>
      <c r="H75" t="s">
        <v>3049</v>
      </c>
      <c r="I75" t="s">
        <v>3049</v>
      </c>
      <c r="K75" t="str">
        <f>IF(bs_acc[[#This Row],[BS_line]]=bs_acc[[#This Row],[BS_line2]],bs_acc[[#This Row],[BS_line]],bs_acc[[#This Row],[BS_line]]&amp;"_"&amp;bs_acc[[#This Row],[BS_line2]])</f>
        <v>Trade receivables</v>
      </c>
      <c r="AF75" s="101" t="s">
        <v>2914</v>
      </c>
      <c r="AG75">
        <v>-205038455.31999999</v>
      </c>
      <c r="AH75" t="s">
        <v>3087</v>
      </c>
      <c r="AK75" t="s">
        <v>2939</v>
      </c>
      <c r="AL75" s="3">
        <v>3292332.63</v>
      </c>
      <c r="AM75" t="s">
        <v>3049</v>
      </c>
      <c r="AP75" s="91" t="s">
        <v>3100</v>
      </c>
      <c r="AQ75" s="97"/>
      <c r="AR75" s="97"/>
      <c r="AS75" s="97"/>
    </row>
    <row r="76" spans="1:45" x14ac:dyDescent="0.3">
      <c r="A76" t="s">
        <v>3039</v>
      </c>
      <c r="B76" s="3">
        <v>-142569977.05000001</v>
      </c>
      <c r="C76" t="s">
        <v>2994</v>
      </c>
      <c r="F76" t="s">
        <v>2852</v>
      </c>
      <c r="G76" t="s">
        <v>2994</v>
      </c>
      <c r="H76" t="s">
        <v>3069</v>
      </c>
      <c r="I76" t="s">
        <v>3069</v>
      </c>
      <c r="K76" t="str">
        <f>IF(bs_acc[[#This Row],[BS_line]]=bs_acc[[#This Row],[BS_line2]],bs_acc[[#This Row],[BS_line]],bs_acc[[#This Row],[BS_line]]&amp;"_"&amp;bs_acc[[#This Row],[BS_line2]])</f>
        <v>Trade receivables_IC</v>
      </c>
      <c r="AF76" s="101" t="s">
        <v>2916</v>
      </c>
      <c r="AG76">
        <v>8835378.1099999994</v>
      </c>
      <c r="AH76" t="s">
        <v>3054</v>
      </c>
      <c r="AK76" t="s">
        <v>3105</v>
      </c>
      <c r="AL76" s="3">
        <v>42326862.93</v>
      </c>
      <c r="AM76" t="s">
        <v>3049</v>
      </c>
      <c r="AP76" s="92" t="s">
        <v>3101</v>
      </c>
      <c r="AQ76" s="97" t="s">
        <v>2994</v>
      </c>
      <c r="AR76" s="97" t="s">
        <v>3050</v>
      </c>
      <c r="AS76" s="97" t="s">
        <v>3050</v>
      </c>
    </row>
    <row r="77" spans="1:45" x14ac:dyDescent="0.3">
      <c r="A77" t="s">
        <v>3041</v>
      </c>
      <c r="B77" s="3">
        <v>-42326862.93</v>
      </c>
      <c r="C77" t="s">
        <v>2994</v>
      </c>
      <c r="F77" t="s">
        <v>2853</v>
      </c>
      <c r="K77">
        <f>IF(bs_acc[[#This Row],[BS_line]]=bs_acc[[#This Row],[BS_line2]],bs_acc[[#This Row],[BS_line]],bs_acc[[#This Row],[BS_line]]&amp;"_"&amp;bs_acc[[#This Row],[BS_line2]])</f>
        <v>0</v>
      </c>
      <c r="AF77" s="101" t="s">
        <v>2917</v>
      </c>
      <c r="AG77">
        <v>-4008522.3</v>
      </c>
      <c r="AH77" t="s">
        <v>3087</v>
      </c>
      <c r="AK77" t="s">
        <v>2942</v>
      </c>
      <c r="AL77" s="3">
        <v>324795.78999999998</v>
      </c>
      <c r="AM77" t="s">
        <v>3049</v>
      </c>
      <c r="AP77" s="91" t="s">
        <v>2886</v>
      </c>
      <c r="AQ77" s="97" t="s">
        <v>2994</v>
      </c>
      <c r="AR77" s="97" t="s">
        <v>3049</v>
      </c>
      <c r="AS77" s="97" t="s">
        <v>3047</v>
      </c>
    </row>
    <row r="78" spans="1:45" x14ac:dyDescent="0.3">
      <c r="A78" t="s">
        <v>2909</v>
      </c>
      <c r="B78" s="3">
        <v>-2661384644.4400001</v>
      </c>
      <c r="C78" t="s">
        <v>2994</v>
      </c>
      <c r="F78" t="s">
        <v>2854</v>
      </c>
      <c r="K78">
        <f>IF(bs_acc[[#This Row],[BS_line]]=bs_acc[[#This Row],[BS_line2]],bs_acc[[#This Row],[BS_line]],bs_acc[[#This Row],[BS_line]]&amp;"_"&amp;bs_acc[[#This Row],[BS_line2]])</f>
        <v>0</v>
      </c>
      <c r="AF78" s="101" t="s">
        <v>2918</v>
      </c>
      <c r="AG78">
        <v>21403.46</v>
      </c>
      <c r="AH78" t="s">
        <v>3053</v>
      </c>
      <c r="AK78" t="s">
        <v>2944</v>
      </c>
      <c r="AL78" s="3">
        <v>2253850</v>
      </c>
      <c r="AM78" t="s">
        <v>3049</v>
      </c>
      <c r="AP78" s="90" t="s">
        <v>2887</v>
      </c>
      <c r="AQ78" s="97"/>
      <c r="AR78" s="97"/>
      <c r="AS78" s="97"/>
    </row>
    <row r="79" spans="1:45" x14ac:dyDescent="0.3">
      <c r="A79" t="s">
        <v>2910</v>
      </c>
      <c r="B79" s="3">
        <v>-287405520</v>
      </c>
      <c r="C79" t="s">
        <v>2994</v>
      </c>
      <c r="F79" t="s">
        <v>2855</v>
      </c>
      <c r="G79" t="s">
        <v>2994</v>
      </c>
      <c r="H79" t="s">
        <v>3061</v>
      </c>
      <c r="I79" t="s">
        <v>3061</v>
      </c>
      <c r="K79" t="str">
        <f>IF(bs_acc[[#This Row],[BS_line]]=bs_acc[[#This Row],[BS_line2]],bs_acc[[#This Row],[BS_line]],bs_acc[[#This Row],[BS_line]]&amp;"_"&amp;bs_acc[[#This Row],[BS_line2]])</f>
        <v>Finance Lease receivables non-current</v>
      </c>
      <c r="AF79" s="101" t="s">
        <v>2919</v>
      </c>
      <c r="AG79">
        <v>766300</v>
      </c>
      <c r="AH79" t="s">
        <v>3053</v>
      </c>
      <c r="AK79" t="s">
        <v>2945</v>
      </c>
      <c r="AL79" s="3">
        <v>365480.06</v>
      </c>
      <c r="AM79" t="s">
        <v>3049</v>
      </c>
      <c r="AP79" s="91" t="s">
        <v>2888</v>
      </c>
      <c r="AQ79" s="97" t="s">
        <v>2994</v>
      </c>
      <c r="AR79" s="97" t="s">
        <v>3071</v>
      </c>
      <c r="AS79" s="97" t="s">
        <v>3071</v>
      </c>
    </row>
    <row r="80" spans="1:45" x14ac:dyDescent="0.3">
      <c r="A80" t="s">
        <v>2913</v>
      </c>
      <c r="B80" s="3">
        <v>-766718.77</v>
      </c>
      <c r="C80" t="s">
        <v>2994</v>
      </c>
      <c r="F80" t="s">
        <v>2856</v>
      </c>
      <c r="G80" t="s">
        <v>2994</v>
      </c>
      <c r="H80" t="s">
        <v>3077</v>
      </c>
      <c r="I80" t="s">
        <v>3077</v>
      </c>
      <c r="K80" t="str">
        <f>IF(bs_acc[[#This Row],[BS_line]]=bs_acc[[#This Row],[BS_line2]],bs_acc[[#This Row],[BS_line]],bs_acc[[#This Row],[BS_line]]&amp;"_"&amp;bs_acc[[#This Row],[BS_line2]])</f>
        <v>Finance Lease receivables current</v>
      </c>
      <c r="AF80" s="101" t="s">
        <v>2920</v>
      </c>
      <c r="AG80">
        <v>136460</v>
      </c>
      <c r="AH80" t="s">
        <v>3053</v>
      </c>
      <c r="AK80" t="s">
        <v>2946</v>
      </c>
      <c r="AL80" s="3">
        <v>1074067.1499999999</v>
      </c>
      <c r="AM80" t="s">
        <v>3049</v>
      </c>
      <c r="AP80" s="91" t="s">
        <v>3102</v>
      </c>
      <c r="AQ80" s="97"/>
      <c r="AR80" s="97"/>
      <c r="AS80" s="97"/>
    </row>
    <row r="81" spans="1:45" x14ac:dyDescent="0.3">
      <c r="A81" t="s">
        <v>3018</v>
      </c>
      <c r="B81" s="3">
        <v>2137</v>
      </c>
      <c r="C81" t="s">
        <v>2994</v>
      </c>
      <c r="F81" t="s">
        <v>2857</v>
      </c>
      <c r="K81">
        <f>IF(bs_acc[[#This Row],[BS_line]]=bs_acc[[#This Row],[BS_line2]],bs_acc[[#This Row],[BS_line]],bs_acc[[#This Row],[BS_line]]&amp;"_"&amp;bs_acc[[#This Row],[BS_line2]])</f>
        <v>0</v>
      </c>
      <c r="AF81" s="101" t="s">
        <v>2921</v>
      </c>
      <c r="AG81">
        <v>11150.6</v>
      </c>
      <c r="AH81" t="s">
        <v>3088</v>
      </c>
      <c r="AK81" t="s">
        <v>2950</v>
      </c>
      <c r="AL81" s="3">
        <v>-23649698.98</v>
      </c>
      <c r="AM81" t="s">
        <v>3061</v>
      </c>
      <c r="AP81" s="92" t="s">
        <v>3107</v>
      </c>
      <c r="AQ81" s="97" t="s">
        <v>2994</v>
      </c>
      <c r="AR81" s="97" t="s">
        <v>3070</v>
      </c>
      <c r="AS81" s="97" t="s">
        <v>3070</v>
      </c>
    </row>
    <row r="82" spans="1:45" x14ac:dyDescent="0.3">
      <c r="A82" t="s">
        <v>2914</v>
      </c>
      <c r="B82" s="3">
        <v>-242908535.68000001</v>
      </c>
      <c r="C82" t="s">
        <v>2994</v>
      </c>
      <c r="F82" t="s">
        <v>2858</v>
      </c>
      <c r="G82" t="s">
        <v>2994</v>
      </c>
      <c r="H82" t="s">
        <v>3061</v>
      </c>
      <c r="I82" t="s">
        <v>3061</v>
      </c>
      <c r="K82" t="str">
        <f>IF(bs_acc[[#This Row],[BS_line]]=bs_acc[[#This Row],[BS_line2]],bs_acc[[#This Row],[BS_line]],bs_acc[[#This Row],[BS_line]]&amp;"_"&amp;bs_acc[[#This Row],[BS_line2]])</f>
        <v>Finance Lease receivables non-current</v>
      </c>
      <c r="AF82" s="101" t="s">
        <v>2923</v>
      </c>
      <c r="AG82">
        <v>-820860.82</v>
      </c>
      <c r="AH82" t="s">
        <v>3087</v>
      </c>
      <c r="AK82" t="s">
        <v>2951</v>
      </c>
      <c r="AL82" s="3">
        <v>3914.4</v>
      </c>
      <c r="AM82" t="s">
        <v>3049</v>
      </c>
      <c r="AP82" s="92" t="s">
        <v>3103</v>
      </c>
      <c r="AQ82" s="97" t="s">
        <v>2994</v>
      </c>
      <c r="AR82" s="97" t="s">
        <v>3070</v>
      </c>
      <c r="AS82" s="97" t="s">
        <v>3070</v>
      </c>
    </row>
    <row r="83" spans="1:45" x14ac:dyDescent="0.3">
      <c r="A83" t="s">
        <v>2916</v>
      </c>
      <c r="B83" s="3">
        <v>11754023.109999999</v>
      </c>
      <c r="C83" t="s">
        <v>2994</v>
      </c>
      <c r="F83" t="s">
        <v>2859</v>
      </c>
      <c r="G83" t="s">
        <v>2994</v>
      </c>
      <c r="H83" t="s">
        <v>3077</v>
      </c>
      <c r="I83" t="s">
        <v>3077</v>
      </c>
      <c r="K83" t="str">
        <f>IF(bs_acc[[#This Row],[BS_line]]=bs_acc[[#This Row],[BS_line2]],bs_acc[[#This Row],[BS_line]],bs_acc[[#This Row],[BS_line]]&amp;"_"&amp;bs_acc[[#This Row],[BS_line2]])</f>
        <v>Finance Lease receivables current</v>
      </c>
      <c r="AF83" s="101" t="s">
        <v>3035</v>
      </c>
      <c r="AG83">
        <v>8320.1299999999992</v>
      </c>
      <c r="AH83" t="s">
        <v>3053</v>
      </c>
      <c r="AK83" t="s">
        <v>3021</v>
      </c>
      <c r="AL83" s="3">
        <v>374431.08</v>
      </c>
      <c r="AM83" t="s">
        <v>3049</v>
      </c>
      <c r="AP83" s="95" t="s">
        <v>2889</v>
      </c>
      <c r="AQ83" s="97"/>
      <c r="AR83" s="97"/>
      <c r="AS83" s="97"/>
    </row>
    <row r="84" spans="1:45" x14ac:dyDescent="0.3">
      <c r="A84" t="s">
        <v>2917</v>
      </c>
      <c r="B84" s="3">
        <v>-5485471.2999999998</v>
      </c>
      <c r="C84" t="s">
        <v>2994</v>
      </c>
      <c r="F84" t="s">
        <v>2860</v>
      </c>
      <c r="K84">
        <f>IF(bs_acc[[#This Row],[BS_line]]=bs_acc[[#This Row],[BS_line2]],bs_acc[[#This Row],[BS_line]],bs_acc[[#This Row],[BS_line]]&amp;"_"&amp;bs_acc[[#This Row],[BS_line2]])</f>
        <v>0</v>
      </c>
      <c r="AF84" s="101" t="s">
        <v>2925</v>
      </c>
      <c r="AG84">
        <v>-9824710.8100000005</v>
      </c>
      <c r="AH84" t="s">
        <v>3087</v>
      </c>
      <c r="AK84" t="s">
        <v>2957</v>
      </c>
      <c r="AL84" s="3">
        <v>-69562667.299999997</v>
      </c>
      <c r="AM84" t="s">
        <v>3073</v>
      </c>
      <c r="AP84" s="95" t="s">
        <v>2890</v>
      </c>
      <c r="AQ84" s="97"/>
      <c r="AR84" s="97"/>
      <c r="AS84" s="97"/>
    </row>
    <row r="85" spans="1:45" x14ac:dyDescent="0.3">
      <c r="A85" t="s">
        <v>2918</v>
      </c>
      <c r="B85" s="3">
        <v>21403.46</v>
      </c>
      <c r="C85" t="s">
        <v>2994</v>
      </c>
      <c r="F85" t="s">
        <v>2861</v>
      </c>
      <c r="G85" t="s">
        <v>2994</v>
      </c>
      <c r="H85" s="86" t="s">
        <v>3050</v>
      </c>
      <c r="I85" s="86" t="s">
        <v>3050</v>
      </c>
      <c r="K85" t="str">
        <f>IF(bs_acc[[#This Row],[BS_line]]=bs_acc[[#This Row],[BS_line2]],bs_acc[[#This Row],[BS_line]],bs_acc[[#This Row],[BS_line]]&amp;"_"&amp;bs_acc[[#This Row],[BS_line2]])</f>
        <v>Advances from clients</v>
      </c>
      <c r="AF85" s="101" t="s">
        <v>2927</v>
      </c>
      <c r="AG85">
        <v>-2799882.79</v>
      </c>
      <c r="AH85" t="s">
        <v>3087</v>
      </c>
      <c r="AK85" t="s">
        <v>2958</v>
      </c>
      <c r="AL85" s="3">
        <v>-2778026.1</v>
      </c>
      <c r="AM85" t="s">
        <v>3073</v>
      </c>
      <c r="AP85" s="92" t="s">
        <v>3108</v>
      </c>
      <c r="AQ85" s="97" t="s">
        <v>2994</v>
      </c>
      <c r="AR85" s="97" t="s">
        <v>3092</v>
      </c>
      <c r="AS85" s="97" t="s">
        <v>3092</v>
      </c>
    </row>
    <row r="86" spans="1:45" x14ac:dyDescent="0.3">
      <c r="A86" t="s">
        <v>2919</v>
      </c>
      <c r="B86" s="3">
        <v>768300</v>
      </c>
      <c r="C86" t="s">
        <v>2994</v>
      </c>
      <c r="F86" t="s">
        <v>2862</v>
      </c>
      <c r="G86" t="s">
        <v>2994</v>
      </c>
      <c r="H86" s="86" t="s">
        <v>3050</v>
      </c>
      <c r="I86" s="86" t="s">
        <v>3050</v>
      </c>
      <c r="K86" t="str">
        <f>IF(bs_acc[[#This Row],[BS_line]]=bs_acc[[#This Row],[BS_line2]],bs_acc[[#This Row],[BS_line]],bs_acc[[#This Row],[BS_line]]&amp;"_"&amp;bs_acc[[#This Row],[BS_line2]])</f>
        <v>Advances from clients</v>
      </c>
      <c r="AF86" s="101" t="s">
        <v>3019</v>
      </c>
      <c r="AG86">
        <v>-3186037.95</v>
      </c>
      <c r="AH86" t="s">
        <v>3087</v>
      </c>
      <c r="AK86" t="s">
        <v>2959</v>
      </c>
      <c r="AL86" s="3">
        <v>5247467.29</v>
      </c>
      <c r="AM86" t="s">
        <v>3073</v>
      </c>
      <c r="AP86" s="90" t="s">
        <v>2896</v>
      </c>
      <c r="AQ86" s="97"/>
      <c r="AR86" s="97"/>
      <c r="AS86" s="97"/>
    </row>
    <row r="87" spans="1:45" x14ac:dyDescent="0.3">
      <c r="A87" t="s">
        <v>2920</v>
      </c>
      <c r="B87" s="3">
        <v>136460</v>
      </c>
      <c r="C87" t="s">
        <v>2994</v>
      </c>
      <c r="F87" t="s">
        <v>2863</v>
      </c>
      <c r="K87">
        <f>IF(bs_acc[[#This Row],[BS_line]]=bs_acc[[#This Row],[BS_line2]],bs_acc[[#This Row],[BS_line]],bs_acc[[#This Row],[BS_line]]&amp;"_"&amp;bs_acc[[#This Row],[BS_line2]])</f>
        <v>0</v>
      </c>
      <c r="AF87" s="101" t="s">
        <v>2928</v>
      </c>
      <c r="AG87">
        <v>-55695.43</v>
      </c>
      <c r="AH87" t="s">
        <v>3087</v>
      </c>
      <c r="AK87" t="s">
        <v>2960</v>
      </c>
      <c r="AL87" s="3">
        <v>10649100.050000001</v>
      </c>
      <c r="AM87" t="s">
        <v>3073</v>
      </c>
      <c r="AP87" s="91" t="s">
        <v>2897</v>
      </c>
      <c r="AQ87" s="97"/>
      <c r="AR87" s="97"/>
      <c r="AS87" s="97"/>
    </row>
    <row r="88" spans="1:45" x14ac:dyDescent="0.3">
      <c r="A88" t="s">
        <v>2921</v>
      </c>
      <c r="B88" s="3">
        <v>8259.76</v>
      </c>
      <c r="C88" t="s">
        <v>2994</v>
      </c>
      <c r="F88" t="s">
        <v>2864</v>
      </c>
      <c r="K88">
        <f>IF(bs_acc[[#This Row],[BS_line]]=bs_acc[[#This Row],[BS_line2]],bs_acc[[#This Row],[BS_line]],bs_acc[[#This Row],[BS_line]]&amp;"_"&amp;bs_acc[[#This Row],[BS_line2]])</f>
        <v>0</v>
      </c>
      <c r="AF88" s="101" t="s">
        <v>2929</v>
      </c>
      <c r="AG88">
        <v>-5823200.71</v>
      </c>
      <c r="AH88" t="s">
        <v>3056</v>
      </c>
      <c r="AK88" t="s">
        <v>2962</v>
      </c>
      <c r="AL88" s="3">
        <v>2821615.27</v>
      </c>
      <c r="AM88" t="s">
        <v>3049</v>
      </c>
      <c r="AP88" s="92" t="s">
        <v>2898</v>
      </c>
      <c r="AQ88" s="97" t="s">
        <v>2994</v>
      </c>
      <c r="AR88" s="97" t="s">
        <v>3052</v>
      </c>
      <c r="AS88" s="97" t="s">
        <v>3052</v>
      </c>
    </row>
    <row r="89" spans="1:45" x14ac:dyDescent="0.3">
      <c r="A89" t="s">
        <v>3111</v>
      </c>
      <c r="B89" s="3">
        <v>68391707.670000002</v>
      </c>
      <c r="C89" t="s">
        <v>2994</v>
      </c>
      <c r="F89" t="s">
        <v>2865</v>
      </c>
      <c r="G89" t="s">
        <v>2994</v>
      </c>
      <c r="H89" t="s">
        <v>3049</v>
      </c>
      <c r="I89" t="s">
        <v>3049</v>
      </c>
      <c r="K89" t="str">
        <f>IF(bs_acc[[#This Row],[BS_line]]=bs_acc[[#This Row],[BS_line2]],bs_acc[[#This Row],[BS_line]],bs_acc[[#This Row],[BS_line]]&amp;"_"&amp;bs_acc[[#This Row],[BS_line2]])</f>
        <v>Trade receivables</v>
      </c>
      <c r="AF89" s="101" t="s">
        <v>2931</v>
      </c>
      <c r="AG89">
        <v>-67788.36</v>
      </c>
      <c r="AH89" t="s">
        <v>3056</v>
      </c>
      <c r="AK89" t="s">
        <v>2963</v>
      </c>
      <c r="AL89" s="3">
        <v>2678305.69</v>
      </c>
      <c r="AM89" t="s">
        <v>3049</v>
      </c>
      <c r="AP89" s="92" t="s">
        <v>2899</v>
      </c>
      <c r="AQ89" s="97" t="s">
        <v>2994</v>
      </c>
      <c r="AR89" s="97" t="s">
        <v>3052</v>
      </c>
      <c r="AS89" s="97" t="s">
        <v>3052</v>
      </c>
    </row>
    <row r="90" spans="1:45" x14ac:dyDescent="0.3">
      <c r="A90" t="s">
        <v>2923</v>
      </c>
      <c r="B90" s="3">
        <v>-820860.82</v>
      </c>
      <c r="C90" t="s">
        <v>2994</v>
      </c>
      <c r="F90" t="s">
        <v>2866</v>
      </c>
      <c r="K90">
        <f>IF(bs_acc[[#This Row],[BS_line]]=bs_acc[[#This Row],[BS_line2]],bs_acc[[#This Row],[BS_line]],bs_acc[[#This Row],[BS_line]]&amp;"_"&amp;bs_acc[[#This Row],[BS_line2]])</f>
        <v>0</v>
      </c>
      <c r="AF90" s="101" t="s">
        <v>2933</v>
      </c>
      <c r="AG90">
        <v>5448.67</v>
      </c>
      <c r="AH90" t="s">
        <v>3053</v>
      </c>
      <c r="AK90" t="s">
        <v>2964</v>
      </c>
      <c r="AL90" s="3">
        <v>45838.1</v>
      </c>
      <c r="AM90" t="s">
        <v>3049</v>
      </c>
      <c r="AP90" s="92" t="s">
        <v>2900</v>
      </c>
      <c r="AQ90" s="97" t="s">
        <v>2994</v>
      </c>
      <c r="AR90" s="97" t="s">
        <v>3052</v>
      </c>
      <c r="AS90" s="97" t="s">
        <v>3052</v>
      </c>
    </row>
    <row r="91" spans="1:45" x14ac:dyDescent="0.3">
      <c r="A91" t="s">
        <v>3035</v>
      </c>
      <c r="B91" s="3">
        <v>8320.1299999999992</v>
      </c>
      <c r="C91" t="s">
        <v>2994</v>
      </c>
      <c r="F91" t="s">
        <v>2867</v>
      </c>
      <c r="G91" t="s">
        <v>2994</v>
      </c>
      <c r="H91" t="s">
        <v>3049</v>
      </c>
      <c r="I91" t="s">
        <v>3049</v>
      </c>
      <c r="K91" t="str">
        <f>IF(bs_acc[[#This Row],[BS_line]]=bs_acc[[#This Row],[BS_line2]],bs_acc[[#This Row],[BS_line]],bs_acc[[#This Row],[BS_line]]&amp;"_"&amp;bs_acc[[#This Row],[BS_line2]])</f>
        <v>Trade receivables</v>
      </c>
      <c r="AF91" s="101" t="s">
        <v>2936</v>
      </c>
      <c r="AG91">
        <v>-8793328.5299999993</v>
      </c>
      <c r="AH91" t="s">
        <v>3047</v>
      </c>
      <c r="AK91" t="s">
        <v>2965</v>
      </c>
      <c r="AL91" s="3">
        <v>-4902908.7300000004</v>
      </c>
      <c r="AM91" t="s">
        <v>3047</v>
      </c>
      <c r="AP91" s="92" t="s">
        <v>3031</v>
      </c>
      <c r="AQ91" s="97" t="s">
        <v>2994</v>
      </c>
      <c r="AR91" s="97" t="s">
        <v>3052</v>
      </c>
      <c r="AS91" s="97" t="s">
        <v>3052</v>
      </c>
    </row>
    <row r="92" spans="1:45" x14ac:dyDescent="0.3">
      <c r="A92" t="s">
        <v>2925</v>
      </c>
      <c r="B92" s="3">
        <v>-9824710.8100000005</v>
      </c>
      <c r="C92" t="s">
        <v>2994</v>
      </c>
      <c r="F92" t="s">
        <v>2868</v>
      </c>
      <c r="G92" t="s">
        <v>2994</v>
      </c>
      <c r="H92" t="s">
        <v>3049</v>
      </c>
      <c r="I92" t="s">
        <v>3049</v>
      </c>
      <c r="K92" t="str">
        <f>IF(bs_acc[[#This Row],[BS_line]]=bs_acc[[#This Row],[BS_line2]],bs_acc[[#This Row],[BS_line]],bs_acc[[#This Row],[BS_line]]&amp;"_"&amp;bs_acc[[#This Row],[BS_line2]])</f>
        <v>Trade receivables</v>
      </c>
      <c r="AF92" s="101" t="s">
        <v>2937</v>
      </c>
      <c r="AG92">
        <v>136824.1</v>
      </c>
      <c r="AH92" t="s">
        <v>3049</v>
      </c>
      <c r="AK92" t="s">
        <v>2966</v>
      </c>
      <c r="AL92" s="3">
        <v>-11342294.300000001</v>
      </c>
      <c r="AM92" t="s">
        <v>3047</v>
      </c>
      <c r="AP92" s="92" t="s">
        <v>2901</v>
      </c>
      <c r="AQ92" s="97" t="s">
        <v>2994</v>
      </c>
      <c r="AR92" s="97" t="s">
        <v>3052</v>
      </c>
      <c r="AS92" s="97" t="s">
        <v>3052</v>
      </c>
    </row>
    <row r="93" spans="1:45" x14ac:dyDescent="0.3">
      <c r="A93" t="s">
        <v>2927</v>
      </c>
      <c r="B93" s="3">
        <v>-2799882.79</v>
      </c>
      <c r="C93" t="s">
        <v>2994</v>
      </c>
      <c r="F93" t="s">
        <v>2869</v>
      </c>
      <c r="G93" t="s">
        <v>2994</v>
      </c>
      <c r="H93" t="s">
        <v>3049</v>
      </c>
      <c r="I93" t="s">
        <v>3049</v>
      </c>
      <c r="K93" t="str">
        <f>IF(bs_acc[[#This Row],[BS_line]]=bs_acc[[#This Row],[BS_line2]],bs_acc[[#This Row],[BS_line]],bs_acc[[#This Row],[BS_line]]&amp;"_"&amp;bs_acc[[#This Row],[BS_line2]])</f>
        <v>Trade receivables</v>
      </c>
      <c r="AF93" s="101" t="s">
        <v>2939</v>
      </c>
      <c r="AG93">
        <v>875550.32</v>
      </c>
      <c r="AH93" t="s">
        <v>3049</v>
      </c>
      <c r="AK93" t="s">
        <v>3030</v>
      </c>
      <c r="AL93" s="3">
        <v>102330.77</v>
      </c>
      <c r="AM93" t="s">
        <v>3049</v>
      </c>
      <c r="AP93" s="91" t="s">
        <v>2902</v>
      </c>
      <c r="AQ93" s="97"/>
      <c r="AR93" s="97"/>
      <c r="AS93" s="97"/>
    </row>
    <row r="94" spans="1:45" x14ac:dyDescent="0.3">
      <c r="A94" t="s">
        <v>3019</v>
      </c>
      <c r="B94" s="3">
        <v>-3637811.56</v>
      </c>
      <c r="C94" t="s">
        <v>2994</v>
      </c>
      <c r="F94" t="s">
        <v>2870</v>
      </c>
      <c r="K94">
        <f>IF(bs_acc[[#This Row],[BS_line]]=bs_acc[[#This Row],[BS_line2]],bs_acc[[#This Row],[BS_line]],bs_acc[[#This Row],[BS_line]]&amp;"_"&amp;bs_acc[[#This Row],[BS_line2]])</f>
        <v>0</v>
      </c>
      <c r="AF94" s="101" t="s">
        <v>2940</v>
      </c>
      <c r="AG94">
        <v>41384661.719999999</v>
      </c>
      <c r="AH94" t="s">
        <v>3069</v>
      </c>
      <c r="AK94" t="s">
        <v>2969</v>
      </c>
      <c r="AL94" s="3">
        <v>44150544.710000001</v>
      </c>
      <c r="AM94" t="s">
        <v>3088</v>
      </c>
      <c r="AP94" s="92" t="s">
        <v>2903</v>
      </c>
      <c r="AQ94" s="97" t="s">
        <v>2994</v>
      </c>
      <c r="AR94" s="97" t="s">
        <v>3052</v>
      </c>
      <c r="AS94" s="97" t="s">
        <v>3052</v>
      </c>
    </row>
    <row r="95" spans="1:45" x14ac:dyDescent="0.3">
      <c r="A95" t="s">
        <v>2928</v>
      </c>
      <c r="B95" s="3">
        <v>-65907.740000000005</v>
      </c>
      <c r="C95" t="s">
        <v>2994</v>
      </c>
      <c r="F95" t="s">
        <v>2871</v>
      </c>
      <c r="G95" t="s">
        <v>2994</v>
      </c>
      <c r="H95" t="s">
        <v>3049</v>
      </c>
      <c r="I95" t="s">
        <v>3049</v>
      </c>
      <c r="K95" t="str">
        <f>IF(bs_acc[[#This Row],[BS_line]]=bs_acc[[#This Row],[BS_line2]],bs_acc[[#This Row],[BS_line]],bs_acc[[#This Row],[BS_line]]&amp;"_"&amp;bs_acc[[#This Row],[BS_line2]])</f>
        <v>Trade receivables</v>
      </c>
      <c r="AF95" s="101" t="s">
        <v>2942</v>
      </c>
      <c r="AG95">
        <v>368420.07</v>
      </c>
      <c r="AH95" t="s">
        <v>3049</v>
      </c>
      <c r="AK95" t="s">
        <v>2970</v>
      </c>
      <c r="AL95" s="3">
        <v>2890.84</v>
      </c>
      <c r="AM95" t="s">
        <v>3088</v>
      </c>
      <c r="AP95" s="92" t="s">
        <v>2904</v>
      </c>
      <c r="AQ95" s="97" t="s">
        <v>2994</v>
      </c>
      <c r="AR95" s="97" t="s">
        <v>3052</v>
      </c>
      <c r="AS95" s="97" t="s">
        <v>3052</v>
      </c>
    </row>
    <row r="96" spans="1:45" x14ac:dyDescent="0.3">
      <c r="A96" t="s">
        <v>2929</v>
      </c>
      <c r="B96" s="3">
        <v>-6043333.6100000003</v>
      </c>
      <c r="C96" t="s">
        <v>2994</v>
      </c>
      <c r="F96" t="s">
        <v>2872</v>
      </c>
      <c r="G96" t="s">
        <v>2994</v>
      </c>
      <c r="H96" t="s">
        <v>3049</v>
      </c>
      <c r="I96" t="s">
        <v>3049</v>
      </c>
      <c r="K96" t="str">
        <f>IF(bs_acc[[#This Row],[BS_line]]=bs_acc[[#This Row],[BS_line2]],bs_acc[[#This Row],[BS_line]],bs_acc[[#This Row],[BS_line]]&amp;"_"&amp;bs_acc[[#This Row],[BS_line2]])</f>
        <v>Trade receivables</v>
      </c>
      <c r="AF96" s="101" t="s">
        <v>2944</v>
      </c>
      <c r="AG96">
        <v>2555400</v>
      </c>
      <c r="AH96" t="s">
        <v>3049</v>
      </c>
      <c r="AK96" t="s">
        <v>2971</v>
      </c>
      <c r="AL96" s="3">
        <v>-703324141.42999995</v>
      </c>
      <c r="AM96" t="s">
        <v>3074</v>
      </c>
      <c r="AP96" s="92" t="s">
        <v>2905</v>
      </c>
      <c r="AQ96" s="97" t="s">
        <v>2994</v>
      </c>
      <c r="AR96" s="97" t="s">
        <v>3052</v>
      </c>
      <c r="AS96" s="97" t="s">
        <v>3052</v>
      </c>
    </row>
    <row r="97" spans="1:45" x14ac:dyDescent="0.3">
      <c r="A97" t="s">
        <v>2931</v>
      </c>
      <c r="B97" s="3">
        <v>-32700.27</v>
      </c>
      <c r="C97" t="s">
        <v>2994</v>
      </c>
      <c r="F97" t="s">
        <v>2873</v>
      </c>
      <c r="K97">
        <f>IF(bs_acc[[#This Row],[BS_line]]=bs_acc[[#This Row],[BS_line2]],bs_acc[[#This Row],[BS_line]],bs_acc[[#This Row],[BS_line]]&amp;"_"&amp;bs_acc[[#This Row],[BS_line2]])</f>
        <v>0</v>
      </c>
      <c r="AF97" s="101" t="s">
        <v>2945</v>
      </c>
      <c r="AG97">
        <v>963646.44</v>
      </c>
      <c r="AH97" t="s">
        <v>3049</v>
      </c>
      <c r="AK97" t="s">
        <v>3042</v>
      </c>
      <c r="AL97" s="3">
        <v>-558242000.52999997</v>
      </c>
      <c r="AM97" t="s">
        <v>3057</v>
      </c>
      <c r="AP97" s="92" t="s">
        <v>3032</v>
      </c>
      <c r="AQ97" s="97" t="s">
        <v>2994</v>
      </c>
      <c r="AR97" s="97" t="s">
        <v>3052</v>
      </c>
      <c r="AS97" s="97" t="s">
        <v>3052</v>
      </c>
    </row>
    <row r="98" spans="1:45" x14ac:dyDescent="0.3">
      <c r="A98" t="s">
        <v>2933</v>
      </c>
      <c r="B98" s="3">
        <v>571103.69999999995</v>
      </c>
      <c r="C98" t="s">
        <v>2994</v>
      </c>
      <c r="F98" t="s">
        <v>2874</v>
      </c>
      <c r="G98" t="s">
        <v>2994</v>
      </c>
      <c r="H98" t="s">
        <v>3049</v>
      </c>
      <c r="I98" t="s">
        <v>3049</v>
      </c>
      <c r="K98" t="str">
        <f>IF(bs_acc[[#This Row],[BS_line]]=bs_acc[[#This Row],[BS_line2]],bs_acc[[#This Row],[BS_line]],bs_acc[[#This Row],[BS_line]]&amp;"_"&amp;bs_acc[[#This Row],[BS_line2]])</f>
        <v>Trade receivables</v>
      </c>
      <c r="AF98" s="101" t="s">
        <v>2946</v>
      </c>
      <c r="AG98">
        <v>1064067.1499999999</v>
      </c>
      <c r="AH98" t="s">
        <v>3049</v>
      </c>
      <c r="AK98" t="s">
        <v>3093</v>
      </c>
      <c r="AL98" s="3">
        <v>-278000000</v>
      </c>
      <c r="AM98" t="s">
        <v>3057</v>
      </c>
      <c r="AP98" s="92" t="s">
        <v>2906</v>
      </c>
      <c r="AQ98" s="97" t="s">
        <v>2994</v>
      </c>
      <c r="AR98" s="97" t="s">
        <v>3052</v>
      </c>
      <c r="AS98" s="97" t="s">
        <v>3052</v>
      </c>
    </row>
    <row r="99" spans="1:45" x14ac:dyDescent="0.3">
      <c r="A99" t="s">
        <v>2936</v>
      </c>
      <c r="B99" s="3">
        <v>-10079439.140000001</v>
      </c>
      <c r="C99" t="s">
        <v>2994</v>
      </c>
      <c r="F99" t="s">
        <v>2875</v>
      </c>
      <c r="G99" t="s">
        <v>2994</v>
      </c>
      <c r="H99" t="s">
        <v>3049</v>
      </c>
      <c r="I99" t="s">
        <v>3049</v>
      </c>
      <c r="K99" t="str">
        <f>IF(bs_acc[[#This Row],[BS_line]]=bs_acc[[#This Row],[BS_line2]],bs_acc[[#This Row],[BS_line]],bs_acc[[#This Row],[BS_line]]&amp;"_"&amp;bs_acc[[#This Row],[BS_line2]])</f>
        <v>Trade receivables</v>
      </c>
      <c r="AF99" s="101" t="s">
        <v>2947</v>
      </c>
      <c r="AG99">
        <v>10000</v>
      </c>
      <c r="AH99" t="s">
        <v>3069</v>
      </c>
      <c r="AK99" t="s">
        <v>2977</v>
      </c>
      <c r="AL99" s="3">
        <v>-361097776.74000001</v>
      </c>
      <c r="AM99" t="s">
        <v>3057</v>
      </c>
      <c r="AP99" s="91" t="s">
        <v>3038</v>
      </c>
      <c r="AQ99" s="97"/>
      <c r="AR99" s="97"/>
      <c r="AS99" s="97"/>
    </row>
    <row r="100" spans="1:45" x14ac:dyDescent="0.3">
      <c r="A100" t="s">
        <v>2937</v>
      </c>
      <c r="B100" s="3">
        <v>136824.1</v>
      </c>
      <c r="C100" t="s">
        <v>2994</v>
      </c>
      <c r="F100" t="s">
        <v>2876</v>
      </c>
      <c r="G100" t="s">
        <v>2994</v>
      </c>
      <c r="H100" t="s">
        <v>3049</v>
      </c>
      <c r="I100" t="s">
        <v>3049</v>
      </c>
      <c r="K100" t="str">
        <f>IF(bs_acc[[#This Row],[BS_line]]=bs_acc[[#This Row],[BS_line2]],bs_acc[[#This Row],[BS_line]],bs_acc[[#This Row],[BS_line]]&amp;"_"&amp;bs_acc[[#This Row],[BS_line2]])</f>
        <v>Trade receivables</v>
      </c>
      <c r="AF100" s="101" t="s">
        <v>2948</v>
      </c>
      <c r="AG100">
        <v>-0.02</v>
      </c>
      <c r="AH100" t="s">
        <v>3047</v>
      </c>
      <c r="AK100" t="s">
        <v>3094</v>
      </c>
      <c r="AL100" s="3">
        <v>-703237057.49000001</v>
      </c>
      <c r="AM100" t="s">
        <v>3058</v>
      </c>
      <c r="AP100" s="95" t="s">
        <v>3109</v>
      </c>
      <c r="AQ100" s="97" t="s">
        <v>2994</v>
      </c>
      <c r="AR100" s="97" t="s">
        <v>3052</v>
      </c>
      <c r="AS100" s="97" t="s">
        <v>3052</v>
      </c>
    </row>
    <row r="101" spans="1:45" x14ac:dyDescent="0.3">
      <c r="A101" t="s">
        <v>2939</v>
      </c>
      <c r="B101" s="3">
        <v>3292332.63</v>
      </c>
      <c r="C101" t="s">
        <v>2994</v>
      </c>
      <c r="F101" t="s">
        <v>2877</v>
      </c>
      <c r="G101" t="s">
        <v>2994</v>
      </c>
      <c r="H101" t="s">
        <v>3049</v>
      </c>
      <c r="I101" t="s">
        <v>3049</v>
      </c>
      <c r="K101" t="str">
        <f>IF(bs_acc[[#This Row],[BS_line]]=bs_acc[[#This Row],[BS_line2]],bs_acc[[#This Row],[BS_line]],bs_acc[[#This Row],[BS_line]]&amp;"_"&amp;bs_acc[[#This Row],[BS_line2]])</f>
        <v>Trade receivables</v>
      </c>
      <c r="AF101" s="101" t="s">
        <v>2950</v>
      </c>
      <c r="AG101">
        <v>-25260626.91</v>
      </c>
      <c r="AH101" t="s">
        <v>3061</v>
      </c>
      <c r="AK101" t="s">
        <v>2979</v>
      </c>
      <c r="AL101" s="3">
        <v>431693645.06</v>
      </c>
      <c r="AM101" t="s">
        <v>3058</v>
      </c>
      <c r="AP101" s="91" t="s">
        <v>3040</v>
      </c>
      <c r="AQ101" s="97"/>
      <c r="AR101" s="97"/>
      <c r="AS101" s="97"/>
    </row>
    <row r="102" spans="1:45" x14ac:dyDescent="0.3">
      <c r="A102" t="s">
        <v>2940</v>
      </c>
      <c r="B102" s="3">
        <v>42326862.93</v>
      </c>
      <c r="C102" t="s">
        <v>2994</v>
      </c>
      <c r="F102" t="s">
        <v>2878</v>
      </c>
      <c r="K102">
        <f>IF(bs_acc[[#This Row],[BS_line]]=bs_acc[[#This Row],[BS_line2]],bs_acc[[#This Row],[BS_line]],bs_acc[[#This Row],[BS_line]]&amp;"_"&amp;bs_acc[[#This Row],[BS_line2]])</f>
        <v>0</v>
      </c>
      <c r="AF102" s="101" t="s">
        <v>2951</v>
      </c>
      <c r="AG102">
        <v>3914.4</v>
      </c>
      <c r="AH102" t="s">
        <v>3049</v>
      </c>
      <c r="AK102" t="s">
        <v>2982</v>
      </c>
      <c r="AL102" s="3">
        <v>-26123543.800000001</v>
      </c>
      <c r="AM102" t="s">
        <v>3059</v>
      </c>
      <c r="AP102" s="92" t="s">
        <v>3110</v>
      </c>
      <c r="AQ102" s="97" t="s">
        <v>2994</v>
      </c>
      <c r="AR102" s="97" t="s">
        <v>3052</v>
      </c>
      <c r="AS102" s="97" t="s">
        <v>3052</v>
      </c>
    </row>
    <row r="103" spans="1:45" x14ac:dyDescent="0.3">
      <c r="A103" t="s">
        <v>2942</v>
      </c>
      <c r="B103" s="3">
        <v>324795.78999999998</v>
      </c>
      <c r="C103" t="s">
        <v>2994</v>
      </c>
      <c r="F103" t="s">
        <v>2879</v>
      </c>
      <c r="G103" t="s">
        <v>2994</v>
      </c>
      <c r="H103" s="86" t="s">
        <v>3050</v>
      </c>
      <c r="I103" s="86" t="s">
        <v>3050</v>
      </c>
      <c r="K103" t="str">
        <f>IF(bs_acc[[#This Row],[BS_line]]=bs_acc[[#This Row],[BS_line2]],bs_acc[[#This Row],[BS_line]],bs_acc[[#This Row],[BS_line]]&amp;"_"&amp;bs_acc[[#This Row],[BS_line2]])</f>
        <v>Advances from clients</v>
      </c>
      <c r="AF103" s="101" t="s">
        <v>3021</v>
      </c>
      <c r="AG103">
        <v>374431.08</v>
      </c>
      <c r="AH103" t="s">
        <v>3049</v>
      </c>
      <c r="AK103" t="s">
        <v>2983</v>
      </c>
      <c r="AL103" s="3">
        <v>-6494764.1299999999</v>
      </c>
      <c r="AM103" t="s">
        <v>3059</v>
      </c>
      <c r="AP103" s="90" t="s">
        <v>2907</v>
      </c>
      <c r="AQ103" s="97"/>
      <c r="AR103" s="97"/>
      <c r="AS103" s="97"/>
    </row>
    <row r="104" spans="1:45" x14ac:dyDescent="0.3">
      <c r="A104" t="s">
        <v>2944</v>
      </c>
      <c r="B104" s="3">
        <v>2253850</v>
      </c>
      <c r="C104" t="s">
        <v>2994</v>
      </c>
      <c r="F104" t="s">
        <v>2880</v>
      </c>
      <c r="K104">
        <f>IF(bs_acc[[#This Row],[BS_line]]=bs_acc[[#This Row],[BS_line2]],bs_acc[[#This Row],[BS_line]],bs_acc[[#This Row],[BS_line]]&amp;"_"&amp;bs_acc[[#This Row],[BS_line2]])</f>
        <v>0</v>
      </c>
      <c r="AF104" s="101" t="s">
        <v>2957</v>
      </c>
      <c r="AG104">
        <v>-75217477.700000003</v>
      </c>
      <c r="AH104" t="s">
        <v>3073</v>
      </c>
      <c r="AK104" t="s">
        <v>2986</v>
      </c>
      <c r="AL104" s="3">
        <v>76424289.540000007</v>
      </c>
      <c r="AM104" t="s">
        <v>3053</v>
      </c>
      <c r="AP104" s="91" t="s">
        <v>2908</v>
      </c>
      <c r="AQ104" s="97"/>
      <c r="AR104" s="97"/>
      <c r="AS104" s="97"/>
    </row>
    <row r="105" spans="1:45" x14ac:dyDescent="0.3">
      <c r="A105" t="s">
        <v>2945</v>
      </c>
      <c r="B105" s="3">
        <v>365480.06</v>
      </c>
      <c r="C105" t="s">
        <v>2994</v>
      </c>
      <c r="F105" t="s">
        <v>2881</v>
      </c>
      <c r="G105" t="s">
        <v>2994</v>
      </c>
      <c r="H105" t="s">
        <v>3049</v>
      </c>
      <c r="I105" t="s">
        <v>3049</v>
      </c>
      <c r="K105" t="str">
        <f>IF(bs_acc[[#This Row],[BS_line]]=bs_acc[[#This Row],[BS_line2]],bs_acc[[#This Row],[BS_line]],bs_acc[[#This Row],[BS_line]]&amp;"_"&amp;bs_acc[[#This Row],[BS_line2]])</f>
        <v>Trade receivables</v>
      </c>
      <c r="AF105" s="101" t="s">
        <v>2959</v>
      </c>
      <c r="AG105">
        <v>5951514.3799999999</v>
      </c>
      <c r="AH105" t="s">
        <v>3073</v>
      </c>
      <c r="AK105" t="s">
        <v>2993</v>
      </c>
      <c r="AL105" s="3">
        <v>-140452852.65000001</v>
      </c>
      <c r="AM105" t="s">
        <v>3058</v>
      </c>
      <c r="AP105" s="92" t="s">
        <v>2909</v>
      </c>
      <c r="AQ105" s="97" t="s">
        <v>2994</v>
      </c>
      <c r="AR105" s="97" t="s">
        <v>3051</v>
      </c>
      <c r="AS105" s="97" t="s">
        <v>3051</v>
      </c>
    </row>
    <row r="106" spans="1:45" x14ac:dyDescent="0.3">
      <c r="A106" t="s">
        <v>2946</v>
      </c>
      <c r="B106" s="3">
        <v>1064067.1499999999</v>
      </c>
      <c r="C106" t="s">
        <v>2994</v>
      </c>
      <c r="F106" t="s">
        <v>2882</v>
      </c>
      <c r="G106" t="s">
        <v>2994</v>
      </c>
      <c r="H106" t="s">
        <v>3049</v>
      </c>
      <c r="I106" t="s">
        <v>3049</v>
      </c>
      <c r="K106" t="str">
        <f>IF(bs_acc[[#This Row],[BS_line]]=bs_acc[[#This Row],[BS_line2]],bs_acc[[#This Row],[BS_line]],bs_acc[[#This Row],[BS_line]]&amp;"_"&amp;bs_acc[[#This Row],[BS_line2]])</f>
        <v>Trade receivables</v>
      </c>
      <c r="AF106" s="101" t="s">
        <v>2960</v>
      </c>
      <c r="AG106">
        <v>11112104.4</v>
      </c>
      <c r="AH106" t="s">
        <v>3073</v>
      </c>
      <c r="AP106" s="92" t="s">
        <v>2910</v>
      </c>
      <c r="AQ106" s="97" t="s">
        <v>2994</v>
      </c>
      <c r="AR106" s="97" t="s">
        <v>3051</v>
      </c>
      <c r="AS106" s="97" t="s">
        <v>3051</v>
      </c>
    </row>
    <row r="107" spans="1:45" x14ac:dyDescent="0.3">
      <c r="A107" t="s">
        <v>2947</v>
      </c>
      <c r="B107" s="3">
        <v>10000</v>
      </c>
      <c r="C107" t="s">
        <v>2994</v>
      </c>
      <c r="F107" t="s">
        <v>3017</v>
      </c>
      <c r="G107" t="s">
        <v>2994</v>
      </c>
      <c r="H107" t="s">
        <v>3049</v>
      </c>
      <c r="I107" t="s">
        <v>3049</v>
      </c>
      <c r="K107" t="str">
        <f>IF(bs_acc[[#This Row],[BS_line]]=bs_acc[[#This Row],[BS_line2]],bs_acc[[#This Row],[BS_line]],bs_acc[[#This Row],[BS_line]]&amp;"_"&amp;bs_acc[[#This Row],[BS_line2]])</f>
        <v>Trade receivables</v>
      </c>
      <c r="AF107" s="101" t="s">
        <v>2962</v>
      </c>
      <c r="AG107">
        <v>2773047</v>
      </c>
      <c r="AH107" t="s">
        <v>3049</v>
      </c>
      <c r="AP107" s="90" t="s">
        <v>2911</v>
      </c>
      <c r="AQ107" s="97"/>
      <c r="AR107" s="97"/>
      <c r="AS107" s="97"/>
    </row>
    <row r="108" spans="1:45" x14ac:dyDescent="0.3">
      <c r="A108" t="s">
        <v>2948</v>
      </c>
      <c r="B108" s="3">
        <v>-0.01</v>
      </c>
      <c r="C108" t="s">
        <v>2994</v>
      </c>
      <c r="F108" t="s">
        <v>2883</v>
      </c>
      <c r="G108" t="s">
        <v>2994</v>
      </c>
      <c r="H108" t="s">
        <v>3049</v>
      </c>
      <c r="I108" t="s">
        <v>3049</v>
      </c>
      <c r="K108" t="str">
        <f>IF(bs_acc[[#This Row],[BS_line]]=bs_acc[[#This Row],[BS_line2]],bs_acc[[#This Row],[BS_line]],bs_acc[[#This Row],[BS_line]]&amp;"_"&amp;bs_acc[[#This Row],[BS_line2]])</f>
        <v>Trade receivables</v>
      </c>
      <c r="AF108" s="101" t="s">
        <v>2963</v>
      </c>
      <c r="AG108">
        <v>3385296.48</v>
      </c>
      <c r="AH108" t="s">
        <v>3049</v>
      </c>
      <c r="AP108" s="91" t="s">
        <v>2912</v>
      </c>
      <c r="AQ108" s="97"/>
      <c r="AR108" s="97"/>
      <c r="AS108" s="97"/>
    </row>
    <row r="109" spans="1:45" x14ac:dyDescent="0.3">
      <c r="A109" t="s">
        <v>2950</v>
      </c>
      <c r="B109" s="3">
        <v>-23649698.98</v>
      </c>
      <c r="C109" t="s">
        <v>2994</v>
      </c>
      <c r="F109" t="s">
        <v>2884</v>
      </c>
      <c r="K109">
        <f>IF(bs_acc[[#This Row],[BS_line]]=bs_acc[[#This Row],[BS_line2]],bs_acc[[#This Row],[BS_line]],bs_acc[[#This Row],[BS_line]]&amp;"_"&amp;bs_acc[[#This Row],[BS_line2]])</f>
        <v>0</v>
      </c>
      <c r="AF109" s="101" t="s">
        <v>2964</v>
      </c>
      <c r="AG109">
        <v>7150532.6799999997</v>
      </c>
      <c r="AH109" t="s">
        <v>3049</v>
      </c>
      <c r="AP109" s="92" t="s">
        <v>3018</v>
      </c>
      <c r="AQ109" s="97" t="s">
        <v>2994</v>
      </c>
      <c r="AR109" s="97" t="s">
        <v>3053</v>
      </c>
      <c r="AS109" s="97" t="s">
        <v>3087</v>
      </c>
    </row>
    <row r="110" spans="1:45" x14ac:dyDescent="0.3">
      <c r="A110" t="s">
        <v>2951</v>
      </c>
      <c r="B110" s="3">
        <v>3914.4</v>
      </c>
      <c r="C110" t="s">
        <v>2994</v>
      </c>
      <c r="F110" t="s">
        <v>2885</v>
      </c>
      <c r="G110" t="s">
        <v>2994</v>
      </c>
      <c r="H110" s="86" t="s">
        <v>3050</v>
      </c>
      <c r="I110" s="86" t="s">
        <v>3050</v>
      </c>
      <c r="K110" t="str">
        <f>IF(bs_acc[[#This Row],[BS_line]]=bs_acc[[#This Row],[BS_line2]],bs_acc[[#This Row],[BS_line]],bs_acc[[#This Row],[BS_line]]&amp;"_"&amp;bs_acc[[#This Row],[BS_line2]])</f>
        <v>Advances from clients</v>
      </c>
      <c r="AF110" s="101" t="s">
        <v>2965</v>
      </c>
      <c r="AG110">
        <v>-15314355.93</v>
      </c>
      <c r="AH110" t="s">
        <v>3047</v>
      </c>
      <c r="AP110" s="92" t="s">
        <v>2913</v>
      </c>
      <c r="AQ110" s="97" t="s">
        <v>2994</v>
      </c>
      <c r="AR110" s="97" t="s">
        <v>3053</v>
      </c>
      <c r="AS110" s="97" t="s">
        <v>3087</v>
      </c>
    </row>
    <row r="111" spans="1:45" x14ac:dyDescent="0.3">
      <c r="A111" t="s">
        <v>2953</v>
      </c>
      <c r="C111" t="s">
        <v>2994</v>
      </c>
      <c r="F111" t="s">
        <v>2886</v>
      </c>
      <c r="G111" t="s">
        <v>2994</v>
      </c>
      <c r="H111" t="s">
        <v>3049</v>
      </c>
      <c r="I111" s="86" t="s">
        <v>3047</v>
      </c>
      <c r="K111" t="str">
        <f>IF(bs_acc[[#This Row],[BS_line]]=bs_acc[[#This Row],[BS_line2]],bs_acc[[#This Row],[BS_line]],bs_acc[[#This Row],[BS_line]]&amp;"_"&amp;bs_acc[[#This Row],[BS_line2]])</f>
        <v>Trade receivables_Trade payables</v>
      </c>
      <c r="AF111" s="101" t="s">
        <v>2966</v>
      </c>
      <c r="AG111">
        <v>-13794828.619999999</v>
      </c>
      <c r="AH111" t="s">
        <v>3047</v>
      </c>
      <c r="AP111" s="91" t="s">
        <v>2914</v>
      </c>
      <c r="AQ111" s="97" t="s">
        <v>2994</v>
      </c>
      <c r="AR111" s="97" t="s">
        <v>3088</v>
      </c>
      <c r="AS111" s="97" t="s">
        <v>3087</v>
      </c>
    </row>
    <row r="112" spans="1:45" x14ac:dyDescent="0.3">
      <c r="A112" t="s">
        <v>2954</v>
      </c>
      <c r="C112" t="s">
        <v>2994</v>
      </c>
      <c r="F112" t="s">
        <v>2887</v>
      </c>
      <c r="K112">
        <f>IF(bs_acc[[#This Row],[BS_line]]=bs_acc[[#This Row],[BS_line2]],bs_acc[[#This Row],[BS_line]],bs_acc[[#This Row],[BS_line]]&amp;"_"&amp;bs_acc[[#This Row],[BS_line2]])</f>
        <v>0</v>
      </c>
      <c r="AF112" s="101" t="s">
        <v>2968</v>
      </c>
      <c r="AG112">
        <v>-5471000</v>
      </c>
      <c r="AH112" t="s">
        <v>3059</v>
      </c>
      <c r="AP112" s="91" t="s">
        <v>2915</v>
      </c>
      <c r="AQ112" s="97"/>
      <c r="AR112" s="97"/>
      <c r="AS112" s="97"/>
    </row>
    <row r="113" spans="1:45" x14ac:dyDescent="0.3">
      <c r="A113" t="s">
        <v>3021</v>
      </c>
      <c r="B113" s="3">
        <v>374431.08</v>
      </c>
      <c r="C113" t="s">
        <v>2994</v>
      </c>
      <c r="F113" t="s">
        <v>2888</v>
      </c>
      <c r="G113" t="s">
        <v>2994</v>
      </c>
      <c r="H113" t="s">
        <v>3071</v>
      </c>
      <c r="I113" t="s">
        <v>3071</v>
      </c>
      <c r="K113" t="str">
        <f>IF(bs_acc[[#This Row],[BS_line]]=bs_acc[[#This Row],[BS_line2]],bs_acc[[#This Row],[BS_line]],bs_acc[[#This Row],[BS_line]]&amp;"_"&amp;bs_acc[[#This Row],[BS_line2]])</f>
        <v>LossalowanceOther</v>
      </c>
      <c r="AF113" s="101" t="s">
        <v>3030</v>
      </c>
      <c r="AG113">
        <v>253356.04</v>
      </c>
      <c r="AH113" t="s">
        <v>3049</v>
      </c>
      <c r="AP113" s="92" t="s">
        <v>2916</v>
      </c>
      <c r="AQ113" s="97" t="s">
        <v>2994</v>
      </c>
      <c r="AR113" s="97" t="s">
        <v>3054</v>
      </c>
      <c r="AS113" s="97" t="s">
        <v>3055</v>
      </c>
    </row>
    <row r="114" spans="1:45" x14ac:dyDescent="0.3">
      <c r="A114" t="s">
        <v>2955</v>
      </c>
      <c r="C114" t="s">
        <v>2994</v>
      </c>
      <c r="F114" t="s">
        <v>2889</v>
      </c>
      <c r="K114">
        <f>IF(bs_acc[[#This Row],[BS_line]]=bs_acc[[#This Row],[BS_line2]],bs_acc[[#This Row],[BS_line]],bs_acc[[#This Row],[BS_line]]&amp;"_"&amp;bs_acc[[#This Row],[BS_line2]])</f>
        <v>0</v>
      </c>
      <c r="AF114" s="101" t="s">
        <v>3022</v>
      </c>
      <c r="AG114">
        <v>-121215.69</v>
      </c>
      <c r="AH114" t="s">
        <v>3047</v>
      </c>
      <c r="AP114" s="92" t="s">
        <v>3104</v>
      </c>
      <c r="AQ114" s="97" t="s">
        <v>2994</v>
      </c>
      <c r="AR114" s="97" t="s">
        <v>3054</v>
      </c>
      <c r="AS114" s="97" t="s">
        <v>3055</v>
      </c>
    </row>
    <row r="115" spans="1:45" x14ac:dyDescent="0.3">
      <c r="A115" t="s">
        <v>2957</v>
      </c>
      <c r="B115" s="3">
        <v>-69048660.599999994</v>
      </c>
      <c r="C115" t="s">
        <v>2994</v>
      </c>
      <c r="F115" t="s">
        <v>2890</v>
      </c>
      <c r="K115">
        <f>IF(bs_acc[[#This Row],[BS_line]]=bs_acc[[#This Row],[BS_line2]],bs_acc[[#This Row],[BS_line]],bs_acc[[#This Row],[BS_line]]&amp;"_"&amp;bs_acc[[#This Row],[BS_line2]])</f>
        <v>0</v>
      </c>
      <c r="AF115" s="101" t="s">
        <v>2969</v>
      </c>
      <c r="AG115">
        <v>46361977.450000003</v>
      </c>
      <c r="AH115" t="s">
        <v>3088</v>
      </c>
      <c r="AP115" s="91" t="s">
        <v>2917</v>
      </c>
      <c r="AQ115" s="97" t="s">
        <v>2994</v>
      </c>
      <c r="AR115" s="97" t="s">
        <v>3088</v>
      </c>
      <c r="AS115" s="97" t="s">
        <v>3087</v>
      </c>
    </row>
    <row r="116" spans="1:45" x14ac:dyDescent="0.3">
      <c r="A116" t="s">
        <v>2958</v>
      </c>
      <c r="B116" s="3">
        <v>-2778026.1</v>
      </c>
      <c r="C116" t="s">
        <v>2994</v>
      </c>
      <c r="F116" t="s">
        <v>2891</v>
      </c>
      <c r="G116" t="s">
        <v>2994</v>
      </c>
      <c r="H116" t="s">
        <v>3091</v>
      </c>
      <c r="I116" t="s">
        <v>3091</v>
      </c>
      <c r="K116" t="str">
        <f>IF(bs_acc[[#This Row],[BS_line]]=bs_acc[[#This Row],[BS_line2]],bs_acc[[#This Row],[BS_line]],bs_acc[[#This Row],[BS_line]]&amp;"_"&amp;bs_acc[[#This Row],[BS_line2]])</f>
        <v>LossalowanceFL_LT</v>
      </c>
      <c r="AF116" s="101" t="s">
        <v>2971</v>
      </c>
      <c r="AG116">
        <v>-505770859.89999998</v>
      </c>
      <c r="AH116" t="s">
        <v>3074</v>
      </c>
      <c r="AP116" s="91" t="s">
        <v>2918</v>
      </c>
      <c r="AQ116" s="97" t="s">
        <v>2994</v>
      </c>
      <c r="AR116" s="97" t="s">
        <v>3088</v>
      </c>
      <c r="AS116" s="97" t="s">
        <v>3087</v>
      </c>
    </row>
    <row r="117" spans="1:45" x14ac:dyDescent="0.3">
      <c r="A117" t="s">
        <v>2959</v>
      </c>
      <c r="B117" s="3">
        <v>5247467.29</v>
      </c>
      <c r="C117" t="s">
        <v>2994</v>
      </c>
      <c r="F117" t="s">
        <v>2892</v>
      </c>
      <c r="G117" t="s">
        <v>2994</v>
      </c>
      <c r="H117" t="s">
        <v>3092</v>
      </c>
      <c r="I117" t="s">
        <v>3092</v>
      </c>
      <c r="K117" t="str">
        <f>IF(bs_acc[[#This Row],[BS_line]]=bs_acc[[#This Row],[BS_line2]],bs_acc[[#This Row],[BS_line]],bs_acc[[#This Row],[BS_line]]&amp;"_"&amp;bs_acc[[#This Row],[BS_line2]])</f>
        <v>LossalowanceFL_ST</v>
      </c>
      <c r="AF117" s="101" t="s">
        <v>2973</v>
      </c>
      <c r="AG117">
        <v>-62716098</v>
      </c>
      <c r="AH117" t="s">
        <v>3057</v>
      </c>
      <c r="AP117" s="91" t="s">
        <v>2919</v>
      </c>
      <c r="AQ117" s="97" t="s">
        <v>2994</v>
      </c>
      <c r="AR117" s="97" t="s">
        <v>3088</v>
      </c>
      <c r="AS117" s="97" t="s">
        <v>3087</v>
      </c>
    </row>
    <row r="118" spans="1:45" x14ac:dyDescent="0.3">
      <c r="A118" t="s">
        <v>2960</v>
      </c>
      <c r="B118" s="3">
        <v>10649100.050000001</v>
      </c>
      <c r="C118" t="s">
        <v>2994</v>
      </c>
      <c r="F118" t="s">
        <v>2893</v>
      </c>
      <c r="K118">
        <f>IF(bs_acc[[#This Row],[BS_line]]=bs_acc[[#This Row],[BS_line2]],bs_acc[[#This Row],[BS_line]],bs_acc[[#This Row],[BS_line]]&amp;"_"&amp;bs_acc[[#This Row],[BS_line2]])</f>
        <v>0</v>
      </c>
      <c r="AF118" s="101" t="s">
        <v>2974</v>
      </c>
      <c r="AG118">
        <v>-503613000</v>
      </c>
      <c r="AH118" t="s">
        <v>3057</v>
      </c>
      <c r="AP118" s="91" t="s">
        <v>2920</v>
      </c>
      <c r="AQ118" s="97" t="s">
        <v>2994</v>
      </c>
      <c r="AR118" s="97" t="s">
        <v>3088</v>
      </c>
      <c r="AS118" s="97" t="s">
        <v>3087</v>
      </c>
    </row>
    <row r="119" spans="1:45" x14ac:dyDescent="0.3">
      <c r="A119" t="s">
        <v>2962</v>
      </c>
      <c r="B119" s="3">
        <v>2821615.27</v>
      </c>
      <c r="C119" t="s">
        <v>2994</v>
      </c>
      <c r="F119" t="s">
        <v>2894</v>
      </c>
      <c r="K119">
        <f>IF(bs_acc[[#This Row],[BS_line]]=bs_acc[[#This Row],[BS_line2]],bs_acc[[#This Row],[BS_line]],bs_acc[[#This Row],[BS_line]]&amp;"_"&amp;bs_acc[[#This Row],[BS_line2]])</f>
        <v>0</v>
      </c>
      <c r="AF119" s="101" t="s">
        <v>2975</v>
      </c>
      <c r="AG119">
        <v>-578000000</v>
      </c>
      <c r="AH119" t="s">
        <v>3075</v>
      </c>
      <c r="AP119" s="91" t="s">
        <v>2921</v>
      </c>
      <c r="AQ119" s="97" t="s">
        <v>2994</v>
      </c>
      <c r="AR119" s="97" t="s">
        <v>3088</v>
      </c>
      <c r="AS119" s="97" t="s">
        <v>3087</v>
      </c>
    </row>
    <row r="120" spans="1:45" x14ac:dyDescent="0.3">
      <c r="A120" t="s">
        <v>2963</v>
      </c>
      <c r="B120" s="3">
        <v>2678305.69</v>
      </c>
      <c r="C120" t="s">
        <v>2994</v>
      </c>
      <c r="F120" t="s">
        <v>2895</v>
      </c>
      <c r="G120" t="s">
        <v>2994</v>
      </c>
      <c r="H120" t="s">
        <v>3070</v>
      </c>
      <c r="I120" t="s">
        <v>3070</v>
      </c>
      <c r="K120" t="str">
        <f>IF(bs_acc[[#This Row],[BS_line]]=bs_acc[[#This Row],[BS_line2]],bs_acc[[#This Row],[BS_line]],bs_acc[[#This Row],[BS_line]]&amp;"_"&amp;bs_acc[[#This Row],[BS_line2]])</f>
        <v>LossalowanceOL</v>
      </c>
      <c r="AF120" s="101" t="s">
        <v>2977</v>
      </c>
      <c r="AG120">
        <v>-205639000</v>
      </c>
      <c r="AH120" t="s">
        <v>3057</v>
      </c>
      <c r="AP120" s="91" t="s">
        <v>3111</v>
      </c>
      <c r="AQ120" s="97" t="s">
        <v>2994</v>
      </c>
      <c r="AR120" s="97" t="s">
        <v>3088</v>
      </c>
      <c r="AS120" s="97" t="s">
        <v>3087</v>
      </c>
    </row>
    <row r="121" spans="1:45" x14ac:dyDescent="0.3">
      <c r="A121" t="s">
        <v>2964</v>
      </c>
      <c r="B121" s="3">
        <v>45838.1</v>
      </c>
      <c r="C121" t="s">
        <v>2994</v>
      </c>
      <c r="F121" t="s">
        <v>2896</v>
      </c>
      <c r="K121">
        <f>IF(bs_acc[[#This Row],[BS_line]]=bs_acc[[#This Row],[BS_line2]],bs_acc[[#This Row],[BS_line]],bs_acc[[#This Row],[BS_line]]&amp;"_"&amp;bs_acc[[#This Row],[BS_line2]])</f>
        <v>0</v>
      </c>
      <c r="AF121" s="101" t="s">
        <v>3094</v>
      </c>
      <c r="AG121">
        <v>-863513892.45000005</v>
      </c>
      <c r="AH121" t="s">
        <v>3058</v>
      </c>
      <c r="AP121" s="90" t="s">
        <v>2922</v>
      </c>
      <c r="AQ121" s="97"/>
      <c r="AR121" s="97"/>
      <c r="AS121" s="97"/>
    </row>
    <row r="122" spans="1:45" x14ac:dyDescent="0.3">
      <c r="A122" t="s">
        <v>2965</v>
      </c>
      <c r="B122" s="3">
        <v>-4902908.7300000004</v>
      </c>
      <c r="C122" t="s">
        <v>2994</v>
      </c>
      <c r="F122" t="s">
        <v>2897</v>
      </c>
      <c r="K122">
        <f>IF(bs_acc[[#This Row],[BS_line]]=bs_acc[[#This Row],[BS_line2]],bs_acc[[#This Row],[BS_line]],bs_acc[[#This Row],[BS_line]]&amp;"_"&amp;bs_acc[[#This Row],[BS_line2]])</f>
        <v>0</v>
      </c>
      <c r="AF122" s="101" t="s">
        <v>2979</v>
      </c>
      <c r="AG122">
        <v>711724399.10000002</v>
      </c>
      <c r="AH122" t="s">
        <v>3058</v>
      </c>
      <c r="AP122" s="91" t="s">
        <v>2923</v>
      </c>
      <c r="AQ122" s="97" t="s">
        <v>2994</v>
      </c>
      <c r="AR122" s="97" t="s">
        <v>3088</v>
      </c>
      <c r="AS122" s="97" t="s">
        <v>3087</v>
      </c>
    </row>
    <row r="123" spans="1:45" x14ac:dyDescent="0.3">
      <c r="A123" t="s">
        <v>2966</v>
      </c>
      <c r="B123" s="3">
        <v>-11342294.300000001</v>
      </c>
      <c r="C123" t="s">
        <v>2994</v>
      </c>
      <c r="F123" t="s">
        <v>2898</v>
      </c>
      <c r="G123" t="s">
        <v>2994</v>
      </c>
      <c r="H123" s="86" t="s">
        <v>3052</v>
      </c>
      <c r="I123" s="86" t="s">
        <v>3052</v>
      </c>
      <c r="K123" t="str">
        <f>IF(bs_acc[[#This Row],[BS_line]]=bs_acc[[#This Row],[BS_line2]],bs_acc[[#This Row],[BS_line]],bs_acc[[#This Row],[BS_line]]&amp;"_"&amp;bs_acc[[#This Row],[BS_line2]])</f>
        <v>Short-term borrowings</v>
      </c>
      <c r="AF123" s="101" t="s">
        <v>2982</v>
      </c>
      <c r="AG123">
        <v>-24750424.460000001</v>
      </c>
      <c r="AH123" t="s">
        <v>3059</v>
      </c>
      <c r="AP123" s="91" t="s">
        <v>2924</v>
      </c>
      <c r="AQ123" s="97"/>
      <c r="AR123" s="97"/>
      <c r="AS123" s="97"/>
    </row>
    <row r="124" spans="1:45" x14ac:dyDescent="0.3">
      <c r="A124" t="s">
        <v>2968</v>
      </c>
      <c r="B124" s="3">
        <v>-5471000</v>
      </c>
      <c r="C124" t="s">
        <v>2994</v>
      </c>
      <c r="F124" t="s">
        <v>2899</v>
      </c>
      <c r="G124" t="s">
        <v>2994</v>
      </c>
      <c r="H124" s="86" t="s">
        <v>3052</v>
      </c>
      <c r="I124" s="86" t="s">
        <v>3052</v>
      </c>
      <c r="K124" t="str">
        <f>IF(bs_acc[[#This Row],[BS_line]]=bs_acc[[#This Row],[BS_line2]],bs_acc[[#This Row],[BS_line]],bs_acc[[#This Row],[BS_line]]&amp;"_"&amp;bs_acc[[#This Row],[BS_line2]])</f>
        <v>Short-term borrowings</v>
      </c>
      <c r="AF124" s="101" t="s">
        <v>2983</v>
      </c>
      <c r="AG124">
        <v>-6061675.5</v>
      </c>
      <c r="AH124" t="s">
        <v>3059</v>
      </c>
      <c r="AP124" s="92" t="s">
        <v>3035</v>
      </c>
      <c r="AQ124" s="97" t="s">
        <v>2994</v>
      </c>
      <c r="AR124" s="97" t="s">
        <v>3088</v>
      </c>
      <c r="AS124" s="97" t="s">
        <v>3087</v>
      </c>
    </row>
    <row r="125" spans="1:45" x14ac:dyDescent="0.3">
      <c r="A125" t="s">
        <v>3030</v>
      </c>
      <c r="B125" s="3">
        <v>253356.04</v>
      </c>
      <c r="C125" t="s">
        <v>2994</v>
      </c>
      <c r="F125" t="s">
        <v>2900</v>
      </c>
      <c r="G125" t="s">
        <v>2994</v>
      </c>
      <c r="H125" s="86" t="s">
        <v>3052</v>
      </c>
      <c r="I125" s="86" t="s">
        <v>3052</v>
      </c>
      <c r="K125" t="str">
        <f>IF(bs_acc[[#This Row],[BS_line]]=bs_acc[[#This Row],[BS_line2]],bs_acc[[#This Row],[BS_line]],bs_acc[[#This Row],[BS_line]]&amp;"_"&amp;bs_acc[[#This Row],[BS_line2]])</f>
        <v>Short-term borrowings</v>
      </c>
      <c r="AF125" s="101" t="s">
        <v>2984</v>
      </c>
      <c r="AG125">
        <v>-6459635</v>
      </c>
      <c r="AH125" t="s">
        <v>3059</v>
      </c>
      <c r="AP125" s="92" t="s">
        <v>2925</v>
      </c>
      <c r="AQ125" s="97" t="s">
        <v>2994</v>
      </c>
      <c r="AR125" s="97" t="s">
        <v>3088</v>
      </c>
      <c r="AS125" s="97" t="s">
        <v>3087</v>
      </c>
    </row>
    <row r="126" spans="1:45" x14ac:dyDescent="0.3">
      <c r="A126" t="s">
        <v>3022</v>
      </c>
      <c r="B126" s="3">
        <v>-151025.26999999999</v>
      </c>
      <c r="C126" t="s">
        <v>2994</v>
      </c>
      <c r="F126" t="s">
        <v>3031</v>
      </c>
      <c r="G126" t="s">
        <v>2994</v>
      </c>
      <c r="H126" s="86" t="s">
        <v>3052</v>
      </c>
      <c r="I126" s="86" t="s">
        <v>3052</v>
      </c>
      <c r="K126" t="str">
        <f>IF(bs_acc[[#This Row],[BS_line]]=bs_acc[[#This Row],[BS_line2]],bs_acc[[#This Row],[BS_line]],bs_acc[[#This Row],[BS_line]]&amp;"_"&amp;bs_acc[[#This Row],[BS_line2]])</f>
        <v>Short-term borrowings</v>
      </c>
      <c r="AF126" s="101" t="s">
        <v>2986</v>
      </c>
      <c r="AG126">
        <v>32662787.289999999</v>
      </c>
      <c r="AH126" t="s">
        <v>3053</v>
      </c>
      <c r="AP126" s="91" t="s">
        <v>2926</v>
      </c>
      <c r="AQ126" s="97"/>
      <c r="AR126" s="97"/>
      <c r="AS126" s="97"/>
    </row>
    <row r="127" spans="1:45" x14ac:dyDescent="0.3">
      <c r="A127" t="s">
        <v>2969</v>
      </c>
      <c r="B127" s="3">
        <v>44150544.710000001</v>
      </c>
      <c r="C127" t="s">
        <v>2994</v>
      </c>
      <c r="F127" t="s">
        <v>2901</v>
      </c>
      <c r="G127" t="s">
        <v>2994</v>
      </c>
      <c r="H127" s="86" t="s">
        <v>3052</v>
      </c>
      <c r="I127" s="86" t="s">
        <v>3052</v>
      </c>
      <c r="K127" t="str">
        <f>IF(bs_acc[[#This Row],[BS_line]]=bs_acc[[#This Row],[BS_line2]],bs_acc[[#This Row],[BS_line]],bs_acc[[#This Row],[BS_line]]&amp;"_"&amp;bs_acc[[#This Row],[BS_line2]])</f>
        <v>Short-term borrowings</v>
      </c>
      <c r="AF127" s="101" t="s">
        <v>2990</v>
      </c>
      <c r="AG127">
        <v>-138705069.40000001</v>
      </c>
      <c r="AH127" t="s">
        <v>3050</v>
      </c>
      <c r="AP127" s="92" t="s">
        <v>2927</v>
      </c>
      <c r="AQ127" s="97" t="s">
        <v>2994</v>
      </c>
      <c r="AR127" s="97" t="s">
        <v>3088</v>
      </c>
      <c r="AS127" s="97" t="s">
        <v>3087</v>
      </c>
    </row>
    <row r="128" spans="1:45" x14ac:dyDescent="0.3">
      <c r="A128" t="s">
        <v>2970</v>
      </c>
      <c r="B128" s="3">
        <v>2890.84</v>
      </c>
      <c r="C128" t="s">
        <v>2994</v>
      </c>
      <c r="F128" t="s">
        <v>2902</v>
      </c>
      <c r="K128">
        <f>IF(bs_acc[[#This Row],[BS_line]]=bs_acc[[#This Row],[BS_line2]],bs_acc[[#This Row],[BS_line]],bs_acc[[#This Row],[BS_line]]&amp;"_"&amp;bs_acc[[#This Row],[BS_line2]])</f>
        <v>0</v>
      </c>
      <c r="AF128" s="101" t="s">
        <v>2991</v>
      </c>
      <c r="AG128">
        <v>-2729014.9</v>
      </c>
      <c r="AH128" t="s">
        <v>3050</v>
      </c>
      <c r="AP128" s="91" t="s">
        <v>3019</v>
      </c>
      <c r="AQ128" s="97" t="s">
        <v>2994</v>
      </c>
      <c r="AR128" s="97" t="s">
        <v>3088</v>
      </c>
      <c r="AS128" s="97" t="s">
        <v>3087</v>
      </c>
    </row>
    <row r="129" spans="1:45" x14ac:dyDescent="0.3">
      <c r="A129" t="s">
        <v>2971</v>
      </c>
      <c r="B129" s="3">
        <v>-522461782.47000003</v>
      </c>
      <c r="C129" t="s">
        <v>2994</v>
      </c>
      <c r="F129" t="s">
        <v>2903</v>
      </c>
      <c r="G129" t="s">
        <v>2994</v>
      </c>
      <c r="H129" s="86" t="s">
        <v>3052</v>
      </c>
      <c r="I129" s="86" t="s">
        <v>3052</v>
      </c>
      <c r="K129" t="str">
        <f>IF(bs_acc[[#This Row],[BS_line]]=bs_acc[[#This Row],[BS_line2]],bs_acc[[#This Row],[BS_line]],bs_acc[[#This Row],[BS_line]]&amp;"_"&amp;bs_acc[[#This Row],[BS_line2]])</f>
        <v>Short-term borrowings</v>
      </c>
      <c r="AF129" s="101" t="s">
        <v>2992</v>
      </c>
      <c r="AG129">
        <v>-1578274.04</v>
      </c>
      <c r="AH129" t="s">
        <v>3050</v>
      </c>
      <c r="AP129" s="91" t="s">
        <v>2928</v>
      </c>
      <c r="AQ129" s="97" t="s">
        <v>2994</v>
      </c>
      <c r="AR129" s="97" t="s">
        <v>3088</v>
      </c>
      <c r="AS129" s="97" t="s">
        <v>3087</v>
      </c>
    </row>
    <row r="130" spans="1:45" x14ac:dyDescent="0.3">
      <c r="A130" t="s">
        <v>2973</v>
      </c>
      <c r="B130" s="3">
        <v>-62716098</v>
      </c>
      <c r="C130" t="s">
        <v>2994</v>
      </c>
      <c r="F130" t="s">
        <v>2904</v>
      </c>
      <c r="G130" t="s">
        <v>2994</v>
      </c>
      <c r="H130" s="86" t="s">
        <v>3052</v>
      </c>
      <c r="I130" s="86" t="s">
        <v>3052</v>
      </c>
      <c r="K130" t="str">
        <f>IF(bs_acc[[#This Row],[BS_line]]=bs_acc[[#This Row],[BS_line2]],bs_acc[[#This Row],[BS_line]],bs_acc[[#This Row],[BS_line]]&amp;"_"&amp;bs_acc[[#This Row],[BS_line2]])</f>
        <v>Short-term borrowings</v>
      </c>
      <c r="AP130" s="90" t="s">
        <v>2929</v>
      </c>
      <c r="AQ130" s="97" t="s">
        <v>2994</v>
      </c>
      <c r="AR130" s="97" t="s">
        <v>3088</v>
      </c>
      <c r="AS130" s="97" t="s">
        <v>3087</v>
      </c>
    </row>
    <row r="131" spans="1:45" x14ac:dyDescent="0.3">
      <c r="A131" t="s">
        <v>2974</v>
      </c>
      <c r="B131" s="3">
        <v>-503613000</v>
      </c>
      <c r="C131" t="s">
        <v>2994</v>
      </c>
      <c r="F131" t="s">
        <v>2905</v>
      </c>
      <c r="G131" t="s">
        <v>2994</v>
      </c>
      <c r="H131" s="86" t="s">
        <v>3052</v>
      </c>
      <c r="I131" s="86" t="s">
        <v>3052</v>
      </c>
      <c r="K131" t="str">
        <f>IF(bs_acc[[#This Row],[BS_line]]=bs_acc[[#This Row],[BS_line2]],bs_acc[[#This Row],[BS_line]],bs_acc[[#This Row],[BS_line]]&amp;"_"&amp;bs_acc[[#This Row],[BS_line2]])</f>
        <v>Short-term borrowings</v>
      </c>
      <c r="AP131" s="90" t="s">
        <v>2930</v>
      </c>
      <c r="AQ131" s="97"/>
      <c r="AR131" s="97"/>
      <c r="AS131" s="97"/>
    </row>
    <row r="132" spans="1:45" x14ac:dyDescent="0.3">
      <c r="A132" t="s">
        <v>2975</v>
      </c>
      <c r="B132" s="3">
        <v>-578000000</v>
      </c>
      <c r="C132" t="s">
        <v>2994</v>
      </c>
      <c r="F132" t="s">
        <v>3032</v>
      </c>
      <c r="G132" t="s">
        <v>2994</v>
      </c>
      <c r="H132" s="86" t="s">
        <v>3052</v>
      </c>
      <c r="I132" s="86" t="s">
        <v>3052</v>
      </c>
      <c r="K132" t="str">
        <f>IF(bs_acc[[#This Row],[BS_line]]=bs_acc[[#This Row],[BS_line2]],bs_acc[[#This Row],[BS_line]],bs_acc[[#This Row],[BS_line]]&amp;"_"&amp;bs_acc[[#This Row],[BS_line2]])</f>
        <v>Short-term borrowings</v>
      </c>
      <c r="AP132" s="91" t="s">
        <v>2931</v>
      </c>
      <c r="AQ132" s="97" t="s">
        <v>2994</v>
      </c>
      <c r="AR132" s="97" t="s">
        <v>3053</v>
      </c>
      <c r="AS132" s="97" t="s">
        <v>3056</v>
      </c>
    </row>
    <row r="133" spans="1:45" x14ac:dyDescent="0.3">
      <c r="A133" t="s">
        <v>2977</v>
      </c>
      <c r="B133" s="3">
        <v>-205639000</v>
      </c>
      <c r="C133" t="s">
        <v>2994</v>
      </c>
      <c r="F133" t="s">
        <v>3038</v>
      </c>
      <c r="K133">
        <f>IF(bs_acc[[#This Row],[BS_line]]=bs_acc[[#This Row],[BS_line2]],bs_acc[[#This Row],[BS_line]],bs_acc[[#This Row],[BS_line]]&amp;"_"&amp;bs_acc[[#This Row],[BS_line2]])</f>
        <v>0</v>
      </c>
      <c r="AP133" s="90" t="s">
        <v>2932</v>
      </c>
      <c r="AQ133" s="97"/>
      <c r="AR133" s="97"/>
      <c r="AS133" s="97"/>
    </row>
    <row r="134" spans="1:45" x14ac:dyDescent="0.3">
      <c r="A134" t="s">
        <v>3094</v>
      </c>
      <c r="B134" s="3">
        <v>-863513892.45000005</v>
      </c>
      <c r="C134" t="s">
        <v>2994</v>
      </c>
      <c r="F134" t="s">
        <v>3039</v>
      </c>
      <c r="G134" t="s">
        <v>2994</v>
      </c>
      <c r="H134" s="86" t="s">
        <v>3072</v>
      </c>
      <c r="I134" s="86" t="s">
        <v>3072</v>
      </c>
      <c r="K134" t="str">
        <f>IF(bs_acc[[#This Row],[BS_line]]=bs_acc[[#This Row],[BS_line2]],bs_acc[[#This Row],[BS_line]],bs_acc[[#This Row],[BS_line]]&amp;"_"&amp;bs_acc[[#This Row],[BS_line2]])</f>
        <v>Short-term borrowings_IC</v>
      </c>
      <c r="AP134" s="91" t="s">
        <v>2933</v>
      </c>
      <c r="AQ134" s="97" t="s">
        <v>2994</v>
      </c>
      <c r="AR134" s="97" t="s">
        <v>3053</v>
      </c>
      <c r="AS134" s="97" t="s">
        <v>3056</v>
      </c>
    </row>
    <row r="135" spans="1:45" x14ac:dyDescent="0.3">
      <c r="A135" t="s">
        <v>2979</v>
      </c>
      <c r="B135" s="3">
        <v>711724399.10000002</v>
      </c>
      <c r="C135" t="s">
        <v>2994</v>
      </c>
      <c r="F135" t="s">
        <v>3040</v>
      </c>
      <c r="K135">
        <f>IF(bs_acc[[#This Row],[BS_line]]=bs_acc[[#This Row],[BS_line2]],bs_acc[[#This Row],[BS_line]],bs_acc[[#This Row],[BS_line]]&amp;"_"&amp;bs_acc[[#This Row],[BS_line2]])</f>
        <v>0</v>
      </c>
      <c r="AP135" s="90" t="s">
        <v>2934</v>
      </c>
      <c r="AQ135" s="97"/>
      <c r="AR135" s="97"/>
      <c r="AS135" s="97"/>
    </row>
    <row r="136" spans="1:45" x14ac:dyDescent="0.3">
      <c r="A136" t="s">
        <v>2982</v>
      </c>
      <c r="B136" s="3">
        <v>-26123543.800000001</v>
      </c>
      <c r="C136" t="s">
        <v>2994</v>
      </c>
      <c r="F136" t="s">
        <v>3041</v>
      </c>
      <c r="G136" t="s">
        <v>2994</v>
      </c>
      <c r="H136" s="86" t="s">
        <v>3072</v>
      </c>
      <c r="I136" s="86" t="s">
        <v>3072</v>
      </c>
      <c r="K136" t="str">
        <f>IF(bs_acc[[#This Row],[BS_line]]=bs_acc[[#This Row],[BS_line2]],bs_acc[[#This Row],[BS_line]],bs_acc[[#This Row],[BS_line]]&amp;"_"&amp;bs_acc[[#This Row],[BS_line2]])</f>
        <v>Short-term borrowings_IC</v>
      </c>
      <c r="AP136" s="91" t="s">
        <v>2935</v>
      </c>
      <c r="AQ136" s="97"/>
      <c r="AR136" s="97"/>
      <c r="AS136" s="97"/>
    </row>
    <row r="137" spans="1:45" x14ac:dyDescent="0.3">
      <c r="A137" t="s">
        <v>2983</v>
      </c>
      <c r="B137" s="3">
        <v>-6494764.1299999999</v>
      </c>
      <c r="C137" t="s">
        <v>2994</v>
      </c>
      <c r="F137" t="s">
        <v>2906</v>
      </c>
      <c r="G137" t="s">
        <v>2994</v>
      </c>
      <c r="H137" s="86" t="s">
        <v>3052</v>
      </c>
      <c r="I137" s="86" t="s">
        <v>3052</v>
      </c>
      <c r="K137" t="str">
        <f>IF(bs_acc[[#This Row],[BS_line]]=bs_acc[[#This Row],[BS_line2]],bs_acc[[#This Row],[BS_line]],bs_acc[[#This Row],[BS_line]]&amp;"_"&amp;bs_acc[[#This Row],[BS_line2]])</f>
        <v>Short-term borrowings</v>
      </c>
      <c r="AP137" s="92" t="s">
        <v>2936</v>
      </c>
      <c r="AQ137" s="97" t="s">
        <v>2994</v>
      </c>
      <c r="AR137" s="97" t="s">
        <v>3049</v>
      </c>
      <c r="AS137" s="97" t="s">
        <v>3047</v>
      </c>
    </row>
    <row r="138" spans="1:45" x14ac:dyDescent="0.3">
      <c r="A138" t="s">
        <v>2984</v>
      </c>
      <c r="B138" s="3">
        <v>-6459635</v>
      </c>
      <c r="C138" t="s">
        <v>2994</v>
      </c>
      <c r="F138" t="s">
        <v>2907</v>
      </c>
      <c r="K138">
        <f>IF(bs_acc[[#This Row],[BS_line]]=bs_acc[[#This Row],[BS_line2]],bs_acc[[#This Row],[BS_line]],bs_acc[[#This Row],[BS_line]]&amp;"_"&amp;bs_acc[[#This Row],[BS_line2]])</f>
        <v>0</v>
      </c>
      <c r="AP138" s="91" t="s">
        <v>2937</v>
      </c>
      <c r="AQ138" s="97" t="s">
        <v>2994</v>
      </c>
      <c r="AR138" s="97" t="s">
        <v>3049</v>
      </c>
      <c r="AS138" s="97" t="s">
        <v>3047</v>
      </c>
    </row>
    <row r="139" spans="1:45" x14ac:dyDescent="0.3">
      <c r="A139" t="s">
        <v>2986</v>
      </c>
      <c r="B139" s="3">
        <v>29317254.41</v>
      </c>
      <c r="C139" t="s">
        <v>2994</v>
      </c>
      <c r="F139" t="s">
        <v>2908</v>
      </c>
      <c r="K139">
        <f>IF(bs_acc[[#This Row],[BS_line]]=bs_acc[[#This Row],[BS_line2]],bs_acc[[#This Row],[BS_line]],bs_acc[[#This Row],[BS_line]]&amp;"_"&amp;bs_acc[[#This Row],[BS_line2]])</f>
        <v>0</v>
      </c>
      <c r="AP139" s="91" t="s">
        <v>2938</v>
      </c>
      <c r="AQ139" s="97"/>
      <c r="AR139" s="97"/>
      <c r="AS139" s="97"/>
    </row>
    <row r="140" spans="1:45" x14ac:dyDescent="0.3">
      <c r="A140" t="s">
        <v>2990</v>
      </c>
      <c r="B140" s="3">
        <v>-144697317.99000001</v>
      </c>
      <c r="C140" t="s">
        <v>2994</v>
      </c>
      <c r="F140" t="s">
        <v>2909</v>
      </c>
      <c r="G140" t="s">
        <v>2994</v>
      </c>
      <c r="H140" s="86" t="s">
        <v>3051</v>
      </c>
      <c r="I140" s="86" t="s">
        <v>3051</v>
      </c>
      <c r="K140" t="str">
        <f>IF(bs_acc[[#This Row],[BS_line]]=bs_acc[[#This Row],[BS_line2]],bs_acc[[#This Row],[BS_line]],bs_acc[[#This Row],[BS_line]]&amp;"_"&amp;bs_acc[[#This Row],[BS_line2]])</f>
        <v>Long-term borrowings</v>
      </c>
      <c r="AP140" s="92" t="s">
        <v>2939</v>
      </c>
      <c r="AQ140" s="97" t="s">
        <v>2994</v>
      </c>
      <c r="AR140" s="97" t="s">
        <v>3049</v>
      </c>
      <c r="AS140" s="97" t="s">
        <v>3047</v>
      </c>
    </row>
    <row r="141" spans="1:45" x14ac:dyDescent="0.3">
      <c r="A141" t="s">
        <v>2991</v>
      </c>
      <c r="B141" s="3">
        <v>-3025745.63</v>
      </c>
      <c r="C141" t="s">
        <v>2994</v>
      </c>
      <c r="F141" t="s">
        <v>2910</v>
      </c>
      <c r="G141" t="s">
        <v>2994</v>
      </c>
      <c r="H141" s="86" t="s">
        <v>3051</v>
      </c>
      <c r="I141" s="86" t="s">
        <v>3051</v>
      </c>
      <c r="K141" t="str">
        <f>IF(bs_acc[[#This Row],[BS_line]]=bs_acc[[#This Row],[BS_line2]],bs_acc[[#This Row],[BS_line]],bs_acc[[#This Row],[BS_line]]&amp;"_"&amp;bs_acc[[#This Row],[BS_line2]])</f>
        <v>Long-term borrowings</v>
      </c>
      <c r="AP141" s="92" t="s">
        <v>3105</v>
      </c>
      <c r="AQ141" s="97" t="s">
        <v>2994</v>
      </c>
      <c r="AR141" s="97" t="s">
        <v>3049</v>
      </c>
      <c r="AS141" s="97" t="s">
        <v>3047</v>
      </c>
    </row>
    <row r="142" spans="1:45" x14ac:dyDescent="0.3">
      <c r="A142" t="s">
        <v>2992</v>
      </c>
      <c r="B142" s="3">
        <v>-1818250.85</v>
      </c>
      <c r="C142" t="s">
        <v>2994</v>
      </c>
      <c r="F142" t="s">
        <v>2911</v>
      </c>
      <c r="K142">
        <f>IF(bs_acc[[#This Row],[BS_line]]=bs_acc[[#This Row],[BS_line2]],bs_acc[[#This Row],[BS_line]],bs_acc[[#This Row],[BS_line]]&amp;"_"&amp;bs_acc[[#This Row],[BS_line2]])</f>
        <v>0</v>
      </c>
      <c r="AP142" s="91" t="s">
        <v>2941</v>
      </c>
      <c r="AQ142" s="97"/>
      <c r="AR142" s="97"/>
      <c r="AS142" s="97"/>
    </row>
    <row r="143" spans="1:45" x14ac:dyDescent="0.3">
      <c r="A143" t="s">
        <v>2993</v>
      </c>
      <c r="B143" s="3">
        <v>-21528889.07</v>
      </c>
      <c r="C143" t="s">
        <v>2994</v>
      </c>
      <c r="F143" t="s">
        <v>2912</v>
      </c>
      <c r="K143">
        <f>IF(bs_acc[[#This Row],[BS_line]]=bs_acc[[#This Row],[BS_line2]],bs_acc[[#This Row],[BS_line]],bs_acc[[#This Row],[BS_line]]&amp;"_"&amp;bs_acc[[#This Row],[BS_line2]])</f>
        <v>0</v>
      </c>
      <c r="AP143" s="92" t="s">
        <v>2942</v>
      </c>
      <c r="AQ143" s="97" t="s">
        <v>2994</v>
      </c>
      <c r="AR143" s="97" t="s">
        <v>3049</v>
      </c>
      <c r="AS143" s="97" t="s">
        <v>3047</v>
      </c>
    </row>
    <row r="144" spans="1:45" x14ac:dyDescent="0.3">
      <c r="F144" t="s">
        <v>2913</v>
      </c>
      <c r="G144" t="s">
        <v>2994</v>
      </c>
      <c r="H144" s="86" t="s">
        <v>3053</v>
      </c>
      <c r="I144" s="86" t="s">
        <v>3087</v>
      </c>
      <c r="K144" t="str">
        <f>IF(bs_acc[[#This Row],[BS_line]]=bs_acc[[#This Row],[BS_line2]],bs_acc[[#This Row],[BS_line]],bs_acc[[#This Row],[BS_line]]&amp;"_"&amp;bs_acc[[#This Row],[BS_line2]])</f>
        <v>Other current assets_Taxes payables</v>
      </c>
      <c r="AP144" s="91" t="s">
        <v>2943</v>
      </c>
      <c r="AQ144" s="97"/>
      <c r="AR144" s="97"/>
      <c r="AS144" s="97"/>
    </row>
    <row r="145" spans="6:45" x14ac:dyDescent="0.3">
      <c r="F145" t="s">
        <v>3018</v>
      </c>
      <c r="G145" t="s">
        <v>2994</v>
      </c>
      <c r="H145" s="86" t="s">
        <v>3053</v>
      </c>
      <c r="I145" s="86" t="s">
        <v>3087</v>
      </c>
      <c r="K145" t="str">
        <f>IF(bs_acc[[#This Row],[BS_line]]=bs_acc[[#This Row],[BS_line2]],bs_acc[[#This Row],[BS_line]],bs_acc[[#This Row],[BS_line]]&amp;"_"&amp;bs_acc[[#This Row],[BS_line2]])</f>
        <v>Other current assets_Taxes payables</v>
      </c>
      <c r="AP145" s="92" t="s">
        <v>2944</v>
      </c>
      <c r="AQ145" s="97" t="s">
        <v>2994</v>
      </c>
      <c r="AR145" s="97" t="s">
        <v>3049</v>
      </c>
      <c r="AS145" s="97" t="s">
        <v>3047</v>
      </c>
    </row>
    <row r="146" spans="6:45" x14ac:dyDescent="0.3">
      <c r="F146" t="s">
        <v>2914</v>
      </c>
      <c r="G146" t="s">
        <v>2994</v>
      </c>
      <c r="H146" s="86" t="s">
        <v>3088</v>
      </c>
      <c r="I146" s="86" t="s">
        <v>3087</v>
      </c>
      <c r="K146" t="str">
        <f>IF(bs_acc[[#This Row],[BS_line]]=bs_acc[[#This Row],[BS_line2]],bs_acc[[#This Row],[BS_line]],bs_acc[[#This Row],[BS_line]]&amp;"_"&amp;bs_acc[[#This Row],[BS_line2]])</f>
        <v>Taxes receivables_Taxes payables</v>
      </c>
      <c r="AP146" s="92" t="s">
        <v>2945</v>
      </c>
      <c r="AQ146" s="97" t="s">
        <v>2994</v>
      </c>
      <c r="AR146" s="97" t="s">
        <v>3049</v>
      </c>
      <c r="AS146" s="97" t="s">
        <v>3047</v>
      </c>
    </row>
    <row r="147" spans="6:45" x14ac:dyDescent="0.3">
      <c r="F147" t="s">
        <v>2915</v>
      </c>
      <c r="K147">
        <f>IF(bs_acc[[#This Row],[BS_line]]=bs_acc[[#This Row],[BS_line2]],bs_acc[[#This Row],[BS_line]],bs_acc[[#This Row],[BS_line]]&amp;"_"&amp;bs_acc[[#This Row],[BS_line2]])</f>
        <v>0</v>
      </c>
      <c r="AP147" s="92" t="s">
        <v>2946</v>
      </c>
      <c r="AQ147" s="97" t="s">
        <v>2994</v>
      </c>
      <c r="AR147" s="97" t="s">
        <v>3049</v>
      </c>
      <c r="AS147" s="97" t="s">
        <v>3047</v>
      </c>
    </row>
    <row r="148" spans="6:45" x14ac:dyDescent="0.3">
      <c r="F148" t="s">
        <v>2916</v>
      </c>
      <c r="G148" t="s">
        <v>2994</v>
      </c>
      <c r="H148" s="86" t="s">
        <v>3054</v>
      </c>
      <c r="I148" s="86" t="s">
        <v>3055</v>
      </c>
      <c r="K148" t="str">
        <f>IF(bs_acc[[#This Row],[BS_line]]=bs_acc[[#This Row],[BS_line2]],bs_acc[[#This Row],[BS_line]],bs_acc[[#This Row],[BS_line]]&amp;"_"&amp;bs_acc[[#This Row],[BS_line2]])</f>
        <v>Current tax receivables_Current tax payables</v>
      </c>
      <c r="AP148" s="92" t="s">
        <v>2948</v>
      </c>
      <c r="AQ148" s="97" t="s">
        <v>2994</v>
      </c>
      <c r="AR148" s="97" t="s">
        <v>3049</v>
      </c>
      <c r="AS148" s="97" t="s">
        <v>3047</v>
      </c>
    </row>
    <row r="149" spans="6:45" x14ac:dyDescent="0.3">
      <c r="F149" t="s">
        <v>2917</v>
      </c>
      <c r="G149" t="s">
        <v>2994</v>
      </c>
      <c r="H149" s="86" t="s">
        <v>3053</v>
      </c>
      <c r="I149" s="86" t="s">
        <v>3087</v>
      </c>
      <c r="K149" t="str">
        <f>IF(bs_acc[[#This Row],[BS_line]]=bs_acc[[#This Row],[BS_line2]],bs_acc[[#This Row],[BS_line]],bs_acc[[#This Row],[BS_line]]&amp;"_"&amp;bs_acc[[#This Row],[BS_line2]])</f>
        <v>Other current assets_Taxes payables</v>
      </c>
      <c r="AP149" s="92" t="s">
        <v>2949</v>
      </c>
      <c r="AQ149" s="97"/>
      <c r="AR149" s="97"/>
      <c r="AS149" s="97"/>
    </row>
    <row r="150" spans="6:45" x14ac:dyDescent="0.3">
      <c r="F150" t="s">
        <v>2918</v>
      </c>
      <c r="G150" t="s">
        <v>2994</v>
      </c>
      <c r="H150" s="86" t="s">
        <v>3053</v>
      </c>
      <c r="I150" s="86" t="s">
        <v>3087</v>
      </c>
      <c r="K150" t="str">
        <f>IF(bs_acc[[#This Row],[BS_line]]=bs_acc[[#This Row],[BS_line2]],bs_acc[[#This Row],[BS_line]],bs_acc[[#This Row],[BS_line]]&amp;"_"&amp;bs_acc[[#This Row],[BS_line2]])</f>
        <v>Other current assets_Taxes payables</v>
      </c>
      <c r="AP150" s="93" t="s">
        <v>2950</v>
      </c>
      <c r="AQ150" s="97" t="s">
        <v>2994</v>
      </c>
      <c r="AR150" s="97" t="s">
        <v>3061</v>
      </c>
      <c r="AS150" s="97" t="s">
        <v>3061</v>
      </c>
    </row>
    <row r="151" spans="6:45" x14ac:dyDescent="0.3">
      <c r="F151" t="s">
        <v>2919</v>
      </c>
      <c r="G151" t="s">
        <v>2994</v>
      </c>
      <c r="H151" s="86" t="s">
        <v>3053</v>
      </c>
      <c r="I151" s="86" t="s">
        <v>3087</v>
      </c>
      <c r="K151" t="str">
        <f>IF(bs_acc[[#This Row],[BS_line]]=bs_acc[[#This Row],[BS_line2]],bs_acc[[#This Row],[BS_line]],bs_acc[[#This Row],[BS_line]]&amp;"_"&amp;bs_acc[[#This Row],[BS_line2]])</f>
        <v>Other current assets_Taxes payables</v>
      </c>
      <c r="AP151" s="92" t="s">
        <v>2951</v>
      </c>
      <c r="AQ151" s="97" t="s">
        <v>2994</v>
      </c>
      <c r="AR151" s="97" t="s">
        <v>3049</v>
      </c>
      <c r="AS151" s="97" t="s">
        <v>3047</v>
      </c>
    </row>
    <row r="152" spans="6:45" x14ac:dyDescent="0.3">
      <c r="F152" t="s">
        <v>2920</v>
      </c>
      <c r="G152" t="s">
        <v>2994</v>
      </c>
      <c r="H152" s="86" t="s">
        <v>3053</v>
      </c>
      <c r="I152" s="86" t="s">
        <v>3087</v>
      </c>
      <c r="K152" t="str">
        <f>IF(bs_acc[[#This Row],[BS_line]]=bs_acc[[#This Row],[BS_line2]],bs_acc[[#This Row],[BS_line]],bs_acc[[#This Row],[BS_line]]&amp;"_"&amp;bs_acc[[#This Row],[BS_line2]])</f>
        <v>Other current assets_Taxes payables</v>
      </c>
      <c r="AP152" s="92" t="s">
        <v>2952</v>
      </c>
      <c r="AQ152" s="97"/>
      <c r="AR152" s="97"/>
      <c r="AS152" s="97"/>
    </row>
    <row r="153" spans="6:45" x14ac:dyDescent="0.3">
      <c r="F153" t="s">
        <v>2921</v>
      </c>
      <c r="G153" t="s">
        <v>2994</v>
      </c>
      <c r="H153" s="86" t="s">
        <v>3088</v>
      </c>
      <c r="I153" s="86" t="s">
        <v>3087</v>
      </c>
      <c r="K153" t="str">
        <f>IF(bs_acc[[#This Row],[BS_line]]=bs_acc[[#This Row],[BS_line2]],bs_acc[[#This Row],[BS_line]],bs_acc[[#This Row],[BS_line]]&amp;"_"&amp;bs_acc[[#This Row],[BS_line2]])</f>
        <v>Taxes receivables_Taxes payables</v>
      </c>
      <c r="AP153" s="93" t="s">
        <v>2953</v>
      </c>
      <c r="AQ153" s="97" t="s">
        <v>2994</v>
      </c>
      <c r="AR153" s="97" t="s">
        <v>3049</v>
      </c>
      <c r="AS153" s="97" t="s">
        <v>3047</v>
      </c>
    </row>
    <row r="154" spans="6:45" x14ac:dyDescent="0.3">
      <c r="F154" t="s">
        <v>3111</v>
      </c>
      <c r="G154" t="s">
        <v>2994</v>
      </c>
      <c r="H154" s="86" t="s">
        <v>3053</v>
      </c>
      <c r="I154" s="86" t="s">
        <v>3087</v>
      </c>
      <c r="K154" t="str">
        <f>IF(bs_acc[[#This Row],[BS_line]]=bs_acc[[#This Row],[BS_line2]],bs_acc[[#This Row],[BS_line]],bs_acc[[#This Row],[BS_line]]&amp;"_"&amp;bs_acc[[#This Row],[BS_line2]])</f>
        <v>Other current assets_Taxes payables</v>
      </c>
      <c r="AP154" s="93" t="s">
        <v>2954</v>
      </c>
      <c r="AQ154" s="97" t="s">
        <v>2994</v>
      </c>
      <c r="AR154" s="97" t="s">
        <v>3049</v>
      </c>
      <c r="AS154" s="97" t="s">
        <v>3047</v>
      </c>
    </row>
    <row r="155" spans="6:45" x14ac:dyDescent="0.3">
      <c r="F155" t="s">
        <v>2922</v>
      </c>
      <c r="K155">
        <f>IF(bs_acc[[#This Row],[BS_line]]=bs_acc[[#This Row],[BS_line2]],bs_acc[[#This Row],[BS_line]],bs_acc[[#This Row],[BS_line]]&amp;"_"&amp;bs_acc[[#This Row],[BS_line2]])</f>
        <v>0</v>
      </c>
      <c r="AP155" s="93" t="s">
        <v>3021</v>
      </c>
      <c r="AQ155" s="97" t="s">
        <v>2994</v>
      </c>
      <c r="AR155" s="97" t="s">
        <v>3049</v>
      </c>
      <c r="AS155" s="97" t="s">
        <v>3047</v>
      </c>
    </row>
    <row r="156" spans="6:45" x14ac:dyDescent="0.3">
      <c r="F156" t="s">
        <v>2923</v>
      </c>
      <c r="G156" t="s">
        <v>2994</v>
      </c>
      <c r="H156" s="86" t="s">
        <v>3053</v>
      </c>
      <c r="I156" s="86" t="s">
        <v>3087</v>
      </c>
      <c r="K156" t="str">
        <f>IF(bs_acc[[#This Row],[BS_line]]=bs_acc[[#This Row],[BS_line2]],bs_acc[[#This Row],[BS_line]],bs_acc[[#This Row],[BS_line]]&amp;"_"&amp;bs_acc[[#This Row],[BS_line2]])</f>
        <v>Other current assets_Taxes payables</v>
      </c>
      <c r="AP156" s="93" t="s">
        <v>2955</v>
      </c>
      <c r="AQ156" s="97" t="s">
        <v>2994</v>
      </c>
      <c r="AR156" s="97" t="s">
        <v>3049</v>
      </c>
      <c r="AS156" s="97" t="s">
        <v>3047</v>
      </c>
    </row>
    <row r="157" spans="6:45" x14ac:dyDescent="0.3">
      <c r="F157" t="s">
        <v>2924</v>
      </c>
      <c r="K157">
        <f>IF(bs_acc[[#This Row],[BS_line]]=bs_acc[[#This Row],[BS_line2]],bs_acc[[#This Row],[BS_line]],bs_acc[[#This Row],[BS_line]]&amp;"_"&amp;bs_acc[[#This Row],[BS_line2]])</f>
        <v>0</v>
      </c>
      <c r="AP157" s="91" t="s">
        <v>2956</v>
      </c>
      <c r="AQ157" s="97"/>
      <c r="AR157" s="97"/>
      <c r="AS157" s="97"/>
    </row>
    <row r="158" spans="6:45" x14ac:dyDescent="0.3">
      <c r="F158" t="s">
        <v>3035</v>
      </c>
      <c r="G158" t="s">
        <v>2994</v>
      </c>
      <c r="H158" s="86" t="s">
        <v>3053</v>
      </c>
      <c r="I158" s="86" t="s">
        <v>3087</v>
      </c>
      <c r="K158" t="str">
        <f>IF(bs_acc[[#This Row],[BS_line]]=bs_acc[[#This Row],[BS_line2]],bs_acc[[#This Row],[BS_line]],bs_acc[[#This Row],[BS_line]]&amp;"_"&amp;bs_acc[[#This Row],[BS_line2]])</f>
        <v>Other current assets_Taxes payables</v>
      </c>
      <c r="AP158" s="92" t="s">
        <v>2957</v>
      </c>
      <c r="AQ158" s="97" t="s">
        <v>2994</v>
      </c>
      <c r="AR158" s="97" t="s">
        <v>3073</v>
      </c>
      <c r="AS158" s="97" t="s">
        <v>3073</v>
      </c>
    </row>
    <row r="159" spans="6:45" x14ac:dyDescent="0.3">
      <c r="F159" t="s">
        <v>2925</v>
      </c>
      <c r="G159" t="s">
        <v>2994</v>
      </c>
      <c r="H159" s="86" t="s">
        <v>3053</v>
      </c>
      <c r="I159" s="86" t="s">
        <v>3087</v>
      </c>
      <c r="K159" t="str">
        <f>IF(bs_acc[[#This Row],[BS_line]]=bs_acc[[#This Row],[BS_line2]],bs_acc[[#This Row],[BS_line]],bs_acc[[#This Row],[BS_line]]&amp;"_"&amp;bs_acc[[#This Row],[BS_line2]])</f>
        <v>Other current assets_Taxes payables</v>
      </c>
      <c r="AP159" s="92" t="s">
        <v>2958</v>
      </c>
      <c r="AQ159" s="97" t="s">
        <v>2994</v>
      </c>
      <c r="AR159" s="97" t="s">
        <v>3073</v>
      </c>
      <c r="AS159" s="97" t="s">
        <v>3073</v>
      </c>
    </row>
    <row r="160" spans="6:45" x14ac:dyDescent="0.3">
      <c r="F160" t="s">
        <v>2926</v>
      </c>
      <c r="K160">
        <f>IF(bs_acc[[#This Row],[BS_line]]=bs_acc[[#This Row],[BS_line2]],bs_acc[[#This Row],[BS_line]],bs_acc[[#This Row],[BS_line]]&amp;"_"&amp;bs_acc[[#This Row],[BS_line2]])</f>
        <v>0</v>
      </c>
      <c r="AP160" s="92" t="s">
        <v>2959</v>
      </c>
      <c r="AQ160" s="97" t="s">
        <v>2994</v>
      </c>
      <c r="AR160" s="97" t="s">
        <v>3073</v>
      </c>
      <c r="AS160" s="97" t="s">
        <v>3073</v>
      </c>
    </row>
    <row r="161" spans="6:45" x14ac:dyDescent="0.3">
      <c r="F161" t="s">
        <v>2927</v>
      </c>
      <c r="G161" t="s">
        <v>2994</v>
      </c>
      <c r="H161" s="86" t="s">
        <v>3053</v>
      </c>
      <c r="I161" s="86" t="s">
        <v>3087</v>
      </c>
      <c r="K161" t="str">
        <f>IF(bs_acc[[#This Row],[BS_line]]=bs_acc[[#This Row],[BS_line2]],bs_acc[[#This Row],[BS_line]],bs_acc[[#This Row],[BS_line]]&amp;"_"&amp;bs_acc[[#This Row],[BS_line2]])</f>
        <v>Other current assets_Taxes payables</v>
      </c>
      <c r="AP161" s="92" t="s">
        <v>2960</v>
      </c>
      <c r="AQ161" s="97" t="s">
        <v>2994</v>
      </c>
      <c r="AR161" s="97" t="s">
        <v>3073</v>
      </c>
      <c r="AS161" s="97" t="s">
        <v>3073</v>
      </c>
    </row>
    <row r="162" spans="6:45" x14ac:dyDescent="0.3">
      <c r="F162" t="s">
        <v>3019</v>
      </c>
      <c r="G162" t="s">
        <v>2994</v>
      </c>
      <c r="H162" s="86" t="s">
        <v>3053</v>
      </c>
      <c r="I162" s="86" t="s">
        <v>3087</v>
      </c>
      <c r="K162" t="str">
        <f>IF(bs_acc[[#This Row],[BS_line]]=bs_acc[[#This Row],[BS_line2]],bs_acc[[#This Row],[BS_line]],bs_acc[[#This Row],[BS_line]]&amp;"_"&amp;bs_acc[[#This Row],[BS_line2]])</f>
        <v>Other current assets_Taxes payables</v>
      </c>
      <c r="AP162" s="91" t="s">
        <v>2961</v>
      </c>
      <c r="AQ162" s="97"/>
      <c r="AR162" s="97"/>
      <c r="AS162" s="97"/>
    </row>
    <row r="163" spans="6:45" x14ac:dyDescent="0.3">
      <c r="F163" t="s">
        <v>2928</v>
      </c>
      <c r="G163" t="s">
        <v>2994</v>
      </c>
      <c r="H163" s="86" t="s">
        <v>3053</v>
      </c>
      <c r="I163" s="86" t="s">
        <v>3087</v>
      </c>
      <c r="K163" t="str">
        <f>IF(bs_acc[[#This Row],[BS_line]]=bs_acc[[#This Row],[BS_line2]],bs_acc[[#This Row],[BS_line]],bs_acc[[#This Row],[BS_line]]&amp;"_"&amp;bs_acc[[#This Row],[BS_line2]])</f>
        <v>Other current assets_Taxes payables</v>
      </c>
      <c r="AP163" s="92" t="s">
        <v>2962</v>
      </c>
      <c r="AQ163" s="97" t="s">
        <v>2994</v>
      </c>
      <c r="AR163" s="97" t="s">
        <v>3049</v>
      </c>
      <c r="AS163" s="97" t="s">
        <v>3047</v>
      </c>
    </row>
    <row r="164" spans="6:45" x14ac:dyDescent="0.3">
      <c r="F164" t="s">
        <v>2929</v>
      </c>
      <c r="G164" t="s">
        <v>2994</v>
      </c>
      <c r="H164" s="86" t="s">
        <v>3053</v>
      </c>
      <c r="I164" s="86" t="s">
        <v>3056</v>
      </c>
      <c r="K164" t="str">
        <f>IF(bs_acc[[#This Row],[BS_line]]=bs_acc[[#This Row],[BS_line2]],bs_acc[[#This Row],[BS_line]],bs_acc[[#This Row],[BS_line]]&amp;"_"&amp;bs_acc[[#This Row],[BS_line2]])</f>
        <v>Other current assets_Other current liabilities</v>
      </c>
      <c r="AP164" s="92" t="s">
        <v>2963</v>
      </c>
      <c r="AQ164" s="97" t="s">
        <v>2994</v>
      </c>
      <c r="AR164" s="97" t="s">
        <v>3049</v>
      </c>
      <c r="AS164" s="97" t="s">
        <v>3047</v>
      </c>
    </row>
    <row r="165" spans="6:45" x14ac:dyDescent="0.3">
      <c r="F165" t="s">
        <v>2930</v>
      </c>
      <c r="K165">
        <f>IF(bs_acc[[#This Row],[BS_line]]=bs_acc[[#This Row],[BS_line2]],bs_acc[[#This Row],[BS_line]],bs_acc[[#This Row],[BS_line]]&amp;"_"&amp;bs_acc[[#This Row],[BS_line2]])</f>
        <v>0</v>
      </c>
      <c r="AP165" s="92" t="s">
        <v>2964</v>
      </c>
      <c r="AQ165" s="97" t="s">
        <v>2994</v>
      </c>
      <c r="AR165" s="97" t="s">
        <v>3049</v>
      </c>
      <c r="AS165" s="97" t="s">
        <v>3047</v>
      </c>
    </row>
    <row r="166" spans="6:45" x14ac:dyDescent="0.3">
      <c r="F166" t="s">
        <v>2931</v>
      </c>
      <c r="G166" t="s">
        <v>2994</v>
      </c>
      <c r="H166" s="86" t="s">
        <v>3053</v>
      </c>
      <c r="I166" s="86" t="s">
        <v>3056</v>
      </c>
      <c r="K166" t="str">
        <f>IF(bs_acc[[#This Row],[BS_line]]=bs_acc[[#This Row],[BS_line2]],bs_acc[[#This Row],[BS_line]],bs_acc[[#This Row],[BS_line]]&amp;"_"&amp;bs_acc[[#This Row],[BS_line2]])</f>
        <v>Other current assets_Other current liabilities</v>
      </c>
      <c r="AP166" s="92" t="s">
        <v>2965</v>
      </c>
      <c r="AQ166" s="97" t="s">
        <v>2994</v>
      </c>
      <c r="AR166" s="97" t="s">
        <v>3049</v>
      </c>
      <c r="AS166" s="97" t="s">
        <v>3047</v>
      </c>
    </row>
    <row r="167" spans="6:45" x14ac:dyDescent="0.3">
      <c r="F167" t="s">
        <v>2932</v>
      </c>
      <c r="K167">
        <f>IF(bs_acc[[#This Row],[BS_line]]=bs_acc[[#This Row],[BS_line2]],bs_acc[[#This Row],[BS_line]],bs_acc[[#This Row],[BS_line]]&amp;"_"&amp;bs_acc[[#This Row],[BS_line2]])</f>
        <v>0</v>
      </c>
      <c r="AP167" s="92" t="s">
        <v>2966</v>
      </c>
      <c r="AQ167" s="97" t="s">
        <v>2994</v>
      </c>
      <c r="AR167" s="97" t="s">
        <v>3049</v>
      </c>
      <c r="AS167" s="97" t="s">
        <v>3047</v>
      </c>
    </row>
    <row r="168" spans="6:45" x14ac:dyDescent="0.3">
      <c r="F168" t="s">
        <v>2933</v>
      </c>
      <c r="G168" t="s">
        <v>2994</v>
      </c>
      <c r="H168" s="86" t="s">
        <v>3053</v>
      </c>
      <c r="I168" s="86" t="s">
        <v>3056</v>
      </c>
      <c r="K168" t="str">
        <f>IF(bs_acc[[#This Row],[BS_line]]=bs_acc[[#This Row],[BS_line2]],bs_acc[[#This Row],[BS_line]],bs_acc[[#This Row],[BS_line]]&amp;"_"&amp;bs_acc[[#This Row],[BS_line2]])</f>
        <v>Other current assets_Other current liabilities</v>
      </c>
      <c r="AP168" s="91" t="s">
        <v>2969</v>
      </c>
      <c r="AQ168" s="97" t="s">
        <v>2994</v>
      </c>
      <c r="AR168" s="97" t="s">
        <v>3088</v>
      </c>
      <c r="AS168" s="97" t="s">
        <v>3087</v>
      </c>
    </row>
    <row r="169" spans="6:45" x14ac:dyDescent="0.3">
      <c r="F169" t="s">
        <v>2934</v>
      </c>
      <c r="K169">
        <f>IF(bs_acc[[#This Row],[BS_line]]=bs_acc[[#This Row],[BS_line2]],bs_acc[[#This Row],[BS_line]],bs_acc[[#This Row],[BS_line]]&amp;"_"&amp;bs_acc[[#This Row],[BS_line2]])</f>
        <v>0</v>
      </c>
      <c r="AP169" s="91" t="s">
        <v>3030</v>
      </c>
      <c r="AQ169" s="97" t="s">
        <v>2994</v>
      </c>
      <c r="AR169" s="97" t="s">
        <v>3049</v>
      </c>
      <c r="AS169" s="97" t="s">
        <v>3047</v>
      </c>
    </row>
    <row r="170" spans="6:45" x14ac:dyDescent="0.3">
      <c r="F170" t="s">
        <v>2935</v>
      </c>
      <c r="K170">
        <f>IF(bs_acc[[#This Row],[BS_line]]=bs_acc[[#This Row],[BS_line2]],bs_acc[[#This Row],[BS_line]],bs_acc[[#This Row],[BS_line]]&amp;"_"&amp;bs_acc[[#This Row],[BS_line2]])</f>
        <v>0</v>
      </c>
      <c r="AP170" s="91" t="s">
        <v>2970</v>
      </c>
      <c r="AQ170" s="97" t="s">
        <v>2994</v>
      </c>
      <c r="AR170" s="97" t="s">
        <v>3088</v>
      </c>
      <c r="AS170" s="97" t="s">
        <v>3087</v>
      </c>
    </row>
    <row r="171" spans="6:45" x14ac:dyDescent="0.3">
      <c r="F171" t="s">
        <v>2936</v>
      </c>
      <c r="G171" t="s">
        <v>2994</v>
      </c>
      <c r="H171" s="86" t="s">
        <v>3049</v>
      </c>
      <c r="I171" s="86" t="s">
        <v>3047</v>
      </c>
      <c r="K171" t="str">
        <f>IF(bs_acc[[#This Row],[BS_line]]=bs_acc[[#This Row],[BS_line2]],bs_acc[[#This Row],[BS_line]],bs_acc[[#This Row],[BS_line]]&amp;"_"&amp;bs_acc[[#This Row],[BS_line2]])</f>
        <v>Trade receivables_Trade payables</v>
      </c>
      <c r="AP171" s="90" t="s">
        <v>2971</v>
      </c>
      <c r="AQ171" s="97" t="s">
        <v>2994</v>
      </c>
      <c r="AR171" s="97" t="s">
        <v>3074</v>
      </c>
      <c r="AS171" s="97" t="s">
        <v>3074</v>
      </c>
    </row>
    <row r="172" spans="6:45" x14ac:dyDescent="0.3">
      <c r="F172" t="s">
        <v>2937</v>
      </c>
      <c r="G172" t="s">
        <v>2994</v>
      </c>
      <c r="H172" s="86" t="s">
        <v>3049</v>
      </c>
      <c r="I172" s="86" t="s">
        <v>3047</v>
      </c>
      <c r="K172" t="str">
        <f>IF(bs_acc[[#This Row],[BS_line]]=bs_acc[[#This Row],[BS_line2]],bs_acc[[#This Row],[BS_line]],bs_acc[[#This Row],[BS_line]]&amp;"_"&amp;bs_acc[[#This Row],[BS_line2]])</f>
        <v>Trade receivables_Trade payables</v>
      </c>
      <c r="AP172" s="96" t="s">
        <v>3033</v>
      </c>
      <c r="AQ172" s="97"/>
      <c r="AR172" s="97"/>
      <c r="AS172" s="97"/>
    </row>
    <row r="173" spans="6:45" x14ac:dyDescent="0.3">
      <c r="F173" t="s">
        <v>2938</v>
      </c>
      <c r="K173">
        <f>IF(bs_acc[[#This Row],[BS_line]]=bs_acc[[#This Row],[BS_line2]],bs_acc[[#This Row],[BS_line]],bs_acc[[#This Row],[BS_line]]&amp;"_"&amp;bs_acc[[#This Row],[BS_line2]])</f>
        <v>0</v>
      </c>
      <c r="AP173" s="90" t="s">
        <v>3042</v>
      </c>
      <c r="AQ173" s="97" t="s">
        <v>2994</v>
      </c>
      <c r="AR173" s="97" t="s">
        <v>3057</v>
      </c>
      <c r="AS173" s="97" t="s">
        <v>3057</v>
      </c>
    </row>
    <row r="174" spans="6:45" x14ac:dyDescent="0.3">
      <c r="F174" t="s">
        <v>2939</v>
      </c>
      <c r="G174" t="s">
        <v>2994</v>
      </c>
      <c r="H174" s="86" t="s">
        <v>3049</v>
      </c>
      <c r="I174" s="86" t="s">
        <v>3047</v>
      </c>
      <c r="K174" t="str">
        <f>IF(bs_acc[[#This Row],[BS_line]]=bs_acc[[#This Row],[BS_line2]],bs_acc[[#This Row],[BS_line]],bs_acc[[#This Row],[BS_line]]&amp;"_"&amp;bs_acc[[#This Row],[BS_line2]])</f>
        <v>Trade receivables_Trade payables</v>
      </c>
      <c r="AP174" s="90" t="s">
        <v>2972</v>
      </c>
      <c r="AQ174" s="97"/>
      <c r="AR174" s="97"/>
      <c r="AS174" s="97"/>
    </row>
    <row r="175" spans="6:45" x14ac:dyDescent="0.3">
      <c r="F175" t="s">
        <v>2940</v>
      </c>
      <c r="G175" t="s">
        <v>2994</v>
      </c>
      <c r="H175" s="86" t="s">
        <v>3069</v>
      </c>
      <c r="I175" s="86" t="s">
        <v>3068</v>
      </c>
      <c r="K175" t="str">
        <f>IF(bs_acc[[#This Row],[BS_line]]=bs_acc[[#This Row],[BS_line2]],bs_acc[[#This Row],[BS_line]],bs_acc[[#This Row],[BS_line]]&amp;"_"&amp;bs_acc[[#This Row],[BS_line2]])</f>
        <v>Trade receivables_IC_Trade payables_IC</v>
      </c>
      <c r="AP175" s="91" t="s">
        <v>3093</v>
      </c>
      <c r="AQ175" s="97" t="s">
        <v>2994</v>
      </c>
      <c r="AR175" s="97" t="s">
        <v>3057</v>
      </c>
      <c r="AS175" s="97" t="s">
        <v>3057</v>
      </c>
    </row>
    <row r="176" spans="6:45" x14ac:dyDescent="0.3">
      <c r="F176" t="s">
        <v>2941</v>
      </c>
      <c r="K176">
        <f>IF(bs_acc[[#This Row],[BS_line]]=bs_acc[[#This Row],[BS_line2]],bs_acc[[#This Row],[BS_line]],bs_acc[[#This Row],[BS_line]]&amp;"_"&amp;bs_acc[[#This Row],[BS_line2]])</f>
        <v>0</v>
      </c>
      <c r="AP176" s="90" t="s">
        <v>2976</v>
      </c>
      <c r="AQ176" s="97"/>
      <c r="AR176" s="97"/>
      <c r="AS176" s="97"/>
    </row>
    <row r="177" spans="6:45" x14ac:dyDescent="0.3">
      <c r="F177" t="s">
        <v>3020</v>
      </c>
      <c r="G177" t="s">
        <v>2994</v>
      </c>
      <c r="H177" s="86" t="s">
        <v>3049</v>
      </c>
      <c r="I177" s="86" t="s">
        <v>3047</v>
      </c>
      <c r="K177" t="str">
        <f>IF(bs_acc[[#This Row],[BS_line]]=bs_acc[[#This Row],[BS_line2]],bs_acc[[#This Row],[BS_line]],bs_acc[[#This Row],[BS_line]]&amp;"_"&amp;bs_acc[[#This Row],[BS_line2]])</f>
        <v>Trade receivables_Trade payables</v>
      </c>
      <c r="AP177" s="91" t="s">
        <v>2977</v>
      </c>
      <c r="AQ177" s="97" t="s">
        <v>2994</v>
      </c>
      <c r="AR177" s="97" t="s">
        <v>3057</v>
      </c>
      <c r="AS177" s="97" t="s">
        <v>3057</v>
      </c>
    </row>
    <row r="178" spans="6:45" x14ac:dyDescent="0.3">
      <c r="F178" t="s">
        <v>2942</v>
      </c>
      <c r="G178" t="s">
        <v>2994</v>
      </c>
      <c r="H178" s="86" t="s">
        <v>3049</v>
      </c>
      <c r="I178" s="86" t="s">
        <v>3047</v>
      </c>
      <c r="K178" t="str">
        <f>IF(bs_acc[[#This Row],[BS_line]]=bs_acc[[#This Row],[BS_line2]],bs_acc[[#This Row],[BS_line]],bs_acc[[#This Row],[BS_line]]&amp;"_"&amp;bs_acc[[#This Row],[BS_line2]])</f>
        <v>Trade receivables_Trade payables</v>
      </c>
      <c r="AP178" s="90" t="s">
        <v>2978</v>
      </c>
      <c r="AQ178" s="97"/>
      <c r="AR178" s="97"/>
      <c r="AS178" s="97"/>
    </row>
    <row r="179" spans="6:45" x14ac:dyDescent="0.3">
      <c r="F179" t="s">
        <v>2943</v>
      </c>
      <c r="K179">
        <f>IF(bs_acc[[#This Row],[BS_line]]=bs_acc[[#This Row],[BS_line2]],bs_acc[[#This Row],[BS_line]],bs_acc[[#This Row],[BS_line]]&amp;"_"&amp;bs_acc[[#This Row],[BS_line2]])</f>
        <v>0</v>
      </c>
      <c r="AP179" s="91" t="s">
        <v>3094</v>
      </c>
      <c r="AQ179" s="97" t="s">
        <v>2994</v>
      </c>
      <c r="AR179" s="97" t="s">
        <v>3058</v>
      </c>
      <c r="AS179" s="97" t="s">
        <v>3058</v>
      </c>
    </row>
    <row r="180" spans="6:45" x14ac:dyDescent="0.3">
      <c r="F180" t="s">
        <v>2944</v>
      </c>
      <c r="G180" t="s">
        <v>2994</v>
      </c>
      <c r="H180" s="86" t="s">
        <v>3049</v>
      </c>
      <c r="I180" s="86" t="s">
        <v>3047</v>
      </c>
      <c r="K180" t="str">
        <f>IF(bs_acc[[#This Row],[BS_line]]=bs_acc[[#This Row],[BS_line2]],bs_acc[[#This Row],[BS_line]],bs_acc[[#This Row],[BS_line]]&amp;"_"&amp;bs_acc[[#This Row],[BS_line2]])</f>
        <v>Trade receivables_Trade payables</v>
      </c>
      <c r="AP180" s="91" t="s">
        <v>2979</v>
      </c>
      <c r="AQ180" s="97" t="s">
        <v>2994</v>
      </c>
      <c r="AR180" s="97" t="s">
        <v>3058</v>
      </c>
      <c r="AS180" s="97" t="s">
        <v>3058</v>
      </c>
    </row>
    <row r="181" spans="6:45" x14ac:dyDescent="0.3">
      <c r="F181" t="s">
        <v>2945</v>
      </c>
      <c r="G181" t="s">
        <v>2994</v>
      </c>
      <c r="H181" s="86" t="s">
        <v>3049</v>
      </c>
      <c r="I181" s="86" t="s">
        <v>3047</v>
      </c>
      <c r="K181" t="str">
        <f>IF(bs_acc[[#This Row],[BS_line]]=bs_acc[[#This Row],[BS_line2]],bs_acc[[#This Row],[BS_line]],bs_acc[[#This Row],[BS_line]]&amp;"_"&amp;bs_acc[[#This Row],[BS_line2]])</f>
        <v>Trade receivables_Trade payables</v>
      </c>
      <c r="AP181" s="90" t="s">
        <v>2980</v>
      </c>
      <c r="AQ181" s="97"/>
      <c r="AR181" s="97"/>
      <c r="AS181" s="97"/>
    </row>
    <row r="182" spans="6:45" x14ac:dyDescent="0.3">
      <c r="F182" t="s">
        <v>2946</v>
      </c>
      <c r="G182" t="s">
        <v>2994</v>
      </c>
      <c r="H182" s="86" t="s">
        <v>3049</v>
      </c>
      <c r="I182" s="86" t="s">
        <v>3047</v>
      </c>
      <c r="K182" t="str">
        <f>IF(bs_acc[[#This Row],[BS_line]]=bs_acc[[#This Row],[BS_line2]],bs_acc[[#This Row],[BS_line]],bs_acc[[#This Row],[BS_line]]&amp;"_"&amp;bs_acc[[#This Row],[BS_line2]])</f>
        <v>Trade receivables_Trade payables</v>
      </c>
      <c r="AP182" s="91" t="s">
        <v>2981</v>
      </c>
      <c r="AQ182" s="97"/>
      <c r="AR182" s="97"/>
      <c r="AS182" s="97"/>
    </row>
    <row r="183" spans="6:45" x14ac:dyDescent="0.3">
      <c r="F183" t="s">
        <v>2947</v>
      </c>
      <c r="G183" t="s">
        <v>2994</v>
      </c>
      <c r="H183" s="86" t="s">
        <v>3069</v>
      </c>
      <c r="I183" s="86" t="s">
        <v>3068</v>
      </c>
      <c r="K183" t="str">
        <f>IF(bs_acc[[#This Row],[BS_line]]=bs_acc[[#This Row],[BS_line2]],bs_acc[[#This Row],[BS_line]],bs_acc[[#This Row],[BS_line]]&amp;"_"&amp;bs_acc[[#This Row],[BS_line2]])</f>
        <v>Trade receivables_IC_Trade payables_IC</v>
      </c>
      <c r="AP183" s="92" t="s">
        <v>2982</v>
      </c>
      <c r="AQ183" s="97" t="s">
        <v>2994</v>
      </c>
      <c r="AR183" s="97" t="s">
        <v>3059</v>
      </c>
      <c r="AS183" s="97" t="s">
        <v>3059</v>
      </c>
    </row>
    <row r="184" spans="6:45" x14ac:dyDescent="0.3">
      <c r="F184" t="s">
        <v>2948</v>
      </c>
      <c r="G184" t="s">
        <v>2994</v>
      </c>
      <c r="H184" s="86" t="s">
        <v>3049</v>
      </c>
      <c r="I184" s="86" t="s">
        <v>3047</v>
      </c>
      <c r="K184" t="str">
        <f>IF(bs_acc[[#This Row],[BS_line]]=bs_acc[[#This Row],[BS_line2]],bs_acc[[#This Row],[BS_line]],bs_acc[[#This Row],[BS_line]]&amp;"_"&amp;bs_acc[[#This Row],[BS_line2]])</f>
        <v>Trade receivables_Trade payables</v>
      </c>
      <c r="AP184" s="92" t="s">
        <v>2983</v>
      </c>
      <c r="AQ184" s="97" t="s">
        <v>2994</v>
      </c>
      <c r="AR184" s="97" t="s">
        <v>3059</v>
      </c>
      <c r="AS184" s="97" t="s">
        <v>3059</v>
      </c>
    </row>
    <row r="185" spans="6:45" x14ac:dyDescent="0.3">
      <c r="F185" t="s">
        <v>2949</v>
      </c>
      <c r="K185">
        <f>IF(bs_acc[[#This Row],[BS_line]]=bs_acc[[#This Row],[BS_line2]],bs_acc[[#This Row],[BS_line]],bs_acc[[#This Row],[BS_line]]&amp;"_"&amp;bs_acc[[#This Row],[BS_line2]])</f>
        <v>0</v>
      </c>
      <c r="AP185" s="90" t="s">
        <v>2985</v>
      </c>
      <c r="AQ185" s="97"/>
      <c r="AR185" s="97"/>
      <c r="AS185" s="97"/>
    </row>
    <row r="186" spans="6:45" x14ac:dyDescent="0.3">
      <c r="F186" t="s">
        <v>2950</v>
      </c>
      <c r="G186" t="s">
        <v>2994</v>
      </c>
      <c r="H186" t="s">
        <v>3061</v>
      </c>
      <c r="I186" t="s">
        <v>3061</v>
      </c>
      <c r="K186" t="str">
        <f>IF(bs_acc[[#This Row],[BS_line]]=bs_acc[[#This Row],[BS_line2]],bs_acc[[#This Row],[BS_line]],bs_acc[[#This Row],[BS_line]]&amp;"_"&amp;bs_acc[[#This Row],[BS_line2]])</f>
        <v>Finance Lease receivables non-current</v>
      </c>
      <c r="AP186" s="91" t="s">
        <v>2986</v>
      </c>
      <c r="AQ186" s="97" t="s">
        <v>2994</v>
      </c>
      <c r="AR186" s="97" t="s">
        <v>3053</v>
      </c>
      <c r="AS186" s="97" t="s">
        <v>3053</v>
      </c>
    </row>
    <row r="187" spans="6:45" x14ac:dyDescent="0.3">
      <c r="F187" t="s">
        <v>2951</v>
      </c>
      <c r="G187" t="s">
        <v>2994</v>
      </c>
      <c r="H187" s="86" t="s">
        <v>3049</v>
      </c>
      <c r="I187" s="86" t="s">
        <v>3047</v>
      </c>
      <c r="K187" t="str">
        <f>IF(bs_acc[[#This Row],[BS_line]]=bs_acc[[#This Row],[BS_line2]],bs_acc[[#This Row],[BS_line]],bs_acc[[#This Row],[BS_line]]&amp;"_"&amp;bs_acc[[#This Row],[BS_line2]])</f>
        <v>Trade receivables_Trade payables</v>
      </c>
      <c r="AP187" s="90" t="s">
        <v>2993</v>
      </c>
      <c r="AQ187" s="97" t="s">
        <v>2994</v>
      </c>
      <c r="AR187" s="97" t="s">
        <v>3058</v>
      </c>
      <c r="AS187" s="97" t="s">
        <v>3058</v>
      </c>
    </row>
    <row r="188" spans="6:45" x14ac:dyDescent="0.3">
      <c r="F188" t="s">
        <v>2952</v>
      </c>
      <c r="K188">
        <f>IF(bs_acc[[#This Row],[BS_line]]=bs_acc[[#This Row],[BS_line2]],bs_acc[[#This Row],[BS_line]],bs_acc[[#This Row],[BS_line]]&amp;"_"&amp;bs_acc[[#This Row],[BS_line2]])</f>
        <v>0</v>
      </c>
      <c r="AP188" s="97"/>
      <c r="AQ188" s="97"/>
      <c r="AR188" s="102"/>
      <c r="AS188" s="102"/>
    </row>
    <row r="189" spans="6:45" x14ac:dyDescent="0.3">
      <c r="F189" t="s">
        <v>2953</v>
      </c>
      <c r="G189" t="s">
        <v>2994</v>
      </c>
      <c r="H189" s="86" t="s">
        <v>3049</v>
      </c>
      <c r="I189" s="86" t="s">
        <v>3047</v>
      </c>
      <c r="K189" t="str">
        <f>IF(bs_acc[[#This Row],[BS_line]]=bs_acc[[#This Row],[BS_line2]],bs_acc[[#This Row],[BS_line]],bs_acc[[#This Row],[BS_line]]&amp;"_"&amp;bs_acc[[#This Row],[BS_line2]])</f>
        <v>Trade receivables_Trade payables</v>
      </c>
    </row>
    <row r="190" spans="6:45" x14ac:dyDescent="0.3">
      <c r="F190" t="s">
        <v>3021</v>
      </c>
      <c r="G190" t="s">
        <v>2994</v>
      </c>
      <c r="H190" s="86" t="s">
        <v>3049</v>
      </c>
      <c r="I190" s="86" t="s">
        <v>3047</v>
      </c>
      <c r="K190" t="str">
        <f>IF(bs_acc[[#This Row],[BS_line]]=bs_acc[[#This Row],[BS_line2]],bs_acc[[#This Row],[BS_line]],bs_acc[[#This Row],[BS_line]]&amp;"_"&amp;bs_acc[[#This Row],[BS_line2]])</f>
        <v>Trade receivables_Trade payables</v>
      </c>
    </row>
    <row r="191" spans="6:45" x14ac:dyDescent="0.3">
      <c r="F191" t="s">
        <v>2954</v>
      </c>
      <c r="G191" t="s">
        <v>2994</v>
      </c>
      <c r="H191" s="86" t="s">
        <v>3049</v>
      </c>
      <c r="I191" s="86" t="s">
        <v>3047</v>
      </c>
      <c r="K191" t="str">
        <f>IF(bs_acc[[#This Row],[BS_line]]=bs_acc[[#This Row],[BS_line2]],bs_acc[[#This Row],[BS_line]],bs_acc[[#This Row],[BS_line]]&amp;"_"&amp;bs_acc[[#This Row],[BS_line2]])</f>
        <v>Trade receivables_Trade payables</v>
      </c>
    </row>
    <row r="192" spans="6:45" x14ac:dyDescent="0.3">
      <c r="F192" t="s">
        <v>2955</v>
      </c>
      <c r="G192" t="s">
        <v>2994</v>
      </c>
      <c r="H192" s="86" t="s">
        <v>3049</v>
      </c>
      <c r="I192" s="86" t="s">
        <v>3047</v>
      </c>
      <c r="K192" t="str">
        <f>IF(bs_acc[[#This Row],[BS_line]]=bs_acc[[#This Row],[BS_line2]],bs_acc[[#This Row],[BS_line]],bs_acc[[#This Row],[BS_line]]&amp;"_"&amp;bs_acc[[#This Row],[BS_line2]])</f>
        <v>Trade receivables_Trade payables</v>
      </c>
    </row>
    <row r="193" spans="6:21" x14ac:dyDescent="0.3">
      <c r="F193" t="s">
        <v>2956</v>
      </c>
      <c r="K193">
        <f>IF(bs_acc[[#This Row],[BS_line]]=bs_acc[[#This Row],[BS_line2]],bs_acc[[#This Row],[BS_line]],bs_acc[[#This Row],[BS_line]]&amp;"_"&amp;bs_acc[[#This Row],[BS_line2]])</f>
        <v>0</v>
      </c>
    </row>
    <row r="194" spans="6:21" x14ac:dyDescent="0.3">
      <c r="F194" t="s">
        <v>2957</v>
      </c>
      <c r="G194" t="s">
        <v>2994</v>
      </c>
      <c r="H194" t="s">
        <v>3073</v>
      </c>
      <c r="I194" t="s">
        <v>3073</v>
      </c>
      <c r="K194" t="str">
        <f>IF(bs_acc[[#This Row],[BS_line]]=bs_acc[[#This Row],[BS_line2]],bs_acc[[#This Row],[BS_line]],bs_acc[[#This Row],[BS_line]]&amp;"_"&amp;bs_acc[[#This Row],[BS_line2]])</f>
        <v>Long-term lease liabilities</v>
      </c>
    </row>
    <row r="195" spans="6:21" x14ac:dyDescent="0.3">
      <c r="F195" t="s">
        <v>2958</v>
      </c>
      <c r="G195" t="s">
        <v>2994</v>
      </c>
      <c r="H195" t="s">
        <v>3073</v>
      </c>
      <c r="I195" t="s">
        <v>3073</v>
      </c>
      <c r="K195" t="str">
        <f>IF(bs_acc[[#This Row],[BS_line]]=bs_acc[[#This Row],[BS_line2]],bs_acc[[#This Row],[BS_line]],bs_acc[[#This Row],[BS_line]]&amp;"_"&amp;bs_acc[[#This Row],[BS_line2]])</f>
        <v>Long-term lease liabilities</v>
      </c>
    </row>
    <row r="196" spans="6:21" x14ac:dyDescent="0.3">
      <c r="F196" t="s">
        <v>2959</v>
      </c>
      <c r="G196" t="s">
        <v>2994</v>
      </c>
      <c r="H196" t="s">
        <v>3073</v>
      </c>
      <c r="I196" t="s">
        <v>3073</v>
      </c>
      <c r="K196" t="str">
        <f>IF(bs_acc[[#This Row],[BS_line]]=bs_acc[[#This Row],[BS_line2]],bs_acc[[#This Row],[BS_line]],bs_acc[[#This Row],[BS_line]]&amp;"_"&amp;bs_acc[[#This Row],[BS_line2]])</f>
        <v>Long-term lease liabilities</v>
      </c>
    </row>
    <row r="197" spans="6:21" x14ac:dyDescent="0.3">
      <c r="F197" t="s">
        <v>2960</v>
      </c>
      <c r="G197" t="s">
        <v>2994</v>
      </c>
      <c r="H197" t="s">
        <v>3073</v>
      </c>
      <c r="I197" t="s">
        <v>3073</v>
      </c>
      <c r="K197" t="str">
        <f>IF(bs_acc[[#This Row],[BS_line]]=bs_acc[[#This Row],[BS_line2]],bs_acc[[#This Row],[BS_line]],bs_acc[[#This Row],[BS_line]]&amp;"_"&amp;bs_acc[[#This Row],[BS_line2]])</f>
        <v>Long-term lease liabilities</v>
      </c>
    </row>
    <row r="198" spans="6:21" x14ac:dyDescent="0.3">
      <c r="F198" t="s">
        <v>2961</v>
      </c>
      <c r="K198">
        <f>IF(bs_acc[[#This Row],[BS_line]]=bs_acc[[#This Row],[BS_line2]],bs_acc[[#This Row],[BS_line]],bs_acc[[#This Row],[BS_line]]&amp;"_"&amp;bs_acc[[#This Row],[BS_line2]])</f>
        <v>0</v>
      </c>
    </row>
    <row r="199" spans="6:21" x14ac:dyDescent="0.3">
      <c r="F199" t="s">
        <v>2962</v>
      </c>
      <c r="G199" t="s">
        <v>2994</v>
      </c>
      <c r="H199" s="86" t="s">
        <v>3049</v>
      </c>
      <c r="I199" s="86" t="s">
        <v>3047</v>
      </c>
      <c r="K199" t="str">
        <f>IF(bs_acc[[#This Row],[BS_line]]=bs_acc[[#This Row],[BS_line2]],bs_acc[[#This Row],[BS_line]],bs_acc[[#This Row],[BS_line]]&amp;"_"&amp;bs_acc[[#This Row],[BS_line2]])</f>
        <v>Trade receivables_Trade payables</v>
      </c>
    </row>
    <row r="200" spans="6:21" x14ac:dyDescent="0.3">
      <c r="F200" t="s">
        <v>2963</v>
      </c>
      <c r="G200" t="s">
        <v>2994</v>
      </c>
      <c r="H200" s="86" t="s">
        <v>3049</v>
      </c>
      <c r="I200" s="86" t="s">
        <v>3047</v>
      </c>
      <c r="K200" t="str">
        <f>IF(bs_acc[[#This Row],[BS_line]]=bs_acc[[#This Row],[BS_line2]],bs_acc[[#This Row],[BS_line]],bs_acc[[#This Row],[BS_line]]&amp;"_"&amp;bs_acc[[#This Row],[BS_line2]])</f>
        <v>Trade receivables_Trade payables</v>
      </c>
      <c r="T200" s="77"/>
      <c r="U200" s="78"/>
    </row>
    <row r="201" spans="6:21" x14ac:dyDescent="0.3">
      <c r="F201" t="s">
        <v>2964</v>
      </c>
      <c r="G201" t="s">
        <v>2994</v>
      </c>
      <c r="H201" s="86" t="s">
        <v>3049</v>
      </c>
      <c r="I201" s="86" t="s">
        <v>3047</v>
      </c>
      <c r="K201" t="str">
        <f>IF(bs_acc[[#This Row],[BS_line]]=bs_acc[[#This Row],[BS_line2]],bs_acc[[#This Row],[BS_line]],bs_acc[[#This Row],[BS_line]]&amp;"_"&amp;bs_acc[[#This Row],[BS_line2]])</f>
        <v>Trade receivables_Trade payables</v>
      </c>
      <c r="T201" s="75"/>
      <c r="U201" s="76"/>
    </row>
    <row r="202" spans="6:21" x14ac:dyDescent="0.3">
      <c r="F202" t="s">
        <v>2965</v>
      </c>
      <c r="G202" t="s">
        <v>2994</v>
      </c>
      <c r="H202" s="86" t="s">
        <v>3049</v>
      </c>
      <c r="I202" s="86" t="s">
        <v>3047</v>
      </c>
      <c r="K202" t="str">
        <f>IF(bs_acc[[#This Row],[BS_line]]=bs_acc[[#This Row],[BS_line2]],bs_acc[[#This Row],[BS_line]],bs_acc[[#This Row],[BS_line]]&amp;"_"&amp;bs_acc[[#This Row],[BS_line2]])</f>
        <v>Trade receivables_Trade payables</v>
      </c>
    </row>
    <row r="203" spans="6:21" x14ac:dyDescent="0.3">
      <c r="F203" t="s">
        <v>2966</v>
      </c>
      <c r="G203" t="s">
        <v>2994</v>
      </c>
      <c r="H203" s="86" t="s">
        <v>3049</v>
      </c>
      <c r="I203" s="86" t="s">
        <v>3047</v>
      </c>
      <c r="K203" t="str">
        <f>IF(bs_acc[[#This Row],[BS_line]]=bs_acc[[#This Row],[BS_line2]],bs_acc[[#This Row],[BS_line]],bs_acc[[#This Row],[BS_line]]&amp;"_"&amp;bs_acc[[#This Row],[BS_line2]])</f>
        <v>Trade receivables_Trade payables</v>
      </c>
    </row>
    <row r="204" spans="6:21" x14ac:dyDescent="0.3">
      <c r="F204" t="s">
        <v>2967</v>
      </c>
      <c r="G204" t="s">
        <v>2994</v>
      </c>
      <c r="H204" s="86" t="s">
        <v>3069</v>
      </c>
      <c r="I204" s="86" t="s">
        <v>3068</v>
      </c>
      <c r="K204" t="str">
        <f>IF(bs_acc[[#This Row],[BS_line]]=bs_acc[[#This Row],[BS_line2]],bs_acc[[#This Row],[BS_line]],bs_acc[[#This Row],[BS_line]]&amp;"_"&amp;bs_acc[[#This Row],[BS_line2]])</f>
        <v>Trade receivables_IC_Trade payables_IC</v>
      </c>
    </row>
    <row r="205" spans="6:21" x14ac:dyDescent="0.3">
      <c r="F205" t="s">
        <v>2968</v>
      </c>
      <c r="G205" t="s">
        <v>2994</v>
      </c>
      <c r="H205" s="86" t="s">
        <v>3059</v>
      </c>
      <c r="I205" s="86" t="s">
        <v>3059</v>
      </c>
      <c r="K205" t="str">
        <f>IF(bs_acc[[#This Row],[BS_line]]=bs_acc[[#This Row],[BS_line2]],bs_acc[[#This Row],[BS_line]],bs_acc[[#This Row],[BS_line]]&amp;"_"&amp;bs_acc[[#This Row],[BS_line2]])</f>
        <v>Provisions</v>
      </c>
    </row>
    <row r="206" spans="6:21" x14ac:dyDescent="0.3">
      <c r="F206" t="s">
        <v>3030</v>
      </c>
      <c r="G206" t="s">
        <v>2994</v>
      </c>
      <c r="H206" s="86" t="s">
        <v>3049</v>
      </c>
      <c r="I206" s="86" t="s">
        <v>3047</v>
      </c>
      <c r="K206" t="str">
        <f>IF(bs_acc[[#This Row],[BS_line]]=bs_acc[[#This Row],[BS_line2]],bs_acc[[#This Row],[BS_line]],bs_acc[[#This Row],[BS_line]]&amp;"_"&amp;bs_acc[[#This Row],[BS_line2]])</f>
        <v>Trade receivables_Trade payables</v>
      </c>
    </row>
    <row r="207" spans="6:21" x14ac:dyDescent="0.3">
      <c r="F207" t="s">
        <v>3022</v>
      </c>
      <c r="G207" t="s">
        <v>2994</v>
      </c>
      <c r="H207" s="86" t="s">
        <v>3049</v>
      </c>
      <c r="I207" s="86" t="s">
        <v>3047</v>
      </c>
      <c r="K207" t="str">
        <f>IF(bs_acc[[#This Row],[BS_line]]=bs_acc[[#This Row],[BS_line2]],bs_acc[[#This Row],[BS_line]],bs_acc[[#This Row],[BS_line]]&amp;"_"&amp;bs_acc[[#This Row],[BS_line2]])</f>
        <v>Trade receivables_Trade payables</v>
      </c>
    </row>
    <row r="208" spans="6:21" x14ac:dyDescent="0.3">
      <c r="F208" t="s">
        <v>2969</v>
      </c>
      <c r="G208" t="s">
        <v>2994</v>
      </c>
      <c r="H208" t="s">
        <v>3088</v>
      </c>
      <c r="I208" t="s">
        <v>3087</v>
      </c>
      <c r="K208" t="str">
        <f>IF(bs_acc[[#This Row],[BS_line]]=bs_acc[[#This Row],[BS_line2]],bs_acc[[#This Row],[BS_line]],bs_acc[[#This Row],[BS_line]]&amp;"_"&amp;bs_acc[[#This Row],[BS_line2]])</f>
        <v>Taxes receivables_Taxes payables</v>
      </c>
    </row>
    <row r="209" spans="6:11" x14ac:dyDescent="0.3">
      <c r="F209" t="s">
        <v>2970</v>
      </c>
      <c r="G209" t="s">
        <v>2994</v>
      </c>
      <c r="H209" t="s">
        <v>3088</v>
      </c>
      <c r="I209" t="s">
        <v>3087</v>
      </c>
      <c r="K209" t="str">
        <f>IF(bs_acc[[#This Row],[BS_line]]=bs_acc[[#This Row],[BS_line2]],bs_acc[[#This Row],[BS_line]],bs_acc[[#This Row],[BS_line]]&amp;"_"&amp;bs_acc[[#This Row],[BS_line2]])</f>
        <v>Taxes receivables_Taxes payables</v>
      </c>
    </row>
    <row r="210" spans="6:11" x14ac:dyDescent="0.3">
      <c r="F210" t="s">
        <v>2971</v>
      </c>
      <c r="G210" t="s">
        <v>2994</v>
      </c>
      <c r="H210" t="s">
        <v>3074</v>
      </c>
      <c r="I210" t="s">
        <v>3074</v>
      </c>
      <c r="K210" t="str">
        <f>IF(bs_acc[[#This Row],[BS_line]]=bs_acc[[#This Row],[BS_line2]],bs_acc[[#This Row],[BS_line]],bs_acc[[#This Row],[BS_line]]&amp;"_"&amp;bs_acc[[#This Row],[BS_line2]])</f>
        <v>Deferred tax liabilities</v>
      </c>
    </row>
    <row r="211" spans="6:11" x14ac:dyDescent="0.3">
      <c r="F211" t="s">
        <v>3033</v>
      </c>
      <c r="K211">
        <f>IF(bs_acc[[#This Row],[BS_line]]=bs_acc[[#This Row],[BS_line2]],bs_acc[[#This Row],[BS_line]],bs_acc[[#This Row],[BS_line]]&amp;"_"&amp;bs_acc[[#This Row],[BS_line2]])</f>
        <v>0</v>
      </c>
    </row>
    <row r="212" spans="6:11" x14ac:dyDescent="0.3">
      <c r="F212" t="s">
        <v>3042</v>
      </c>
      <c r="G212" t="s">
        <v>2994</v>
      </c>
      <c r="H212" t="s">
        <v>3057</v>
      </c>
      <c r="I212" t="s">
        <v>3057</v>
      </c>
      <c r="K212" t="str">
        <f>IF(bs_acc[[#This Row],[BS_line]]=bs_acc[[#This Row],[BS_line2]],bs_acc[[#This Row],[BS_line]],bs_acc[[#This Row],[BS_line]]&amp;"_"&amp;bs_acc[[#This Row],[BS_line2]])</f>
        <v>Other shareholders' contributions</v>
      </c>
    </row>
    <row r="213" spans="6:11" x14ac:dyDescent="0.3">
      <c r="F213" t="s">
        <v>2972</v>
      </c>
      <c r="K213">
        <f>IF(bs_acc[[#This Row],[BS_line]]=bs_acc[[#This Row],[BS_line2]],bs_acc[[#This Row],[BS_line]],bs_acc[[#This Row],[BS_line]]&amp;"_"&amp;bs_acc[[#This Row],[BS_line2]])</f>
        <v>0</v>
      </c>
    </row>
    <row r="214" spans="6:11" x14ac:dyDescent="0.3">
      <c r="F214" t="s">
        <v>2973</v>
      </c>
      <c r="G214" t="s">
        <v>2994</v>
      </c>
      <c r="H214" t="s">
        <v>3057</v>
      </c>
      <c r="I214" t="s">
        <v>3057</v>
      </c>
      <c r="K214" t="str">
        <f>IF(bs_acc[[#This Row],[BS_line]]=bs_acc[[#This Row],[BS_line2]],bs_acc[[#This Row],[BS_line]],bs_acc[[#This Row],[BS_line]]&amp;"_"&amp;bs_acc[[#This Row],[BS_line2]])</f>
        <v>Other shareholders' contributions</v>
      </c>
    </row>
    <row r="215" spans="6:11" x14ac:dyDescent="0.3">
      <c r="F215" t="s">
        <v>2974</v>
      </c>
      <c r="G215" t="s">
        <v>2994</v>
      </c>
      <c r="H215" t="s">
        <v>3057</v>
      </c>
      <c r="I215" t="s">
        <v>3057</v>
      </c>
      <c r="K215" t="str">
        <f>IF(bs_acc[[#This Row],[BS_line]]=bs_acc[[#This Row],[BS_line2]],bs_acc[[#This Row],[BS_line]],bs_acc[[#This Row],[BS_line]]&amp;"_"&amp;bs_acc[[#This Row],[BS_line2]])</f>
        <v>Other shareholders' contributions</v>
      </c>
    </row>
    <row r="216" spans="6:11" x14ac:dyDescent="0.3">
      <c r="F216" t="s">
        <v>3093</v>
      </c>
      <c r="G216" t="s">
        <v>2994</v>
      </c>
      <c r="H216" t="s">
        <v>3057</v>
      </c>
      <c r="I216" t="s">
        <v>3057</v>
      </c>
      <c r="K216" t="str">
        <f>IF(bs_acc[[#This Row],[BS_line]]=bs_acc[[#This Row],[BS_line2]],bs_acc[[#This Row],[BS_line]],bs_acc[[#This Row],[BS_line]]&amp;"_"&amp;bs_acc[[#This Row],[BS_line2]])</f>
        <v>Other shareholders' contributions</v>
      </c>
    </row>
    <row r="217" spans="6:11" x14ac:dyDescent="0.3">
      <c r="F217" t="s">
        <v>2975</v>
      </c>
      <c r="G217" t="s">
        <v>2994</v>
      </c>
      <c r="H217" t="s">
        <v>3075</v>
      </c>
      <c r="I217" t="s">
        <v>3075</v>
      </c>
      <c r="K217" t="str">
        <f>IF(bs_acc[[#This Row],[BS_line]]=bs_acc[[#This Row],[BS_line2]],bs_acc[[#This Row],[BS_line]],bs_acc[[#This Row],[BS_line]]&amp;"_"&amp;bs_acc[[#This Row],[BS_line2]])</f>
        <v>Other shareholders' contributions_IC</v>
      </c>
    </row>
    <row r="218" spans="6:11" x14ac:dyDescent="0.3">
      <c r="F218" t="s">
        <v>2976</v>
      </c>
      <c r="K218">
        <f>IF(bs_acc[[#This Row],[BS_line]]=bs_acc[[#This Row],[BS_line2]],bs_acc[[#This Row],[BS_line]],bs_acc[[#This Row],[BS_line]]&amp;"_"&amp;bs_acc[[#This Row],[BS_line2]])</f>
        <v>0</v>
      </c>
    </row>
    <row r="219" spans="6:11" x14ac:dyDescent="0.3">
      <c r="F219" t="s">
        <v>2977</v>
      </c>
      <c r="G219" t="s">
        <v>2994</v>
      </c>
      <c r="H219" s="86" t="s">
        <v>3057</v>
      </c>
      <c r="I219" s="86" t="s">
        <v>3057</v>
      </c>
      <c r="K219" t="str">
        <f>IF(bs_acc[[#This Row],[BS_line]]=bs_acc[[#This Row],[BS_line2]],bs_acc[[#This Row],[BS_line]],bs_acc[[#This Row],[BS_line]]&amp;"_"&amp;bs_acc[[#This Row],[BS_line2]])</f>
        <v>Other shareholders' contributions</v>
      </c>
    </row>
    <row r="220" spans="6:11" x14ac:dyDescent="0.3">
      <c r="F220" t="s">
        <v>2978</v>
      </c>
      <c r="K220">
        <f>IF(bs_acc[[#This Row],[BS_line]]=bs_acc[[#This Row],[BS_line2]],bs_acc[[#This Row],[BS_line]],bs_acc[[#This Row],[BS_line]]&amp;"_"&amp;bs_acc[[#This Row],[BS_line2]])</f>
        <v>0</v>
      </c>
    </row>
    <row r="221" spans="6:11" x14ac:dyDescent="0.3">
      <c r="F221" t="s">
        <v>3094</v>
      </c>
      <c r="G221" t="s">
        <v>2994</v>
      </c>
      <c r="H221" s="86" t="s">
        <v>3058</v>
      </c>
      <c r="I221" s="86" t="s">
        <v>3058</v>
      </c>
      <c r="K221" t="str">
        <f>IF(bs_acc[[#This Row],[BS_line]]=bs_acc[[#This Row],[BS_line2]],bs_acc[[#This Row],[BS_line]],bs_acc[[#This Row],[BS_line]]&amp;"_"&amp;bs_acc[[#This Row],[BS_line2]])</f>
        <v>Retained earnings</v>
      </c>
    </row>
    <row r="222" spans="6:11" x14ac:dyDescent="0.3">
      <c r="F222" t="s">
        <v>2979</v>
      </c>
      <c r="G222" t="s">
        <v>2994</v>
      </c>
      <c r="H222" s="86" t="s">
        <v>3058</v>
      </c>
      <c r="I222" s="86" t="s">
        <v>3058</v>
      </c>
      <c r="K222" t="str">
        <f>IF(bs_acc[[#This Row],[BS_line]]=bs_acc[[#This Row],[BS_line2]],bs_acc[[#This Row],[BS_line]],bs_acc[[#This Row],[BS_line]]&amp;"_"&amp;bs_acc[[#This Row],[BS_line2]])</f>
        <v>Retained earnings</v>
      </c>
    </row>
    <row r="223" spans="6:11" x14ac:dyDescent="0.3">
      <c r="F223" t="s">
        <v>2980</v>
      </c>
      <c r="K223">
        <f>IF(bs_acc[[#This Row],[BS_line]]=bs_acc[[#This Row],[BS_line2]],bs_acc[[#This Row],[BS_line]],bs_acc[[#This Row],[BS_line]]&amp;"_"&amp;bs_acc[[#This Row],[BS_line2]])</f>
        <v>0</v>
      </c>
    </row>
    <row r="224" spans="6:11" x14ac:dyDescent="0.3">
      <c r="F224" t="s">
        <v>2981</v>
      </c>
      <c r="K224">
        <f>IF(bs_acc[[#This Row],[BS_line]]=bs_acc[[#This Row],[BS_line2]],bs_acc[[#This Row],[BS_line]],bs_acc[[#This Row],[BS_line]]&amp;"_"&amp;bs_acc[[#This Row],[BS_line2]])</f>
        <v>0</v>
      </c>
    </row>
    <row r="225" spans="6:11" x14ac:dyDescent="0.3">
      <c r="F225" t="s">
        <v>2982</v>
      </c>
      <c r="G225" t="s">
        <v>2994</v>
      </c>
      <c r="H225" t="s">
        <v>3059</v>
      </c>
      <c r="I225" t="s">
        <v>3059</v>
      </c>
      <c r="K225" t="str">
        <f>IF(bs_acc[[#This Row],[BS_line]]=bs_acc[[#This Row],[BS_line2]],bs_acc[[#This Row],[BS_line]],bs_acc[[#This Row],[BS_line]]&amp;"_"&amp;bs_acc[[#This Row],[BS_line2]])</f>
        <v>Provisions</v>
      </c>
    </row>
    <row r="226" spans="6:11" x14ac:dyDescent="0.3">
      <c r="F226" t="s">
        <v>2983</v>
      </c>
      <c r="G226" t="s">
        <v>2994</v>
      </c>
      <c r="H226" t="s">
        <v>3059</v>
      </c>
      <c r="I226" t="s">
        <v>3059</v>
      </c>
      <c r="K226" t="str">
        <f>IF(bs_acc[[#This Row],[BS_line]]=bs_acc[[#This Row],[BS_line2]],bs_acc[[#This Row],[BS_line]],bs_acc[[#This Row],[BS_line]]&amp;"_"&amp;bs_acc[[#This Row],[BS_line2]])</f>
        <v>Provisions</v>
      </c>
    </row>
    <row r="227" spans="6:11" x14ac:dyDescent="0.3">
      <c r="F227" t="s">
        <v>2984</v>
      </c>
      <c r="G227" t="s">
        <v>2994</v>
      </c>
      <c r="H227" t="s">
        <v>3059</v>
      </c>
      <c r="I227" t="s">
        <v>3059</v>
      </c>
      <c r="K227" t="str">
        <f>IF(bs_acc[[#This Row],[BS_line]]=bs_acc[[#This Row],[BS_line2]],bs_acc[[#This Row],[BS_line]],bs_acc[[#This Row],[BS_line]]&amp;"_"&amp;bs_acc[[#This Row],[BS_line2]])</f>
        <v>Provisions</v>
      </c>
    </row>
    <row r="228" spans="6:11" x14ac:dyDescent="0.3">
      <c r="F228" t="s">
        <v>2985</v>
      </c>
      <c r="K228">
        <f>IF(bs_acc[[#This Row],[BS_line]]=bs_acc[[#This Row],[BS_line2]],bs_acc[[#This Row],[BS_line]],bs_acc[[#This Row],[BS_line]]&amp;"_"&amp;bs_acc[[#This Row],[BS_line2]])</f>
        <v>0</v>
      </c>
    </row>
    <row r="229" spans="6:11" x14ac:dyDescent="0.3">
      <c r="F229" t="s">
        <v>2986</v>
      </c>
      <c r="G229" t="s">
        <v>2994</v>
      </c>
      <c r="H229" t="s">
        <v>3053</v>
      </c>
      <c r="I229" t="s">
        <v>3053</v>
      </c>
      <c r="K229" t="str">
        <f>IF(bs_acc[[#This Row],[BS_line]]=bs_acc[[#This Row],[BS_line2]],bs_acc[[#This Row],[BS_line]],bs_acc[[#This Row],[BS_line]]&amp;"_"&amp;bs_acc[[#This Row],[BS_line2]])</f>
        <v>Other current assets</v>
      </c>
    </row>
    <row r="230" spans="6:11" x14ac:dyDescent="0.3">
      <c r="F230" t="s">
        <v>2987</v>
      </c>
      <c r="K230">
        <f>IF(bs_acc[[#This Row],[BS_line]]=bs_acc[[#This Row],[BS_line2]],bs_acc[[#This Row],[BS_line]],bs_acc[[#This Row],[BS_line]]&amp;"_"&amp;bs_acc[[#This Row],[BS_line2]])</f>
        <v>0</v>
      </c>
    </row>
    <row r="231" spans="6:11" x14ac:dyDescent="0.3">
      <c r="F231" t="s">
        <v>2988</v>
      </c>
      <c r="K231">
        <f>IF(bs_acc[[#This Row],[BS_line]]=bs_acc[[#This Row],[BS_line2]],bs_acc[[#This Row],[BS_line]],bs_acc[[#This Row],[BS_line]]&amp;"_"&amp;bs_acc[[#This Row],[BS_line2]])</f>
        <v>0</v>
      </c>
    </row>
    <row r="232" spans="6:11" x14ac:dyDescent="0.3">
      <c r="F232" t="s">
        <v>2989</v>
      </c>
      <c r="K232">
        <f>IF(bs_acc[[#This Row],[BS_line]]=bs_acc[[#This Row],[BS_line2]],bs_acc[[#This Row],[BS_line]],bs_acc[[#This Row],[BS_line]]&amp;"_"&amp;bs_acc[[#This Row],[BS_line2]])</f>
        <v>0</v>
      </c>
    </row>
    <row r="233" spans="6:11" x14ac:dyDescent="0.3">
      <c r="F233" t="s">
        <v>2990</v>
      </c>
      <c r="G233" t="s">
        <v>2994</v>
      </c>
      <c r="H233" s="86" t="s">
        <v>3050</v>
      </c>
      <c r="I233" s="86" t="s">
        <v>3050</v>
      </c>
      <c r="K233" t="str">
        <f>IF(bs_acc[[#This Row],[BS_line]]=bs_acc[[#This Row],[BS_line2]],bs_acc[[#This Row],[BS_line]],bs_acc[[#This Row],[BS_line]]&amp;"_"&amp;bs_acc[[#This Row],[BS_line2]])</f>
        <v>Advances from clients</v>
      </c>
    </row>
    <row r="234" spans="6:11" x14ac:dyDescent="0.3">
      <c r="F234" t="s">
        <v>2991</v>
      </c>
      <c r="G234" t="s">
        <v>2994</v>
      </c>
      <c r="H234" s="86" t="s">
        <v>3050</v>
      </c>
      <c r="I234" s="86" t="s">
        <v>3050</v>
      </c>
      <c r="K234" t="str">
        <f>IF(bs_acc[[#This Row],[BS_line]]=bs_acc[[#This Row],[BS_line2]],bs_acc[[#This Row],[BS_line]],bs_acc[[#This Row],[BS_line]]&amp;"_"&amp;bs_acc[[#This Row],[BS_line2]])</f>
        <v>Advances from clients</v>
      </c>
    </row>
    <row r="235" spans="6:11" x14ac:dyDescent="0.3">
      <c r="F235" t="s">
        <v>2992</v>
      </c>
      <c r="G235" t="s">
        <v>2994</v>
      </c>
      <c r="H235" s="86" t="s">
        <v>3050</v>
      </c>
      <c r="I235" s="86" t="s">
        <v>3050</v>
      </c>
      <c r="K235" t="str">
        <f>IF(bs_acc[[#This Row],[BS_line]]=bs_acc[[#This Row],[BS_line2]],bs_acc[[#This Row],[BS_line]],bs_acc[[#This Row],[BS_line]]&amp;"_"&amp;bs_acc[[#This Row],[BS_line2]])</f>
        <v>Advances from clients</v>
      </c>
    </row>
    <row r="236" spans="6:11" x14ac:dyDescent="0.3">
      <c r="F236" t="s">
        <v>2993</v>
      </c>
      <c r="G236" t="s">
        <v>2994</v>
      </c>
      <c r="H236" t="s">
        <v>3058</v>
      </c>
      <c r="I236" t="s">
        <v>3058</v>
      </c>
      <c r="K236" t="str">
        <f>IF(bs_acc[[#This Row],[BS_line]]=bs_acc[[#This Row],[BS_line2]],bs_acc[[#This Row],[BS_line]],bs_acc[[#This Row],[BS_line]]&amp;"_"&amp;bs_acc[[#This Row],[BS_line2]])</f>
        <v>Retained earnings</v>
      </c>
    </row>
    <row r="237" spans="6:11" x14ac:dyDescent="0.3">
      <c r="K237">
        <f>IF(bs_acc[[#This Row],[BS_line]]=bs_acc[[#This Row],[BS_line2]],bs_acc[[#This Row],[BS_line]],bs_acc[[#This Row],[BS_line]]&amp;"_"&amp;bs_acc[[#This Row],[BS_line2]])</f>
        <v>0</v>
      </c>
    </row>
    <row r="238" spans="6:11" x14ac:dyDescent="0.3">
      <c r="K238">
        <f>IF(bs_acc[[#This Row],[BS_line]]=bs_acc[[#This Row],[BS_line2]],bs_acc[[#This Row],[BS_line]],bs_acc[[#This Row],[BS_line]]&amp;"_"&amp;bs_acc[[#This Row],[BS_line2]])</f>
        <v>0</v>
      </c>
    </row>
  </sheetData>
  <phoneticPr fontId="6" type="noConversion"/>
  <conditionalFormatting sqref="F1:F1048576">
    <cfRule type="containsText" dxfId="40" priority="1" operator="containsText" text="68.">
      <formula>NOT(ISERROR(SEARCH("68.",F1)))</formula>
    </cfRule>
  </conditionalFormatting>
  <pageMargins left="0.7" right="0.7" top="0.75" bottom="0.75" header="0.3" footer="0.3"/>
  <pageSetup paperSize="9" orientation="portrait" verticalDpi="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60ACF-9EFF-42B3-B767-CD31AEFC8ABA}">
  <sheetPr codeName="Sheet12"/>
  <dimension ref="E3:I42"/>
  <sheetViews>
    <sheetView topLeftCell="D1" zoomScale="90" zoomScaleNormal="90" workbookViewId="0">
      <selection activeCell="I3" sqref="I3"/>
    </sheetView>
  </sheetViews>
  <sheetFormatPr defaultRowHeight="14.4" x14ac:dyDescent="0.3"/>
  <cols>
    <col min="5" max="5" width="53.33203125" customWidth="1"/>
    <col min="6" max="6" width="66.5546875" customWidth="1"/>
    <col min="9" max="9" width="45" customWidth="1"/>
  </cols>
  <sheetData>
    <row r="3" spans="5:9" x14ac:dyDescent="0.3">
      <c r="E3" t="s">
        <v>3044</v>
      </c>
      <c r="F3" t="s">
        <v>3044</v>
      </c>
      <c r="I3" t="s">
        <v>3044</v>
      </c>
    </row>
    <row r="4" spans="5:9" x14ac:dyDescent="0.3">
      <c r="E4" t="s">
        <v>3043</v>
      </c>
      <c r="F4" t="s">
        <v>3043</v>
      </c>
      <c r="I4" t="s">
        <v>3043</v>
      </c>
    </row>
    <row r="5" spans="5:9" x14ac:dyDescent="0.3">
      <c r="E5" t="s">
        <v>3141</v>
      </c>
      <c r="F5" t="s">
        <v>3142</v>
      </c>
      <c r="I5" t="s">
        <v>3142</v>
      </c>
    </row>
    <row r="6" spans="5:9" x14ac:dyDescent="0.3">
      <c r="E6" t="s">
        <v>3143</v>
      </c>
      <c r="F6" t="s">
        <v>3090</v>
      </c>
      <c r="I6" t="s">
        <v>3090</v>
      </c>
    </row>
    <row r="7" spans="5:9" x14ac:dyDescent="0.3">
      <c r="E7" t="s">
        <v>3144</v>
      </c>
      <c r="F7" t="s">
        <v>3065</v>
      </c>
      <c r="I7" t="s">
        <v>3065</v>
      </c>
    </row>
    <row r="8" spans="5:9" x14ac:dyDescent="0.3">
      <c r="E8" t="s">
        <v>3061</v>
      </c>
      <c r="F8" t="s">
        <v>3061</v>
      </c>
      <c r="I8" t="s">
        <v>3061</v>
      </c>
    </row>
    <row r="9" spans="5:9" x14ac:dyDescent="0.3">
      <c r="E9" t="s">
        <v>3076</v>
      </c>
      <c r="F9" t="s">
        <v>3076</v>
      </c>
      <c r="I9" t="s">
        <v>3076</v>
      </c>
    </row>
    <row r="10" spans="5:9" x14ac:dyDescent="0.3">
      <c r="F10" t="s">
        <v>1543</v>
      </c>
      <c r="I10" t="s">
        <v>1543</v>
      </c>
    </row>
    <row r="11" spans="5:9" x14ac:dyDescent="0.3">
      <c r="E11" t="s">
        <v>3045</v>
      </c>
      <c r="F11" t="s">
        <v>3045</v>
      </c>
      <c r="I11" t="s">
        <v>3045</v>
      </c>
    </row>
    <row r="12" spans="5:9" x14ac:dyDescent="0.3">
      <c r="E12" t="s">
        <v>3048</v>
      </c>
      <c r="F12" t="s">
        <v>3048</v>
      </c>
      <c r="I12" t="s">
        <v>3048</v>
      </c>
    </row>
    <row r="13" spans="5:9" x14ac:dyDescent="0.3">
      <c r="E13" t="s">
        <v>3049</v>
      </c>
      <c r="F13" t="s">
        <v>3049</v>
      </c>
      <c r="I13" t="s">
        <v>3049</v>
      </c>
    </row>
    <row r="14" spans="5:9" x14ac:dyDescent="0.3">
      <c r="E14" t="s">
        <v>3053</v>
      </c>
      <c r="F14" t="s">
        <v>3048</v>
      </c>
      <c r="I14" t="s">
        <v>3046</v>
      </c>
    </row>
    <row r="15" spans="5:9" x14ac:dyDescent="0.3">
      <c r="E15" t="s">
        <v>3046</v>
      </c>
      <c r="F15" t="s">
        <v>3046</v>
      </c>
      <c r="I15" t="s">
        <v>3146</v>
      </c>
    </row>
    <row r="16" spans="5:9" x14ac:dyDescent="0.3">
      <c r="E16" t="s">
        <v>3145</v>
      </c>
      <c r="F16" t="s">
        <v>3146</v>
      </c>
      <c r="I16" t="s">
        <v>3077</v>
      </c>
    </row>
    <row r="17" spans="5:9" x14ac:dyDescent="0.3">
      <c r="E17" t="s">
        <v>3077</v>
      </c>
      <c r="F17" t="s">
        <v>3077</v>
      </c>
      <c r="I17" t="s">
        <v>3054</v>
      </c>
    </row>
    <row r="18" spans="5:9" x14ac:dyDescent="0.3">
      <c r="E18" t="s">
        <v>3054</v>
      </c>
      <c r="F18" t="s">
        <v>3054</v>
      </c>
      <c r="I18" t="s">
        <v>3078</v>
      </c>
    </row>
    <row r="19" spans="5:9" x14ac:dyDescent="0.3">
      <c r="E19" t="s">
        <v>3078</v>
      </c>
      <c r="F19" t="s">
        <v>3078</v>
      </c>
    </row>
    <row r="20" spans="5:9" x14ac:dyDescent="0.3">
      <c r="F20" t="s">
        <v>1543</v>
      </c>
      <c r="I20" t="s">
        <v>3079</v>
      </c>
    </row>
    <row r="21" spans="5:9" x14ac:dyDescent="0.3">
      <c r="E21" t="s">
        <v>3079</v>
      </c>
      <c r="F21" t="s">
        <v>3079</v>
      </c>
    </row>
    <row r="22" spans="5:9" x14ac:dyDescent="0.3">
      <c r="F22" t="s">
        <v>1543</v>
      </c>
      <c r="I22" t="s">
        <v>3080</v>
      </c>
    </row>
    <row r="23" spans="5:9" x14ac:dyDescent="0.3">
      <c r="E23" t="s">
        <v>3080</v>
      </c>
      <c r="F23" t="s">
        <v>3080</v>
      </c>
      <c r="I23" t="s">
        <v>3081</v>
      </c>
    </row>
    <row r="24" spans="5:9" x14ac:dyDescent="0.3">
      <c r="E24" t="s">
        <v>3081</v>
      </c>
      <c r="F24" t="s">
        <v>3081</v>
      </c>
      <c r="I24" t="s">
        <v>3057</v>
      </c>
    </row>
    <row r="25" spans="5:9" x14ac:dyDescent="0.3">
      <c r="E25" t="s">
        <v>3057</v>
      </c>
      <c r="F25" t="s">
        <v>3057</v>
      </c>
      <c r="I25" t="s">
        <v>3147</v>
      </c>
    </row>
    <row r="26" spans="5:9" x14ac:dyDescent="0.3">
      <c r="E26" t="s">
        <v>3058</v>
      </c>
      <c r="F26" t="s">
        <v>3147</v>
      </c>
      <c r="I26" t="s">
        <v>3082</v>
      </c>
    </row>
    <row r="27" spans="5:9" x14ac:dyDescent="0.3">
      <c r="E27" t="s">
        <v>3082</v>
      </c>
      <c r="F27" t="s">
        <v>3082</v>
      </c>
    </row>
    <row r="28" spans="5:9" x14ac:dyDescent="0.3">
      <c r="F28" t="s">
        <v>1543</v>
      </c>
      <c r="I28" t="s">
        <v>3073</v>
      </c>
    </row>
    <row r="29" spans="5:9" x14ac:dyDescent="0.3">
      <c r="E29" t="s">
        <v>3073</v>
      </c>
      <c r="F29" t="s">
        <v>3073</v>
      </c>
      <c r="I29" t="s">
        <v>3051</v>
      </c>
    </row>
    <row r="30" spans="5:9" x14ac:dyDescent="0.3">
      <c r="E30" t="s">
        <v>3051</v>
      </c>
      <c r="F30" t="s">
        <v>3051</v>
      </c>
      <c r="I30" t="s">
        <v>3083</v>
      </c>
    </row>
    <row r="31" spans="5:9" x14ac:dyDescent="0.3">
      <c r="E31" t="s">
        <v>3083</v>
      </c>
      <c r="F31" t="s">
        <v>3083</v>
      </c>
    </row>
    <row r="32" spans="5:9" x14ac:dyDescent="0.3">
      <c r="F32" t="s">
        <v>1543</v>
      </c>
      <c r="I32" t="s">
        <v>3060</v>
      </c>
    </row>
    <row r="33" spans="5:9" x14ac:dyDescent="0.3">
      <c r="E33" t="s">
        <v>3060</v>
      </c>
      <c r="F33" t="s">
        <v>3060</v>
      </c>
      <c r="I33" t="s">
        <v>3052</v>
      </c>
    </row>
    <row r="34" spans="5:9" x14ac:dyDescent="0.3">
      <c r="E34" t="s">
        <v>3052</v>
      </c>
      <c r="F34" t="s">
        <v>3052</v>
      </c>
      <c r="I34" t="s">
        <v>3047</v>
      </c>
    </row>
    <row r="35" spans="5:9" x14ac:dyDescent="0.3">
      <c r="E35" t="s">
        <v>3047</v>
      </c>
      <c r="F35" t="s">
        <v>3047</v>
      </c>
      <c r="I35" t="s">
        <v>3055</v>
      </c>
    </row>
    <row r="36" spans="5:9" x14ac:dyDescent="0.3">
      <c r="E36" t="s">
        <v>3055</v>
      </c>
      <c r="F36" t="s">
        <v>3055</v>
      </c>
      <c r="I36" t="s">
        <v>3149</v>
      </c>
    </row>
    <row r="37" spans="5:9" x14ac:dyDescent="0.3">
      <c r="E37" t="s">
        <v>3148</v>
      </c>
      <c r="F37" t="s">
        <v>3149</v>
      </c>
      <c r="I37" t="s">
        <v>3059</v>
      </c>
    </row>
    <row r="38" spans="5:9" x14ac:dyDescent="0.3">
      <c r="E38" t="s">
        <v>3084</v>
      </c>
      <c r="F38" t="s">
        <v>3084</v>
      </c>
      <c r="I38" t="s">
        <v>3085</v>
      </c>
    </row>
    <row r="39" spans="5:9" x14ac:dyDescent="0.3">
      <c r="E39" t="s">
        <v>3050</v>
      </c>
      <c r="F39" t="s">
        <v>3047</v>
      </c>
    </row>
    <row r="40" spans="5:9" x14ac:dyDescent="0.3">
      <c r="E40" t="s">
        <v>3056</v>
      </c>
      <c r="F40" t="s">
        <v>3047</v>
      </c>
      <c r="I40" t="s">
        <v>3086</v>
      </c>
    </row>
    <row r="41" spans="5:9" x14ac:dyDescent="0.3">
      <c r="E41" t="s">
        <v>3059</v>
      </c>
      <c r="F41" t="s">
        <v>3059</v>
      </c>
    </row>
    <row r="42" spans="5:9" x14ac:dyDescent="0.3">
      <c r="E42" t="s">
        <v>3085</v>
      </c>
      <c r="F42" t="s">
        <v>3085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BC1EE-D6D5-4C47-BB4E-48A418C27F1C}">
  <sheetPr codeName="Sheet13"/>
  <dimension ref="J4:L108"/>
  <sheetViews>
    <sheetView tabSelected="1" topLeftCell="A67" workbookViewId="0">
      <selection activeCell="K73" sqref="K73"/>
    </sheetView>
  </sheetViews>
  <sheetFormatPr defaultRowHeight="14.4" x14ac:dyDescent="0.3"/>
  <cols>
    <col min="10" max="10" width="7.109375" bestFit="1" customWidth="1"/>
    <col min="11" max="11" width="33.77734375" bestFit="1" customWidth="1"/>
    <col min="12" max="12" width="42.77734375" customWidth="1"/>
    <col min="13" max="13" width="36.109375" customWidth="1"/>
  </cols>
  <sheetData>
    <row r="4" spans="10:12" x14ac:dyDescent="0.3">
      <c r="J4" t="s">
        <v>1785</v>
      </c>
      <c r="K4" t="s">
        <v>3159</v>
      </c>
    </row>
    <row r="5" spans="10:12" x14ac:dyDescent="0.3">
      <c r="J5" t="s">
        <v>2793</v>
      </c>
      <c r="K5" t="s">
        <v>3144</v>
      </c>
      <c r="L5" t="str">
        <f>IFERROR(INDEX(BS!K:K,MATCH(help_2!J5,BS!F:F,0)), "absent")</f>
        <v>Property, plant and equipment</v>
      </c>
    </row>
    <row r="6" spans="10:12" x14ac:dyDescent="0.3">
      <c r="J6" t="s">
        <v>2794</v>
      </c>
      <c r="K6" t="s">
        <v>3144</v>
      </c>
      <c r="L6" t="str">
        <f>IFERROR(INDEX(BS!K:K,MATCH(help_2!J6,BS!F:F,0)), "absent")</f>
        <v>Right-of-use assets</v>
      </c>
    </row>
    <row r="7" spans="10:12" x14ac:dyDescent="0.3">
      <c r="J7" t="s">
        <v>2795</v>
      </c>
      <c r="K7" t="s">
        <v>3144</v>
      </c>
      <c r="L7" t="str">
        <f>IFERROR(INDEX(BS!K:K,MATCH(help_2!J7,BS!F:F,0)), "absent")</f>
        <v>Property, plant and equipment</v>
      </c>
    </row>
    <row r="8" spans="10:12" x14ac:dyDescent="0.3">
      <c r="J8" t="s">
        <v>2798</v>
      </c>
      <c r="K8" t="s">
        <v>3144</v>
      </c>
      <c r="L8" t="str">
        <f>IFERROR(INDEX(BS!K:K,MATCH(help_2!J8,BS!F:F,0)), "absent")</f>
        <v>Property, plant and equipment</v>
      </c>
    </row>
    <row r="9" spans="10:12" x14ac:dyDescent="0.3">
      <c r="J9" t="s">
        <v>2799</v>
      </c>
      <c r="K9" t="s">
        <v>3144</v>
      </c>
      <c r="L9" t="str">
        <f>IFERROR(INDEX(BS!K:K,MATCH(help_2!J9,BS!F:F,0)), "absent")</f>
        <v>Property, plant and equipment</v>
      </c>
    </row>
    <row r="10" spans="10:12" x14ac:dyDescent="0.3">
      <c r="J10" t="s">
        <v>2800</v>
      </c>
      <c r="K10" t="s">
        <v>3144</v>
      </c>
      <c r="L10" t="str">
        <f>IFERROR(INDEX(BS!K:K,MATCH(help_2!J10,BS!F:F,0)), "absent")</f>
        <v>Right-of-use assets</v>
      </c>
    </row>
    <row r="11" spans="10:12" x14ac:dyDescent="0.3">
      <c r="J11" t="s">
        <v>2802</v>
      </c>
      <c r="K11" t="s">
        <v>3144</v>
      </c>
      <c r="L11" t="str">
        <f>IFERROR(INDEX(BS!K:K,MATCH(help_2!J11,BS!F:F,0)), "absent")</f>
        <v>Fixed assets for operating lease</v>
      </c>
    </row>
    <row r="12" spans="10:12" x14ac:dyDescent="0.3">
      <c r="J12" t="s">
        <v>2803</v>
      </c>
      <c r="K12" t="s">
        <v>3144</v>
      </c>
      <c r="L12" t="str">
        <f>IFERROR(INDEX(BS!K:K,MATCH(help_2!J12,BS!F:F,0)), "absent")</f>
        <v>Fixed assets for operating lease</v>
      </c>
    </row>
    <row r="13" spans="10:12" x14ac:dyDescent="0.3">
      <c r="J13" t="s">
        <v>2804</v>
      </c>
      <c r="K13" t="s">
        <v>3144</v>
      </c>
      <c r="L13" t="str">
        <f>IFERROR(INDEX(BS!K:K,MATCH(help_2!J13,BS!F:F,0)), "absent")</f>
        <v>Fixed assets for operating lease</v>
      </c>
    </row>
    <row r="14" spans="10:12" x14ac:dyDescent="0.3">
      <c r="J14" t="s">
        <v>2805</v>
      </c>
      <c r="K14" t="s">
        <v>3144</v>
      </c>
      <c r="L14" t="str">
        <f>IFERROR(INDEX(BS!K:K,MATCH(help_2!J14,BS!F:F,0)), "absent")</f>
        <v>Fixed assets for operating lease</v>
      </c>
    </row>
    <row r="15" spans="10:12" x14ac:dyDescent="0.3">
      <c r="J15" t="s">
        <v>2807</v>
      </c>
      <c r="K15" t="s">
        <v>3043</v>
      </c>
      <c r="L15" t="str">
        <f>IFERROR(INDEX(BS!K:K,MATCH(help_2!J15,BS!F:F,0)), "absent")</f>
        <v>Intangible assets</v>
      </c>
    </row>
    <row r="16" spans="10:12" x14ac:dyDescent="0.3">
      <c r="J16" t="s">
        <v>2809</v>
      </c>
      <c r="K16" t="s">
        <v>3043</v>
      </c>
      <c r="L16">
        <f>IFERROR(INDEX(BS!K:K,MATCH(help_2!J16,BS!F:F,0)), "absent")</f>
        <v>0</v>
      </c>
    </row>
    <row r="17" spans="10:12" x14ac:dyDescent="0.3">
      <c r="J17" t="s">
        <v>2814</v>
      </c>
      <c r="K17" t="s">
        <v>3144</v>
      </c>
      <c r="L17" t="str">
        <f>IFERROR(INDEX(BS!K:K,MATCH(help_2!J17,BS!F:F,0)), "absent")</f>
        <v>Property, plant and equipment</v>
      </c>
    </row>
    <row r="18" spans="10:12" x14ac:dyDescent="0.3">
      <c r="J18" t="s">
        <v>2815</v>
      </c>
      <c r="K18" t="s">
        <v>3144</v>
      </c>
      <c r="L18" t="str">
        <f>IFERROR(INDEX(BS!K:K,MATCH(help_2!J18,BS!F:F,0)), "absent")</f>
        <v>Property, plant and equipment</v>
      </c>
    </row>
    <row r="19" spans="10:12" x14ac:dyDescent="0.3">
      <c r="J19" t="s">
        <v>2816</v>
      </c>
      <c r="K19" t="s">
        <v>3044</v>
      </c>
      <c r="L19" t="str">
        <f>IFERROR(INDEX(BS!K:K,MATCH(help_2!J19,BS!F:F,0)), "absent")</f>
        <v>Deferred tax asset</v>
      </c>
    </row>
    <row r="20" spans="10:12" x14ac:dyDescent="0.3">
      <c r="J20" t="s">
        <v>2817</v>
      </c>
      <c r="K20" t="s">
        <v>3045</v>
      </c>
      <c r="L20">
        <f>IFERROR(INDEX(BS!K:K,MATCH(help_2!J20,BS!F:F,0)), "absent")</f>
        <v>0</v>
      </c>
    </row>
    <row r="21" spans="10:12" x14ac:dyDescent="0.3">
      <c r="J21" t="s">
        <v>2825</v>
      </c>
      <c r="K21" t="s">
        <v>3145</v>
      </c>
      <c r="L21">
        <f>IFERROR(INDEX(BS!K:K,MATCH(help_2!J21,BS!F:F,0)), "absent")</f>
        <v>0</v>
      </c>
    </row>
    <row r="22" spans="10:12" x14ac:dyDescent="0.3">
      <c r="J22" t="s">
        <v>2831</v>
      </c>
      <c r="K22" t="s">
        <v>3045</v>
      </c>
      <c r="L22" t="str">
        <f>IFERROR(INDEX(BS!K:K,MATCH(help_2!J22,BS!F:F,0)), "absent")</f>
        <v>Inventories</v>
      </c>
    </row>
    <row r="23" spans="10:12" x14ac:dyDescent="0.3">
      <c r="J23" t="s">
        <v>3150</v>
      </c>
      <c r="K23" t="s">
        <v>3045</v>
      </c>
      <c r="L23" t="str">
        <f>IFERROR(INDEX(BS!K:K,MATCH(help_2!J23,BS!F:F,0)), "absent")</f>
        <v>absent</v>
      </c>
    </row>
    <row r="24" spans="10:12" x14ac:dyDescent="0.3">
      <c r="J24" t="s">
        <v>2832</v>
      </c>
      <c r="K24" t="s">
        <v>3045</v>
      </c>
      <c r="L24" t="str">
        <f>IFERROR(INDEX(BS!K:K,MATCH(help_2!J24,BS!F:F,0)), "absent")</f>
        <v>Inventories</v>
      </c>
    </row>
    <row r="25" spans="10:12" x14ac:dyDescent="0.3">
      <c r="J25" t="s">
        <v>2833</v>
      </c>
      <c r="K25" t="s">
        <v>3045</v>
      </c>
      <c r="L25" t="str">
        <f>IFERROR(INDEX(BS!K:K,MATCH(help_2!J25,BS!F:F,0)), "absent")</f>
        <v>Inventories</v>
      </c>
    </row>
    <row r="26" spans="10:12" x14ac:dyDescent="0.3">
      <c r="J26" t="s">
        <v>3151</v>
      </c>
      <c r="K26" t="s">
        <v>3046</v>
      </c>
      <c r="L26" t="str">
        <f>IFERROR(INDEX(BS!K:K,MATCH(help_2!J26,BS!F:F,0)), "absent")</f>
        <v>absent</v>
      </c>
    </row>
    <row r="27" spans="10:12" x14ac:dyDescent="0.3">
      <c r="J27" t="s">
        <v>2834</v>
      </c>
      <c r="K27" t="s">
        <v>3046</v>
      </c>
      <c r="L27" t="str">
        <f>IFERROR(INDEX(BS!K:K,MATCH(help_2!J27,BS!F:F,0)), "absent")</f>
        <v>Cash and cash equivalents</v>
      </c>
    </row>
    <row r="28" spans="10:12" x14ac:dyDescent="0.3">
      <c r="J28" t="s">
        <v>2835</v>
      </c>
      <c r="K28" t="s">
        <v>3046</v>
      </c>
      <c r="L28" t="str">
        <f>IFERROR(INDEX(BS!K:K,MATCH(help_2!J28,BS!F:F,0)), "absent")</f>
        <v>Cash and cash equivalents</v>
      </c>
    </row>
    <row r="29" spans="10:12" x14ac:dyDescent="0.3">
      <c r="J29" t="s">
        <v>2837</v>
      </c>
      <c r="K29" t="s">
        <v>3046</v>
      </c>
      <c r="L29" t="str">
        <f>IFERROR(INDEX(BS!K:K,MATCH(help_2!J29,BS!F:F,0)), "absent")</f>
        <v>Cash and cash equivalents</v>
      </c>
    </row>
    <row r="30" spans="10:12" x14ac:dyDescent="0.3">
      <c r="J30" t="s">
        <v>2838</v>
      </c>
      <c r="K30" t="s">
        <v>3046</v>
      </c>
      <c r="L30">
        <f>IFERROR(INDEX(BS!K:K,MATCH(help_2!J30,BS!F:F,0)), "absent")</f>
        <v>0</v>
      </c>
    </row>
    <row r="31" spans="10:12" x14ac:dyDescent="0.3">
      <c r="J31" t="s">
        <v>3036</v>
      </c>
      <c r="K31" t="s">
        <v>3160</v>
      </c>
      <c r="L31" t="str">
        <f>IFERROR(INDEX(BS!K:K,MATCH(help_2!J31,BS!F:F,0)), "absent")</f>
        <v>Investments in subsidaries</v>
      </c>
    </row>
    <row r="32" spans="10:12" x14ac:dyDescent="0.3">
      <c r="J32" t="s">
        <v>3095</v>
      </c>
      <c r="K32" t="s">
        <v>3161</v>
      </c>
      <c r="L32" t="str">
        <f>IFERROR(INDEX(BS!K:K,MATCH(help_2!J32,BS!F:F,0)), "absent")</f>
        <v>absent</v>
      </c>
    </row>
    <row r="33" spans="10:12" x14ac:dyDescent="0.3">
      <c r="J33" t="s">
        <v>2843</v>
      </c>
      <c r="K33" t="s">
        <v>3047</v>
      </c>
      <c r="L33" t="str">
        <f>IFERROR(INDEX(BS!K:K,MATCH(help_2!J33,BS!F:F,0)), "absent")</f>
        <v>Trade payables</v>
      </c>
    </row>
    <row r="34" spans="10:12" x14ac:dyDescent="0.3">
      <c r="J34" t="s">
        <v>2844</v>
      </c>
      <c r="K34" t="s">
        <v>3048</v>
      </c>
      <c r="L34" t="str">
        <f>IFERROR(INDEX(BS!K:K,MATCH(help_2!J34,BS!F:F,0)), "absent")</f>
        <v>Advances paid to suppliers</v>
      </c>
    </row>
    <row r="35" spans="10:12" x14ac:dyDescent="0.3">
      <c r="J35" t="s">
        <v>3152</v>
      </c>
      <c r="K35" t="s">
        <v>3047</v>
      </c>
      <c r="L35" t="str">
        <f>IFERROR(INDEX(BS!K:K,MATCH(help_2!J35,BS!F:F,0)), "absent")</f>
        <v>absent</v>
      </c>
    </row>
    <row r="36" spans="10:12" x14ac:dyDescent="0.3">
      <c r="J36" t="s">
        <v>2846</v>
      </c>
      <c r="K36" t="s">
        <v>3048</v>
      </c>
      <c r="L36" t="str">
        <f>IFERROR(INDEX(BS!K:K,MATCH(help_2!J36,BS!F:F,0)), "absent")</f>
        <v>Advances paid to suppliers</v>
      </c>
    </row>
    <row r="37" spans="10:12" x14ac:dyDescent="0.3">
      <c r="J37" t="s">
        <v>2847</v>
      </c>
      <c r="K37" t="s">
        <v>3047</v>
      </c>
      <c r="L37" t="str">
        <f>IFERROR(INDEX(BS!K:K,MATCH(help_2!J37,BS!F:F,0)), "absent")</f>
        <v>Trade payables</v>
      </c>
    </row>
    <row r="38" spans="10:12" x14ac:dyDescent="0.3">
      <c r="J38" t="s">
        <v>2848</v>
      </c>
      <c r="K38" t="s">
        <v>3048</v>
      </c>
      <c r="L38" t="str">
        <f>IFERROR(INDEX(BS!K:K,MATCH(help_2!J38,BS!F:F,0)), "absent")</f>
        <v>Advances paid to suppliers</v>
      </c>
    </row>
    <row r="39" spans="10:12" x14ac:dyDescent="0.3">
      <c r="J39" t="s">
        <v>2850</v>
      </c>
      <c r="K39" t="s">
        <v>3049</v>
      </c>
      <c r="L39">
        <f>IFERROR(INDEX(BS!K:K,MATCH(help_2!J39,BS!F:F,0)), "absent")</f>
        <v>0</v>
      </c>
    </row>
    <row r="40" spans="10:12" x14ac:dyDescent="0.3">
      <c r="J40" t="s">
        <v>2860</v>
      </c>
      <c r="K40" t="s">
        <v>3050</v>
      </c>
      <c r="L40">
        <f>IFERROR(INDEX(BS!K:K,MATCH(help_2!J40,BS!F:F,0)), "absent")</f>
        <v>0</v>
      </c>
    </row>
    <row r="41" spans="10:12" x14ac:dyDescent="0.3">
      <c r="J41" t="s">
        <v>2860</v>
      </c>
      <c r="K41" t="s">
        <v>3050</v>
      </c>
      <c r="L41">
        <f>IFERROR(INDEX(BS!K:K,MATCH(help_2!J41,BS!F:F,0)), "absent")</f>
        <v>0</v>
      </c>
    </row>
    <row r="42" spans="10:12" x14ac:dyDescent="0.3">
      <c r="J42" t="s">
        <v>3096</v>
      </c>
      <c r="K42" t="s">
        <v>3049</v>
      </c>
      <c r="L42" t="str">
        <f>IFERROR(INDEX(BS!K:K,MATCH(help_2!J42,BS!F:F,0)), "absent")</f>
        <v>absent</v>
      </c>
    </row>
    <row r="43" spans="10:12" x14ac:dyDescent="0.3">
      <c r="J43" t="s">
        <v>3097</v>
      </c>
      <c r="K43" t="s">
        <v>3050</v>
      </c>
      <c r="L43" t="str">
        <f>IFERROR(INDEX(BS!K:K,MATCH(help_2!J43,BS!F:F,0)), "absent")</f>
        <v>absent</v>
      </c>
    </row>
    <row r="44" spans="10:12" x14ac:dyDescent="0.3">
      <c r="J44" t="s">
        <v>3097</v>
      </c>
      <c r="K44" t="s">
        <v>3050</v>
      </c>
      <c r="L44" t="str">
        <f>IFERROR(INDEX(BS!K:K,MATCH(help_2!J44,BS!F:F,0)), "absent")</f>
        <v>absent</v>
      </c>
    </row>
    <row r="45" spans="10:12" x14ac:dyDescent="0.3">
      <c r="J45" t="s">
        <v>3099</v>
      </c>
      <c r="K45" t="s">
        <v>3049</v>
      </c>
      <c r="L45" t="str">
        <f>IFERROR(INDEX(BS!K:K,MATCH(help_2!J45,BS!F:F,0)), "absent")</f>
        <v>absent</v>
      </c>
    </row>
    <row r="46" spans="10:12" x14ac:dyDescent="0.3">
      <c r="J46" t="s">
        <v>3100</v>
      </c>
      <c r="K46" t="s">
        <v>3050</v>
      </c>
      <c r="L46" t="str">
        <f>IFERROR(INDEX(BS!K:K,MATCH(help_2!J46,BS!F:F,0)), "absent")</f>
        <v>absent</v>
      </c>
    </row>
    <row r="47" spans="10:12" x14ac:dyDescent="0.3">
      <c r="J47" t="s">
        <v>3100</v>
      </c>
      <c r="K47" t="s">
        <v>3050</v>
      </c>
      <c r="L47" t="str">
        <f>IFERROR(INDEX(BS!K:K,MATCH(help_2!J47,BS!F:F,0)), "absent")</f>
        <v>absent</v>
      </c>
    </row>
    <row r="48" spans="10:12" x14ac:dyDescent="0.3">
      <c r="J48" t="s">
        <v>2887</v>
      </c>
      <c r="K48" t="s">
        <v>3049</v>
      </c>
      <c r="L48">
        <f>IFERROR(INDEX(BS!K:K,MATCH(help_2!J48,BS!F:F,0)), "absent")</f>
        <v>0</v>
      </c>
    </row>
    <row r="49" spans="10:12" x14ac:dyDescent="0.3">
      <c r="J49" t="s">
        <v>2898</v>
      </c>
      <c r="K49" t="s">
        <v>3052</v>
      </c>
      <c r="L49" t="str">
        <f>IFERROR(INDEX(BS!K:K,MATCH(help_2!J49,BS!F:F,0)), "absent")</f>
        <v>Short-term borrowings</v>
      </c>
    </row>
    <row r="50" spans="10:12" x14ac:dyDescent="0.3">
      <c r="J50" t="s">
        <v>2899</v>
      </c>
      <c r="K50" t="s">
        <v>3052</v>
      </c>
      <c r="L50" t="str">
        <f>IFERROR(INDEX(BS!K:K,MATCH(help_2!J50,BS!F:F,0)), "absent")</f>
        <v>Short-term borrowings</v>
      </c>
    </row>
    <row r="51" spans="10:12" x14ac:dyDescent="0.3">
      <c r="J51" t="s">
        <v>2900</v>
      </c>
      <c r="K51" t="s">
        <v>3052</v>
      </c>
      <c r="L51" t="str">
        <f>IFERROR(INDEX(BS!K:K,MATCH(help_2!J51,BS!F:F,0)), "absent")</f>
        <v>Short-term borrowings</v>
      </c>
    </row>
    <row r="52" spans="10:12" x14ac:dyDescent="0.3">
      <c r="J52" t="s">
        <v>2901</v>
      </c>
      <c r="K52" t="s">
        <v>3052</v>
      </c>
      <c r="L52" t="str">
        <f>IFERROR(INDEX(BS!K:K,MATCH(help_2!J52,BS!F:F,0)), "absent")</f>
        <v>Short-term borrowings</v>
      </c>
    </row>
    <row r="53" spans="10:12" x14ac:dyDescent="0.3">
      <c r="J53" t="s">
        <v>2903</v>
      </c>
      <c r="K53" t="s">
        <v>3052</v>
      </c>
      <c r="L53" t="str">
        <f>IFERROR(INDEX(BS!K:K,MATCH(help_2!J53,BS!F:F,0)), "absent")</f>
        <v>Short-term borrowings</v>
      </c>
    </row>
    <row r="54" spans="10:12" x14ac:dyDescent="0.3">
      <c r="J54" t="s">
        <v>2904</v>
      </c>
      <c r="K54" t="s">
        <v>3052</v>
      </c>
      <c r="L54" t="str">
        <f>IFERROR(INDEX(BS!K:K,MATCH(help_2!J54,BS!F:F,0)), "absent")</f>
        <v>Short-term borrowings</v>
      </c>
    </row>
    <row r="55" spans="10:12" x14ac:dyDescent="0.3">
      <c r="J55" t="s">
        <v>3153</v>
      </c>
      <c r="K55" t="s">
        <v>3052</v>
      </c>
      <c r="L55" t="str">
        <f>IFERROR(INDEX(BS!K:K,MATCH(help_2!J55,BS!F:F,0)), "absent")</f>
        <v>absent</v>
      </c>
    </row>
    <row r="56" spans="10:12" x14ac:dyDescent="0.3">
      <c r="J56" t="s">
        <v>2905</v>
      </c>
      <c r="K56" t="s">
        <v>3052</v>
      </c>
      <c r="L56" t="str">
        <f>IFERROR(INDEX(BS!K:K,MATCH(help_2!J56,BS!F:F,0)), "absent")</f>
        <v>Short-term borrowings</v>
      </c>
    </row>
    <row r="57" spans="10:12" x14ac:dyDescent="0.3">
      <c r="J57" t="s">
        <v>2906</v>
      </c>
      <c r="K57" t="s">
        <v>3052</v>
      </c>
      <c r="L57" t="str">
        <f>IFERROR(INDEX(BS!K:K,MATCH(help_2!J57,BS!F:F,0)), "absent")</f>
        <v>Short-term borrowings</v>
      </c>
    </row>
    <row r="58" spans="10:12" x14ac:dyDescent="0.3">
      <c r="J58" t="s">
        <v>3109</v>
      </c>
      <c r="K58" t="s">
        <v>3052</v>
      </c>
      <c r="L58" t="str">
        <f>IFERROR(INDEX(BS!K:K,MATCH(help_2!J58,BS!F:F,0)), "absent")</f>
        <v>absent</v>
      </c>
    </row>
    <row r="59" spans="10:12" x14ac:dyDescent="0.3">
      <c r="J59" t="s">
        <v>3154</v>
      </c>
      <c r="K59" t="s">
        <v>3052</v>
      </c>
      <c r="L59" t="str">
        <f>IFERROR(INDEX(BS!K:K,MATCH(help_2!J59,BS!F:F,0)), "absent")</f>
        <v>absent</v>
      </c>
    </row>
    <row r="60" spans="10:12" x14ac:dyDescent="0.3">
      <c r="J60" t="s">
        <v>3110</v>
      </c>
      <c r="K60" t="s">
        <v>3052</v>
      </c>
      <c r="L60" t="str">
        <f>IFERROR(INDEX(BS!K:K,MATCH(help_2!J60,BS!F:F,0)), "absent")</f>
        <v>absent</v>
      </c>
    </row>
    <row r="61" spans="10:12" x14ac:dyDescent="0.3">
      <c r="J61" t="s">
        <v>2909</v>
      </c>
      <c r="K61" t="s">
        <v>3051</v>
      </c>
      <c r="L61" t="str">
        <f>IFERROR(INDEX(BS!K:K,MATCH(help_2!J61,BS!F:F,0)), "absent")</f>
        <v>Long-term borrowings</v>
      </c>
    </row>
    <row r="62" spans="10:12" x14ac:dyDescent="0.3">
      <c r="J62" t="s">
        <v>2910</v>
      </c>
      <c r="K62" t="s">
        <v>3051</v>
      </c>
      <c r="L62" t="str">
        <f>IFERROR(INDEX(BS!K:K,MATCH(help_2!J62,BS!F:F,0)), "absent")</f>
        <v>Long-term borrowings</v>
      </c>
    </row>
    <row r="63" spans="10:12" x14ac:dyDescent="0.3">
      <c r="J63" t="s">
        <v>3155</v>
      </c>
      <c r="K63" t="s">
        <v>3051</v>
      </c>
      <c r="L63" t="str">
        <f>IFERROR(INDEX(BS!K:K,MATCH(help_2!J63,BS!F:F,0)), "absent")</f>
        <v>absent</v>
      </c>
    </row>
    <row r="64" spans="10:12" x14ac:dyDescent="0.3">
      <c r="J64" t="s">
        <v>3156</v>
      </c>
      <c r="K64" t="s">
        <v>3052</v>
      </c>
      <c r="L64" t="str">
        <f>IFERROR(INDEX(BS!K:K,MATCH(help_2!J64,BS!F:F,0)), "absent")</f>
        <v>absent</v>
      </c>
    </row>
    <row r="65" spans="10:12" x14ac:dyDescent="0.3">
      <c r="J65" t="s">
        <v>2912</v>
      </c>
      <c r="K65" t="s">
        <v>3148</v>
      </c>
      <c r="L65">
        <f>IFERROR(INDEX(BS!K:K,MATCH(help_2!J65,BS!F:F,0)), "absent")</f>
        <v>0</v>
      </c>
    </row>
    <row r="66" spans="10:12" x14ac:dyDescent="0.3">
      <c r="J66" t="s">
        <v>2914</v>
      </c>
      <c r="K66" t="s">
        <v>3145</v>
      </c>
      <c r="L66" t="str">
        <f>IFERROR(INDEX(BS!K:K,MATCH(help_2!J66,BS!F:F,0)), "absent")</f>
        <v>Taxes receivables_Taxes payables</v>
      </c>
    </row>
    <row r="67" spans="10:12" x14ac:dyDescent="0.3">
      <c r="J67" t="s">
        <v>2916</v>
      </c>
      <c r="K67" t="s">
        <v>3054</v>
      </c>
      <c r="L67" t="str">
        <f>IFERROR(INDEX(BS!K:K,MATCH(help_2!J67,BS!F:F,0)), "absent")</f>
        <v>Current tax receivables_Current tax payables</v>
      </c>
    </row>
    <row r="68" spans="10:12" x14ac:dyDescent="0.3">
      <c r="J68" t="s">
        <v>3104</v>
      </c>
      <c r="K68" t="s">
        <v>3148</v>
      </c>
      <c r="L68" t="str">
        <f>IFERROR(INDEX(BS!K:K,MATCH(help_2!J68,BS!F:F,0)), "absent")</f>
        <v>absent</v>
      </c>
    </row>
    <row r="69" spans="10:12" x14ac:dyDescent="0.3">
      <c r="J69" t="s">
        <v>2917</v>
      </c>
      <c r="K69" t="s">
        <v>3148</v>
      </c>
      <c r="L69" t="str">
        <f>IFERROR(INDEX(BS!K:K,MATCH(help_2!J69,BS!F:F,0)), "absent")</f>
        <v>Other current assets_Taxes payables</v>
      </c>
    </row>
    <row r="70" spans="10:12" x14ac:dyDescent="0.3">
      <c r="J70" t="s">
        <v>2918</v>
      </c>
      <c r="K70" t="s">
        <v>3053</v>
      </c>
      <c r="L70" t="str">
        <f>IFERROR(INDEX(BS!K:K,MATCH(help_2!J70,BS!F:F,0)), "absent")</f>
        <v>Other current assets_Taxes payables</v>
      </c>
    </row>
    <row r="71" spans="10:12" x14ac:dyDescent="0.3">
      <c r="J71" t="s">
        <v>2919</v>
      </c>
      <c r="K71" t="s">
        <v>3053</v>
      </c>
      <c r="L71" t="str">
        <f>IFERROR(INDEX(BS!K:K,MATCH(help_2!J71,BS!F:F,0)), "absent")</f>
        <v>Other current assets_Taxes payables</v>
      </c>
    </row>
    <row r="72" spans="10:12" x14ac:dyDescent="0.3">
      <c r="J72" t="s">
        <v>2920</v>
      </c>
      <c r="K72" t="s">
        <v>3053</v>
      </c>
      <c r="L72" t="str">
        <f>IFERROR(INDEX(BS!K:K,MATCH(help_2!J72,BS!F:F,0)), "absent")</f>
        <v>Other current assets_Taxes payables</v>
      </c>
    </row>
    <row r="73" spans="10:12" x14ac:dyDescent="0.3">
      <c r="J73" t="s">
        <v>2921</v>
      </c>
      <c r="K73" t="s">
        <v>3053</v>
      </c>
      <c r="L73" t="str">
        <f>IFERROR(INDEX(BS!K:K,MATCH(help_2!J73,BS!F:F,0)), "absent")</f>
        <v>Taxes receivables_Taxes payables</v>
      </c>
    </row>
    <row r="74" spans="10:12" x14ac:dyDescent="0.3">
      <c r="J74" t="s">
        <v>2922</v>
      </c>
      <c r="K74" t="s">
        <v>3148</v>
      </c>
      <c r="L74">
        <f>IFERROR(INDEX(BS!K:K,MATCH(help_2!J74,BS!F:F,0)), "absent")</f>
        <v>0</v>
      </c>
    </row>
    <row r="75" spans="10:12" x14ac:dyDescent="0.3">
      <c r="J75" t="s">
        <v>2929</v>
      </c>
      <c r="K75" t="s">
        <v>3056</v>
      </c>
      <c r="L75" t="str">
        <f>IFERROR(INDEX(BS!K:K,MATCH(help_2!J75,BS!F:F,0)), "absent")</f>
        <v>Other current assets_Other current liabilities</v>
      </c>
    </row>
    <row r="76" spans="10:12" x14ac:dyDescent="0.3">
      <c r="J76" t="s">
        <v>2931</v>
      </c>
      <c r="K76" t="s">
        <v>3053</v>
      </c>
      <c r="L76" t="str">
        <f>IFERROR(INDEX(BS!K:K,MATCH(help_2!J76,BS!F:F,0)), "absent")</f>
        <v>Other current assets_Other current liabilities</v>
      </c>
    </row>
    <row r="77" spans="10:12" x14ac:dyDescent="0.3">
      <c r="J77" t="s">
        <v>2933</v>
      </c>
      <c r="K77" t="s">
        <v>3056</v>
      </c>
      <c r="L77" t="str">
        <f>IFERROR(INDEX(BS!K:K,MATCH(help_2!J77,BS!F:F,0)), "absent")</f>
        <v>Other current assets_Other current liabilities</v>
      </c>
    </row>
    <row r="78" spans="10:12" x14ac:dyDescent="0.3">
      <c r="J78" t="s">
        <v>2937</v>
      </c>
      <c r="K78" t="s">
        <v>3047</v>
      </c>
      <c r="L78" t="str">
        <f>IFERROR(INDEX(BS!K:K,MATCH(help_2!J78,BS!F:F,0)), "absent")</f>
        <v>Trade receivables_Trade payables</v>
      </c>
    </row>
    <row r="79" spans="10:12" x14ac:dyDescent="0.3">
      <c r="J79" t="s">
        <v>2938</v>
      </c>
      <c r="K79" t="s">
        <v>3049</v>
      </c>
      <c r="L79">
        <f>IFERROR(INDEX(BS!K:K,MATCH(help_2!J79,BS!F:F,0)), "absent")</f>
        <v>0</v>
      </c>
    </row>
    <row r="80" spans="10:12" x14ac:dyDescent="0.3">
      <c r="J80" t="s">
        <v>3020</v>
      </c>
      <c r="K80" t="s">
        <v>3047</v>
      </c>
      <c r="L80" t="str">
        <f>IFERROR(INDEX(BS!K:K,MATCH(help_2!J80,BS!F:F,0)), "absent")</f>
        <v>Trade receivables_Trade payables</v>
      </c>
    </row>
    <row r="81" spans="10:12" x14ac:dyDescent="0.3">
      <c r="J81" t="s">
        <v>2942</v>
      </c>
      <c r="K81" t="s">
        <v>3049</v>
      </c>
      <c r="L81" t="str">
        <f>IFERROR(INDEX(BS!K:K,MATCH(help_2!J81,BS!F:F,0)), "absent")</f>
        <v>Trade receivables_Trade payables</v>
      </c>
    </row>
    <row r="82" spans="10:12" x14ac:dyDescent="0.3">
      <c r="J82" t="s">
        <v>2944</v>
      </c>
      <c r="K82" t="s">
        <v>3049</v>
      </c>
      <c r="L82" t="str">
        <f>IFERROR(INDEX(BS!K:K,MATCH(help_2!J82,BS!F:F,0)), "absent")</f>
        <v>Trade receivables_Trade payables</v>
      </c>
    </row>
    <row r="83" spans="10:12" x14ac:dyDescent="0.3">
      <c r="J83" t="s">
        <v>2945</v>
      </c>
      <c r="K83" t="s">
        <v>3049</v>
      </c>
      <c r="L83" t="str">
        <f>IFERROR(INDEX(BS!K:K,MATCH(help_2!J83,BS!F:F,0)), "absent")</f>
        <v>Trade receivables_Trade payables</v>
      </c>
    </row>
    <row r="84" spans="10:12" x14ac:dyDescent="0.3">
      <c r="J84" t="s">
        <v>2946</v>
      </c>
      <c r="K84" t="s">
        <v>3047</v>
      </c>
      <c r="L84" t="str">
        <f>IFERROR(INDEX(BS!K:K,MATCH(help_2!J84,BS!F:F,0)), "absent")</f>
        <v>Trade receivables_Trade payables</v>
      </c>
    </row>
    <row r="85" spans="10:12" x14ac:dyDescent="0.3">
      <c r="J85" t="s">
        <v>2936</v>
      </c>
      <c r="K85" t="s">
        <v>3047</v>
      </c>
      <c r="L85" t="str">
        <f>IFERROR(INDEX(BS!K:K,MATCH(help_2!J85,BS!F:F,0)), "absent")</f>
        <v>Trade receivables_Trade payables</v>
      </c>
    </row>
    <row r="86" spans="10:12" x14ac:dyDescent="0.3">
      <c r="J86" t="s">
        <v>2957</v>
      </c>
      <c r="K86" t="s">
        <v>3060</v>
      </c>
      <c r="L86" t="str">
        <f>IFERROR(INDEX(BS!K:K,MATCH(help_2!J86,BS!F:F,0)), "absent")</f>
        <v>Long-term lease liabilities</v>
      </c>
    </row>
    <row r="87" spans="10:12" x14ac:dyDescent="0.3">
      <c r="J87" t="s">
        <v>2958</v>
      </c>
      <c r="K87" t="s">
        <v>3056</v>
      </c>
      <c r="L87" t="str">
        <f>IFERROR(INDEX(BS!K:K,MATCH(help_2!J87,BS!F:F,0)), "absent")</f>
        <v>Long-term lease liabilities</v>
      </c>
    </row>
    <row r="88" spans="10:12" x14ac:dyDescent="0.3">
      <c r="J88" t="s">
        <v>2959</v>
      </c>
      <c r="K88" t="s">
        <v>3060</v>
      </c>
      <c r="L88" t="str">
        <f>IFERROR(INDEX(BS!K:K,MATCH(help_2!J88,BS!F:F,0)), "absent")</f>
        <v>Long-term lease liabilities</v>
      </c>
    </row>
    <row r="89" spans="10:12" x14ac:dyDescent="0.3">
      <c r="J89" t="s">
        <v>2960</v>
      </c>
      <c r="K89" t="s">
        <v>3060</v>
      </c>
      <c r="L89" t="str">
        <f>IFERROR(INDEX(BS!K:K,MATCH(help_2!J89,BS!F:F,0)), "absent")</f>
        <v>Long-term lease liabilities</v>
      </c>
    </row>
    <row r="90" spans="10:12" x14ac:dyDescent="0.3">
      <c r="J90" t="s">
        <v>2961</v>
      </c>
      <c r="K90" t="s">
        <v>3047</v>
      </c>
      <c r="L90">
        <f>IFERROR(INDEX(BS!K:K,MATCH(help_2!J90,BS!F:F,0)), "absent")</f>
        <v>0</v>
      </c>
    </row>
    <row r="91" spans="10:12" x14ac:dyDescent="0.3">
      <c r="J91" t="s">
        <v>2962</v>
      </c>
      <c r="K91" t="s">
        <v>3049</v>
      </c>
      <c r="L91" t="str">
        <f>IFERROR(INDEX(BS!K:K,MATCH(help_2!J91,BS!F:F,0)), "absent")</f>
        <v>Trade receivables_Trade payables</v>
      </c>
    </row>
    <row r="92" spans="10:12" x14ac:dyDescent="0.3">
      <c r="J92" t="s">
        <v>2963</v>
      </c>
      <c r="K92" t="s">
        <v>3049</v>
      </c>
      <c r="L92" t="str">
        <f>IFERROR(INDEX(BS!K:K,MATCH(help_2!J92,BS!F:F,0)), "absent")</f>
        <v>Trade receivables_Trade payables</v>
      </c>
    </row>
    <row r="93" spans="10:12" x14ac:dyDescent="0.3">
      <c r="J93" t="s">
        <v>2964</v>
      </c>
      <c r="K93" t="s">
        <v>3049</v>
      </c>
      <c r="L93" t="str">
        <f>IFERROR(INDEX(BS!K:K,MATCH(help_2!J93,BS!F:F,0)), "absent")</f>
        <v>Trade receivables_Trade payables</v>
      </c>
    </row>
    <row r="94" spans="10:12" x14ac:dyDescent="0.3">
      <c r="J94" t="s">
        <v>2965</v>
      </c>
      <c r="K94" t="s">
        <v>3047</v>
      </c>
      <c r="L94" t="str">
        <f>IFERROR(INDEX(BS!K:K,MATCH(help_2!J94,BS!F:F,0)), "absent")</f>
        <v>Trade receivables_Trade payables</v>
      </c>
    </row>
    <row r="95" spans="10:12" x14ac:dyDescent="0.3">
      <c r="J95" t="s">
        <v>2966</v>
      </c>
      <c r="K95" t="s">
        <v>3047</v>
      </c>
      <c r="L95" t="str">
        <f>IFERROR(INDEX(BS!K:K,MATCH(help_2!J95,BS!F:F,0)), "absent")</f>
        <v>Trade receivables_Trade payables</v>
      </c>
    </row>
    <row r="96" spans="10:12" x14ac:dyDescent="0.3">
      <c r="J96" t="s">
        <v>3157</v>
      </c>
      <c r="K96" t="s">
        <v>3047</v>
      </c>
      <c r="L96" t="str">
        <f>IFERROR(INDEX(BS!K:K,MATCH(help_2!J96,BS!F:F,0)), "absent")</f>
        <v>absent</v>
      </c>
    </row>
    <row r="97" spans="10:12" x14ac:dyDescent="0.3">
      <c r="J97" t="s">
        <v>2969</v>
      </c>
      <c r="K97" t="s">
        <v>3145</v>
      </c>
      <c r="L97" t="str">
        <f>IFERROR(INDEX(BS!K:K,MATCH(help_2!J97,BS!F:F,0)), "absent")</f>
        <v>Taxes receivables_Taxes payables</v>
      </c>
    </row>
    <row r="98" spans="10:12" x14ac:dyDescent="0.3">
      <c r="J98" t="s">
        <v>2970</v>
      </c>
      <c r="K98" t="s">
        <v>3049</v>
      </c>
      <c r="L98" t="str">
        <f>IFERROR(INDEX(BS!K:K,MATCH(help_2!J98,BS!F:F,0)), "absent")</f>
        <v>Taxes receivables_Taxes payables</v>
      </c>
    </row>
    <row r="99" spans="10:12" x14ac:dyDescent="0.3">
      <c r="J99" t="s">
        <v>2971</v>
      </c>
      <c r="K99" t="s">
        <v>3044</v>
      </c>
      <c r="L99" t="str">
        <f>IFERROR(INDEX(BS!K:K,MATCH(help_2!J99,BS!F:F,0)), "absent")</f>
        <v>Deferred tax liabilities</v>
      </c>
    </row>
    <row r="100" spans="10:12" x14ac:dyDescent="0.3">
      <c r="J100" t="s">
        <v>3042</v>
      </c>
      <c r="K100" t="s">
        <v>3057</v>
      </c>
      <c r="L100" t="str">
        <f>IFERROR(INDEX(BS!K:K,MATCH(help_2!J100,BS!F:F,0)), "absent")</f>
        <v>Other shareholders' contributions</v>
      </c>
    </row>
    <row r="101" spans="10:12" x14ac:dyDescent="0.3">
      <c r="J101" t="s">
        <v>3093</v>
      </c>
      <c r="K101" t="s">
        <v>3057</v>
      </c>
      <c r="L101" t="str">
        <f>IFERROR(INDEX(BS!K:K,MATCH(help_2!J101,BS!F:F,0)), "absent")</f>
        <v>Other shareholders' contributions</v>
      </c>
    </row>
    <row r="102" spans="10:12" x14ac:dyDescent="0.3">
      <c r="J102" t="s">
        <v>2977</v>
      </c>
      <c r="K102" t="s">
        <v>3057</v>
      </c>
      <c r="L102" t="str">
        <f>IFERROR(INDEX(BS!K:K,MATCH(help_2!J102,BS!F:F,0)), "absent")</f>
        <v>Other shareholders' contributions</v>
      </c>
    </row>
    <row r="103" spans="10:12" x14ac:dyDescent="0.3">
      <c r="J103" t="s">
        <v>3094</v>
      </c>
      <c r="K103" t="s">
        <v>3058</v>
      </c>
      <c r="L103" t="str">
        <f>IFERROR(INDEX(BS!K:K,MATCH(help_2!J103,BS!F:F,0)), "absent")</f>
        <v>Retained earnings</v>
      </c>
    </row>
    <row r="104" spans="10:12" x14ac:dyDescent="0.3">
      <c r="J104" t="s">
        <v>2979</v>
      </c>
      <c r="K104" t="s">
        <v>3058</v>
      </c>
      <c r="L104" t="str">
        <f>IFERROR(INDEX(BS!K:K,MATCH(help_2!J104,BS!F:F,0)), "absent")</f>
        <v>Retained earnings</v>
      </c>
    </row>
    <row r="105" spans="10:12" x14ac:dyDescent="0.3">
      <c r="J105" t="s">
        <v>2980</v>
      </c>
      <c r="K105" t="s">
        <v>3059</v>
      </c>
      <c r="L105">
        <f>IFERROR(INDEX(BS!K:K,MATCH(help_2!J105,BS!F:F,0)), "absent")</f>
        <v>0</v>
      </c>
    </row>
    <row r="106" spans="10:12" x14ac:dyDescent="0.3">
      <c r="J106" t="s">
        <v>2986</v>
      </c>
      <c r="K106" t="s">
        <v>3053</v>
      </c>
      <c r="L106" t="str">
        <f>IFERROR(INDEX(BS!K:K,MATCH(help_2!J106,BS!F:F,0)), "absent")</f>
        <v>Other current assets</v>
      </c>
    </row>
    <row r="107" spans="10:12" x14ac:dyDescent="0.3">
      <c r="J107" t="s">
        <v>3158</v>
      </c>
      <c r="K107" t="s">
        <v>3053</v>
      </c>
      <c r="L107" t="str">
        <f>IFERROR(INDEX(BS!K:K,MATCH(help_2!J107,BS!F:F,0)), "absent")</f>
        <v>absent</v>
      </c>
    </row>
    <row r="108" spans="10:12" x14ac:dyDescent="0.3">
      <c r="J108" t="s">
        <v>2993</v>
      </c>
      <c r="K108" t="s">
        <v>3058</v>
      </c>
      <c r="L108" t="str">
        <f>IFERROR(INDEX(BS!K:K,MATCH(help_2!J108,BS!F:F,0)), "absent")</f>
        <v>Retained earnings</v>
      </c>
    </row>
  </sheetData>
  <autoFilter ref="J4:K108" xr:uid="{E67D5577-1EF6-4A4C-A1A8-0C05BAC0FF27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7E44-7B12-4972-8095-16B9E2C1C58F}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D8C7D-4117-4D58-BAA0-387E4924AE1B}">
  <sheetPr codeName="Sheet6"/>
  <dimension ref="A1:BM59"/>
  <sheetViews>
    <sheetView zoomScale="80" zoomScaleNormal="80" zoomScaleSheetLayoutView="50" workbookViewId="0">
      <selection activeCell="H15" sqref="H15"/>
    </sheetView>
  </sheetViews>
  <sheetFormatPr defaultRowHeight="14.4" outlineLevelCol="1" x14ac:dyDescent="0.3"/>
  <cols>
    <col min="2" max="2" width="36.33203125" bestFit="1" customWidth="1"/>
    <col min="3" max="3" width="7.44140625" customWidth="1"/>
    <col min="4" max="4" width="5.5546875" customWidth="1"/>
    <col min="5" max="5" width="11" customWidth="1" outlineLevel="1"/>
    <col min="6" max="6" width="10.88671875" customWidth="1" outlineLevel="1"/>
    <col min="7" max="7" width="10.88671875" bestFit="1" customWidth="1"/>
    <col min="8" max="18" width="10.88671875" customWidth="1" outlineLevel="1"/>
    <col min="19" max="19" width="10.88671875" bestFit="1" customWidth="1"/>
    <col min="20" max="23" width="10.88671875" hidden="1" customWidth="1" outlineLevel="1"/>
    <col min="24" max="30" width="10.109375" hidden="1" customWidth="1" outlineLevel="1"/>
    <col min="31" max="31" width="10.88671875" bestFit="1" customWidth="1" collapsed="1"/>
    <col min="32" max="42" width="10.88671875" hidden="1" customWidth="1" outlineLevel="1"/>
    <col min="43" max="43" width="10.88671875" bestFit="1" customWidth="1" collapsed="1"/>
    <col min="44" max="45" width="10.88671875" hidden="1" customWidth="1" outlineLevel="1"/>
    <col min="46" max="50" width="10.109375" hidden="1" customWidth="1" outlineLevel="1"/>
    <col min="51" max="54" width="10.5546875" hidden="1" customWidth="1" outlineLevel="1"/>
    <col min="55" max="55" width="10.5546875" customWidth="1" collapsed="1"/>
    <col min="56" max="56" width="10.109375" customWidth="1"/>
    <col min="57" max="57" width="19.33203125" customWidth="1"/>
    <col min="58" max="58" width="19.33203125" style="10" customWidth="1"/>
    <col min="59" max="59" width="9.6640625" style="10" customWidth="1"/>
    <col min="60" max="60" width="11.33203125" bestFit="1" customWidth="1"/>
    <col min="61" max="61" width="11.109375" style="11" bestFit="1" customWidth="1"/>
    <col min="62" max="63" width="11" style="11" bestFit="1" customWidth="1"/>
    <col min="65" max="65" width="14.33203125" customWidth="1"/>
  </cols>
  <sheetData>
    <row r="1" spans="1:65" x14ac:dyDescent="0.3">
      <c r="D1" t="s">
        <v>1454</v>
      </c>
      <c r="E1" s="1">
        <v>44927</v>
      </c>
      <c r="F1" s="1">
        <f>EOMONTH(E1,0)+1</f>
        <v>44958</v>
      </c>
      <c r="G1" s="1">
        <f t="shared" ref="G1:BC1" si="0">EOMONTH(F1,0)+1</f>
        <v>44986</v>
      </c>
      <c r="H1" s="1">
        <f t="shared" si="0"/>
        <v>45017</v>
      </c>
      <c r="I1" s="1">
        <f t="shared" si="0"/>
        <v>45047</v>
      </c>
      <c r="J1" s="1">
        <f t="shared" si="0"/>
        <v>45078</v>
      </c>
      <c r="K1" s="1">
        <f t="shared" si="0"/>
        <v>45108</v>
      </c>
      <c r="L1" s="1">
        <f t="shared" si="0"/>
        <v>45139</v>
      </c>
      <c r="M1" s="1">
        <f t="shared" si="0"/>
        <v>45170</v>
      </c>
      <c r="N1" s="1">
        <f t="shared" si="0"/>
        <v>45200</v>
      </c>
      <c r="O1" s="1">
        <f t="shared" si="0"/>
        <v>45231</v>
      </c>
      <c r="P1" s="1">
        <f t="shared" si="0"/>
        <v>45261</v>
      </c>
      <c r="Q1" s="1">
        <f t="shared" si="0"/>
        <v>45292</v>
      </c>
      <c r="R1" s="1">
        <f t="shared" si="0"/>
        <v>45323</v>
      </c>
      <c r="S1" s="1">
        <f t="shared" si="0"/>
        <v>45352</v>
      </c>
      <c r="T1" s="1">
        <f t="shared" si="0"/>
        <v>45383</v>
      </c>
      <c r="U1" s="1">
        <f t="shared" si="0"/>
        <v>45413</v>
      </c>
      <c r="V1" s="1">
        <f t="shared" si="0"/>
        <v>45444</v>
      </c>
      <c r="W1" s="1">
        <f t="shared" si="0"/>
        <v>45474</v>
      </c>
      <c r="X1" s="1">
        <f t="shared" si="0"/>
        <v>45505</v>
      </c>
      <c r="Y1" s="1">
        <f t="shared" si="0"/>
        <v>45536</v>
      </c>
      <c r="Z1" s="1">
        <f t="shared" si="0"/>
        <v>45566</v>
      </c>
      <c r="AA1" s="1">
        <f t="shared" si="0"/>
        <v>45597</v>
      </c>
      <c r="AB1" s="1">
        <f t="shared" si="0"/>
        <v>45627</v>
      </c>
      <c r="AC1" s="1">
        <f t="shared" si="0"/>
        <v>45658</v>
      </c>
      <c r="AD1" s="1">
        <f t="shared" si="0"/>
        <v>45689</v>
      </c>
      <c r="AE1" s="1">
        <f t="shared" si="0"/>
        <v>45717</v>
      </c>
      <c r="AF1" s="1">
        <f t="shared" si="0"/>
        <v>45748</v>
      </c>
      <c r="AG1" s="1">
        <f t="shared" si="0"/>
        <v>45778</v>
      </c>
      <c r="AH1" s="1">
        <f t="shared" si="0"/>
        <v>45809</v>
      </c>
      <c r="AI1" s="1">
        <f t="shared" si="0"/>
        <v>45839</v>
      </c>
      <c r="AJ1" s="1">
        <f t="shared" si="0"/>
        <v>45870</v>
      </c>
      <c r="AK1" s="1">
        <f t="shared" si="0"/>
        <v>45901</v>
      </c>
      <c r="AL1" s="1">
        <f t="shared" si="0"/>
        <v>45931</v>
      </c>
      <c r="AM1" s="1">
        <f t="shared" si="0"/>
        <v>45962</v>
      </c>
      <c r="AN1" s="1">
        <f t="shared" si="0"/>
        <v>45992</v>
      </c>
      <c r="AO1" s="1">
        <f t="shared" si="0"/>
        <v>46023</v>
      </c>
      <c r="AP1" s="1">
        <f t="shared" si="0"/>
        <v>46054</v>
      </c>
      <c r="AQ1" s="1">
        <f t="shared" si="0"/>
        <v>46082</v>
      </c>
      <c r="AR1" s="1">
        <f t="shared" si="0"/>
        <v>46113</v>
      </c>
      <c r="AS1" s="1">
        <f t="shared" si="0"/>
        <v>46143</v>
      </c>
      <c r="AT1" s="1">
        <f t="shared" si="0"/>
        <v>46174</v>
      </c>
      <c r="AU1" s="1">
        <f t="shared" si="0"/>
        <v>46204</v>
      </c>
      <c r="AV1" s="1">
        <f t="shared" si="0"/>
        <v>46235</v>
      </c>
      <c r="AW1" s="1">
        <f t="shared" si="0"/>
        <v>46266</v>
      </c>
      <c r="AX1" s="1">
        <f t="shared" si="0"/>
        <v>46296</v>
      </c>
      <c r="AY1" s="1">
        <f t="shared" si="0"/>
        <v>46327</v>
      </c>
      <c r="AZ1" s="1">
        <f t="shared" si="0"/>
        <v>46357</v>
      </c>
      <c r="BA1" s="1">
        <f t="shared" si="0"/>
        <v>46388</v>
      </c>
      <c r="BB1" s="1">
        <f t="shared" si="0"/>
        <v>46419</v>
      </c>
      <c r="BC1" s="1">
        <f t="shared" si="0"/>
        <v>46447</v>
      </c>
    </row>
    <row r="2" spans="1:65" x14ac:dyDescent="0.3">
      <c r="D2" t="s">
        <v>1455</v>
      </c>
      <c r="E2" s="1">
        <f>EOMONTH(E1,0)</f>
        <v>44957</v>
      </c>
      <c r="F2" s="1">
        <f t="shared" ref="F2:BC2" si="1">EOMONTH(F1,0)</f>
        <v>44985</v>
      </c>
      <c r="G2" s="1">
        <f t="shared" si="1"/>
        <v>45016</v>
      </c>
      <c r="H2" s="1">
        <f t="shared" si="1"/>
        <v>45046</v>
      </c>
      <c r="I2" s="1">
        <f t="shared" si="1"/>
        <v>45077</v>
      </c>
      <c r="J2" s="1">
        <f t="shared" si="1"/>
        <v>45107</v>
      </c>
      <c r="K2" s="1">
        <f t="shared" si="1"/>
        <v>45138</v>
      </c>
      <c r="L2" s="1">
        <f t="shared" si="1"/>
        <v>45169</v>
      </c>
      <c r="M2" s="1">
        <f t="shared" si="1"/>
        <v>45199</v>
      </c>
      <c r="N2" s="1">
        <f t="shared" si="1"/>
        <v>45230</v>
      </c>
      <c r="O2" s="1">
        <f t="shared" si="1"/>
        <v>45260</v>
      </c>
      <c r="P2" s="1">
        <f t="shared" si="1"/>
        <v>45291</v>
      </c>
      <c r="Q2" s="1">
        <f t="shared" si="1"/>
        <v>45322</v>
      </c>
      <c r="R2" s="1">
        <f t="shared" si="1"/>
        <v>45351</v>
      </c>
      <c r="S2" s="1">
        <f t="shared" si="1"/>
        <v>45382</v>
      </c>
      <c r="T2" s="1">
        <f t="shared" si="1"/>
        <v>45412</v>
      </c>
      <c r="U2" s="1">
        <f t="shared" si="1"/>
        <v>45443</v>
      </c>
      <c r="V2" s="1">
        <f t="shared" si="1"/>
        <v>45473</v>
      </c>
      <c r="W2" s="1">
        <f t="shared" si="1"/>
        <v>45504</v>
      </c>
      <c r="X2" s="1">
        <f t="shared" si="1"/>
        <v>45535</v>
      </c>
      <c r="Y2" s="1">
        <f t="shared" si="1"/>
        <v>45565</v>
      </c>
      <c r="Z2" s="1">
        <f t="shared" si="1"/>
        <v>45596</v>
      </c>
      <c r="AA2" s="1">
        <f t="shared" si="1"/>
        <v>45626</v>
      </c>
      <c r="AB2" s="1">
        <f t="shared" si="1"/>
        <v>45657</v>
      </c>
      <c r="AC2" s="1">
        <f t="shared" si="1"/>
        <v>45688</v>
      </c>
      <c r="AD2" s="1">
        <f t="shared" si="1"/>
        <v>45716</v>
      </c>
      <c r="AE2" s="1">
        <f t="shared" si="1"/>
        <v>45747</v>
      </c>
      <c r="AF2" s="1">
        <f t="shared" si="1"/>
        <v>45777</v>
      </c>
      <c r="AG2" s="1">
        <f t="shared" si="1"/>
        <v>45808</v>
      </c>
      <c r="AH2" s="1">
        <f t="shared" si="1"/>
        <v>45838</v>
      </c>
      <c r="AI2" s="1">
        <f t="shared" si="1"/>
        <v>45869</v>
      </c>
      <c r="AJ2" s="1">
        <f t="shared" si="1"/>
        <v>45900</v>
      </c>
      <c r="AK2" s="1">
        <f t="shared" si="1"/>
        <v>45930</v>
      </c>
      <c r="AL2" s="1">
        <f t="shared" si="1"/>
        <v>45961</v>
      </c>
      <c r="AM2" s="1">
        <f t="shared" si="1"/>
        <v>45991</v>
      </c>
      <c r="AN2" s="1">
        <f t="shared" si="1"/>
        <v>46022</v>
      </c>
      <c r="AO2" s="1">
        <f t="shared" si="1"/>
        <v>46053</v>
      </c>
      <c r="AP2" s="1">
        <f t="shared" si="1"/>
        <v>46081</v>
      </c>
      <c r="AQ2" s="1">
        <f t="shared" si="1"/>
        <v>46112</v>
      </c>
      <c r="AR2" s="1">
        <f t="shared" si="1"/>
        <v>46142</v>
      </c>
      <c r="AS2" s="1">
        <f t="shared" si="1"/>
        <v>46173</v>
      </c>
      <c r="AT2" s="1">
        <f t="shared" si="1"/>
        <v>46203</v>
      </c>
      <c r="AU2" s="1">
        <f t="shared" si="1"/>
        <v>46234</v>
      </c>
      <c r="AV2" s="1">
        <f t="shared" si="1"/>
        <v>46265</v>
      </c>
      <c r="AW2" s="1">
        <f t="shared" si="1"/>
        <v>46295</v>
      </c>
      <c r="AX2" s="1">
        <f t="shared" si="1"/>
        <v>46326</v>
      </c>
      <c r="AY2" s="1">
        <f t="shared" si="1"/>
        <v>46356</v>
      </c>
      <c r="AZ2" s="1">
        <f t="shared" si="1"/>
        <v>46387</v>
      </c>
      <c r="BA2" s="1">
        <f t="shared" si="1"/>
        <v>46418</v>
      </c>
      <c r="BB2" s="1">
        <f t="shared" si="1"/>
        <v>46446</v>
      </c>
      <c r="BC2" s="1">
        <f t="shared" si="1"/>
        <v>46477</v>
      </c>
    </row>
    <row r="3" spans="1:65" x14ac:dyDescent="0.3">
      <c r="D3" t="s">
        <v>1388</v>
      </c>
      <c r="E3" t="s">
        <v>1373</v>
      </c>
      <c r="F3" t="s">
        <v>1374</v>
      </c>
      <c r="G3" t="s">
        <v>1375</v>
      </c>
      <c r="H3" t="s">
        <v>1490</v>
      </c>
      <c r="I3" t="s">
        <v>1491</v>
      </c>
      <c r="J3" t="s">
        <v>1492</v>
      </c>
      <c r="K3" t="s">
        <v>1493</v>
      </c>
      <c r="L3" t="s">
        <v>1494</v>
      </c>
      <c r="M3" t="s">
        <v>1495</v>
      </c>
      <c r="N3" t="s">
        <v>1496</v>
      </c>
      <c r="O3" t="s">
        <v>1497</v>
      </c>
      <c r="P3" t="s">
        <v>1498</v>
      </c>
      <c r="Q3" t="s">
        <v>1499</v>
      </c>
      <c r="R3" t="s">
        <v>1500</v>
      </c>
      <c r="S3" t="s">
        <v>1501</v>
      </c>
      <c r="T3" t="s">
        <v>1502</v>
      </c>
      <c r="U3" t="s">
        <v>1503</v>
      </c>
      <c r="V3" t="s">
        <v>1504</v>
      </c>
      <c r="W3" t="s">
        <v>1505</v>
      </c>
      <c r="X3" t="s">
        <v>1506</v>
      </c>
      <c r="Y3" t="s">
        <v>1507</v>
      </c>
      <c r="Z3" t="s">
        <v>1508</v>
      </c>
      <c r="AA3" t="s">
        <v>1509</v>
      </c>
      <c r="AB3" t="s">
        <v>1510</v>
      </c>
      <c r="AC3" t="s">
        <v>1511</v>
      </c>
      <c r="AD3" t="s">
        <v>1512</v>
      </c>
      <c r="AE3" t="s">
        <v>1513</v>
      </c>
      <c r="AF3" t="s">
        <v>1514</v>
      </c>
      <c r="AG3" t="s">
        <v>1515</v>
      </c>
      <c r="AH3" t="s">
        <v>1516</v>
      </c>
      <c r="AI3" t="s">
        <v>1517</v>
      </c>
      <c r="AJ3" t="s">
        <v>1518</v>
      </c>
      <c r="AK3" t="s">
        <v>1519</v>
      </c>
      <c r="AL3" t="s">
        <v>1520</v>
      </c>
      <c r="AM3" t="s">
        <v>1521</v>
      </c>
      <c r="AN3" t="s">
        <v>1522</v>
      </c>
      <c r="AO3" t="s">
        <v>1523</v>
      </c>
      <c r="AP3" t="s">
        <v>1524</v>
      </c>
      <c r="AQ3" t="s">
        <v>1525</v>
      </c>
      <c r="AR3" t="s">
        <v>1526</v>
      </c>
      <c r="AS3" t="s">
        <v>1527</v>
      </c>
      <c r="AT3" t="s">
        <v>1528</v>
      </c>
      <c r="AU3" t="s">
        <v>1529</v>
      </c>
      <c r="AV3" t="s">
        <v>1530</v>
      </c>
      <c r="AW3" t="s">
        <v>1531</v>
      </c>
      <c r="AX3" t="s">
        <v>1532</v>
      </c>
      <c r="AY3" t="s">
        <v>1533</v>
      </c>
      <c r="AZ3" t="s">
        <v>1534</v>
      </c>
      <c r="BA3" t="s">
        <v>1535</v>
      </c>
      <c r="BB3" t="s">
        <v>1536</v>
      </c>
      <c r="BC3" t="s">
        <v>1537</v>
      </c>
    </row>
    <row r="4" spans="1:65" ht="15.6" x14ac:dyDescent="0.3">
      <c r="D4" t="s">
        <v>1372</v>
      </c>
      <c r="E4" t="s">
        <v>1538</v>
      </c>
      <c r="F4" t="s">
        <v>1538</v>
      </c>
      <c r="G4" t="s">
        <v>1538</v>
      </c>
      <c r="H4" t="s">
        <v>1539</v>
      </c>
      <c r="I4" t="s">
        <v>1539</v>
      </c>
      <c r="J4" t="s">
        <v>1539</v>
      </c>
      <c r="K4" t="s">
        <v>1539</v>
      </c>
      <c r="L4" t="s">
        <v>1539</v>
      </c>
      <c r="M4" t="s">
        <v>1539</v>
      </c>
      <c r="N4" t="s">
        <v>1539</v>
      </c>
      <c r="O4" t="s">
        <v>1539</v>
      </c>
      <c r="P4" t="s">
        <v>1539</v>
      </c>
      <c r="Q4" t="s">
        <v>1539</v>
      </c>
      <c r="R4" t="s">
        <v>1539</v>
      </c>
      <c r="S4" t="s">
        <v>1539</v>
      </c>
      <c r="T4" t="s">
        <v>1540</v>
      </c>
      <c r="U4" t="s">
        <v>1540</v>
      </c>
      <c r="V4" t="s">
        <v>1540</v>
      </c>
      <c r="W4" t="s">
        <v>1540</v>
      </c>
      <c r="X4" t="s">
        <v>1540</v>
      </c>
      <c r="Y4" t="s">
        <v>1540</v>
      </c>
      <c r="Z4" t="s">
        <v>1540</v>
      </c>
      <c r="AA4" t="s">
        <v>1540</v>
      </c>
      <c r="AB4" t="s">
        <v>1540</v>
      </c>
      <c r="AC4" t="s">
        <v>1540</v>
      </c>
      <c r="AD4" t="s">
        <v>1540</v>
      </c>
      <c r="AE4" t="s">
        <v>1540</v>
      </c>
      <c r="AF4" t="s">
        <v>1541</v>
      </c>
      <c r="AG4" t="s">
        <v>1541</v>
      </c>
      <c r="AH4" t="s">
        <v>1541</v>
      </c>
      <c r="AI4" t="s">
        <v>1541</v>
      </c>
      <c r="AJ4" t="s">
        <v>1541</v>
      </c>
      <c r="AK4" t="s">
        <v>1541</v>
      </c>
      <c r="AL4" t="s">
        <v>1541</v>
      </c>
      <c r="AM4" t="s">
        <v>1541</v>
      </c>
      <c r="AN4" t="s">
        <v>1541</v>
      </c>
      <c r="AO4" t="s">
        <v>1541</v>
      </c>
      <c r="AP4" t="s">
        <v>1541</v>
      </c>
      <c r="AQ4" t="s">
        <v>1541</v>
      </c>
      <c r="AR4" t="s">
        <v>1542</v>
      </c>
      <c r="AS4" t="s">
        <v>1542</v>
      </c>
      <c r="AT4" t="s">
        <v>1542</v>
      </c>
      <c r="AU4" t="s">
        <v>1542</v>
      </c>
      <c r="AV4" t="s">
        <v>1542</v>
      </c>
      <c r="AW4" t="s">
        <v>1542</v>
      </c>
      <c r="AX4" t="s">
        <v>1542</v>
      </c>
      <c r="AY4" t="s">
        <v>1542</v>
      </c>
      <c r="AZ4" t="s">
        <v>1542</v>
      </c>
      <c r="BA4" t="s">
        <v>1542</v>
      </c>
      <c r="BB4" t="s">
        <v>1542</v>
      </c>
      <c r="BC4" t="s">
        <v>1542</v>
      </c>
      <c r="BE4" s="12" t="s">
        <v>1372</v>
      </c>
      <c r="BF4" s="13" t="s">
        <v>1456</v>
      </c>
      <c r="BG4" s="13" t="e" cm="1">
        <f t="array" aca="1" ref="BG4:BK4" ca="1">TRANSPOSE(вава((TRANSPOSE(E4:BC4))))</f>
        <v>#NAME?</v>
      </c>
      <c r="BH4" s="12" t="e">
        <f ca="1"/>
        <v>#NAME?</v>
      </c>
      <c r="BI4" s="14" t="e">
        <f ca="1"/>
        <v>#NAME?</v>
      </c>
      <c r="BJ4" s="14" t="e">
        <f ca="1"/>
        <v>#NAME?</v>
      </c>
      <c r="BK4" s="14" t="e">
        <f ca="1"/>
        <v>#NAME?</v>
      </c>
      <c r="BM4" t="s">
        <v>1457</v>
      </c>
    </row>
    <row r="5" spans="1:65" x14ac:dyDescent="0.3">
      <c r="D5" t="s">
        <v>1458</v>
      </c>
      <c r="E5">
        <v>2023</v>
      </c>
      <c r="F5">
        <v>2023</v>
      </c>
      <c r="G5" s="15">
        <v>2023</v>
      </c>
      <c r="H5" s="15">
        <v>2023</v>
      </c>
      <c r="I5" s="15">
        <v>2023</v>
      </c>
      <c r="J5" s="15">
        <v>2023</v>
      </c>
      <c r="K5" s="15">
        <v>2023</v>
      </c>
      <c r="L5" s="15">
        <v>2023</v>
      </c>
      <c r="M5" s="15">
        <v>2023</v>
      </c>
      <c r="N5" s="15">
        <v>2023</v>
      </c>
      <c r="O5" s="15">
        <v>2023</v>
      </c>
      <c r="P5" s="15">
        <v>2023</v>
      </c>
      <c r="Q5" s="15">
        <v>2024</v>
      </c>
      <c r="R5" s="15">
        <v>2024</v>
      </c>
      <c r="S5" s="15">
        <v>2024</v>
      </c>
      <c r="T5" s="15">
        <v>2024</v>
      </c>
      <c r="U5" s="15">
        <v>2024</v>
      </c>
      <c r="V5" s="15">
        <v>2024</v>
      </c>
      <c r="W5" s="15">
        <v>2024</v>
      </c>
      <c r="X5" s="15">
        <v>2024</v>
      </c>
      <c r="Y5" s="15">
        <v>2024</v>
      </c>
      <c r="Z5" s="15">
        <v>2024</v>
      </c>
      <c r="AA5" s="15">
        <v>2024</v>
      </c>
      <c r="AB5" s="15">
        <v>2024</v>
      </c>
      <c r="AC5" s="15">
        <v>2025</v>
      </c>
      <c r="AD5" s="15">
        <v>2025</v>
      </c>
      <c r="AE5" s="15">
        <v>2025</v>
      </c>
      <c r="AF5" s="15">
        <v>2025</v>
      </c>
      <c r="AG5" s="15">
        <v>2025</v>
      </c>
      <c r="AH5" s="15">
        <v>2025</v>
      </c>
      <c r="AI5" s="15">
        <v>2025</v>
      </c>
      <c r="AJ5" s="15">
        <v>2025</v>
      </c>
      <c r="AK5" s="15">
        <v>2025</v>
      </c>
      <c r="AL5" s="15">
        <v>2025</v>
      </c>
      <c r="AM5" s="15">
        <v>2025</v>
      </c>
      <c r="AN5" s="15">
        <v>2025</v>
      </c>
      <c r="AO5" s="15">
        <v>2026</v>
      </c>
      <c r="AP5" s="15">
        <v>2026</v>
      </c>
      <c r="AQ5" s="15">
        <v>2026</v>
      </c>
      <c r="AR5" s="15">
        <v>2026</v>
      </c>
      <c r="AS5" s="15">
        <v>2026</v>
      </c>
      <c r="AT5" s="15">
        <v>2026</v>
      </c>
      <c r="AU5" s="15">
        <v>2026</v>
      </c>
      <c r="AV5" s="15">
        <v>2026</v>
      </c>
      <c r="AW5" s="15">
        <v>2026</v>
      </c>
      <c r="AX5" s="15">
        <v>2026</v>
      </c>
      <c r="AY5" s="15">
        <v>2026</v>
      </c>
      <c r="AZ5" s="15">
        <v>2026</v>
      </c>
      <c r="BA5" s="15">
        <v>2027</v>
      </c>
      <c r="BB5" s="15">
        <v>2027</v>
      </c>
      <c r="BC5" s="15">
        <v>2027</v>
      </c>
    </row>
    <row r="8" spans="1:65" x14ac:dyDescent="0.3">
      <c r="B8" t="s">
        <v>1459</v>
      </c>
      <c r="E8" s="3">
        <v>3091</v>
      </c>
      <c r="F8" s="3">
        <v>3061</v>
      </c>
      <c r="G8" s="3">
        <v>3023</v>
      </c>
      <c r="H8" s="3">
        <v>2988</v>
      </c>
      <c r="I8" s="3">
        <v>2961</v>
      </c>
      <c r="J8" s="3">
        <v>2936</v>
      </c>
      <c r="K8" s="3">
        <v>2879</v>
      </c>
      <c r="L8" s="3">
        <v>2847</v>
      </c>
      <c r="M8" s="3">
        <v>2822</v>
      </c>
      <c r="N8" s="3">
        <v>2786</v>
      </c>
      <c r="O8" s="3">
        <v>2710</v>
      </c>
      <c r="P8" s="3">
        <v>2671</v>
      </c>
      <c r="Q8" s="3">
        <v>2610</v>
      </c>
      <c r="R8" s="3">
        <v>2604</v>
      </c>
      <c r="S8" s="3">
        <v>2595</v>
      </c>
      <c r="T8" s="3">
        <v>2567</v>
      </c>
      <c r="U8" s="3">
        <v>2534</v>
      </c>
      <c r="V8" s="3">
        <v>2509</v>
      </c>
      <c r="W8" s="3">
        <v>2471</v>
      </c>
      <c r="X8" s="3">
        <v>2397</v>
      </c>
      <c r="Y8" s="3">
        <v>2353</v>
      </c>
      <c r="Z8" s="3">
        <v>2326</v>
      </c>
      <c r="AA8" s="3">
        <v>2274</v>
      </c>
      <c r="AB8" s="3">
        <v>2087</v>
      </c>
      <c r="AC8" s="3">
        <v>1782</v>
      </c>
      <c r="AD8" s="3">
        <v>1604</v>
      </c>
      <c r="AE8" s="3">
        <v>1481</v>
      </c>
      <c r="AF8" s="3">
        <v>1433</v>
      </c>
      <c r="AG8" s="3">
        <v>1420</v>
      </c>
      <c r="AH8" s="3">
        <v>1411</v>
      </c>
      <c r="AI8" s="3">
        <v>1399</v>
      </c>
      <c r="AJ8" s="3">
        <v>1383</v>
      </c>
      <c r="AK8" s="3">
        <v>1171</v>
      </c>
      <c r="AL8" s="3">
        <v>816</v>
      </c>
      <c r="AM8" s="3">
        <v>793</v>
      </c>
      <c r="AN8" s="3">
        <v>787</v>
      </c>
      <c r="AO8" s="3">
        <v>755</v>
      </c>
      <c r="AP8" s="3">
        <v>668</v>
      </c>
      <c r="AQ8" s="3">
        <v>138</v>
      </c>
      <c r="AR8" s="3">
        <v>84</v>
      </c>
      <c r="AS8" s="3">
        <v>79</v>
      </c>
      <c r="AT8" s="3">
        <v>78</v>
      </c>
      <c r="AU8" s="3">
        <v>77</v>
      </c>
      <c r="AV8" s="3">
        <v>77</v>
      </c>
      <c r="AW8" s="3">
        <v>75</v>
      </c>
      <c r="AX8" s="3">
        <v>73</v>
      </c>
      <c r="AY8" s="3">
        <v>67</v>
      </c>
      <c r="AZ8" s="3">
        <v>65</v>
      </c>
      <c r="BA8" s="3">
        <v>2</v>
      </c>
      <c r="BB8" s="3">
        <v>2</v>
      </c>
      <c r="BC8" s="3">
        <v>1</v>
      </c>
      <c r="BE8" s="8" t="str">
        <f>B8</f>
        <v>OL fleet</v>
      </c>
      <c r="BF8" s="16">
        <v>3106</v>
      </c>
      <c r="BG8" s="16">
        <f ca="1">SUMIF($E$2:$BC$2,_xlfn.MAXIFS($E$2:$BC$2,$E$4:$BC$4,BG4),$E$8:$BC$8)</f>
        <v>0</v>
      </c>
      <c r="BH8" s="8">
        <f ca="1">SUMIF($E$2:$BC$2,_xlfn.MAXIFS($E$2:$BC$2,$E$4:$BC$4,BH4),$E$8:$BC$8)</f>
        <v>0</v>
      </c>
      <c r="BI8" s="17">
        <f ca="1">SUMIF($E$2:$BC$2,_xlfn.MAXIFS($E$2:$BC$2,$E$4:$BC$4,BI4),$E$8:$BC$8)</f>
        <v>0</v>
      </c>
      <c r="BJ8" s="17">
        <f ca="1">SUMIF($E$2:$BC$2,_xlfn.MAXIFS($E$2:$BC$2,$E$4:$BC$4,BJ4),$E$8:$BC$8)</f>
        <v>0</v>
      </c>
      <c r="BK8" s="17">
        <f ca="1">SUMIF($E$2:$BC$2,_xlfn.MAXIFS($E$2:$BC$2,$E$4:$BC$4,BK4),$E$8:$BC$8)</f>
        <v>0</v>
      </c>
      <c r="BM8" s="8"/>
    </row>
    <row r="9" spans="1:65" x14ac:dyDescent="0.3">
      <c r="B9" t="s">
        <v>1460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E9" s="8" t="str">
        <f>B9</f>
        <v>New deliveries</v>
      </c>
      <c r="BF9" s="16">
        <v>105</v>
      </c>
      <c r="BG9" s="16">
        <f t="shared" ref="BG9:BK13" ca="1" si="2">SUMIF($E$4:$BC$4,BG$4,$E9:$BC9)</f>
        <v>0</v>
      </c>
      <c r="BH9" s="8">
        <f t="shared" ca="1" si="2"/>
        <v>0</v>
      </c>
      <c r="BI9" s="17">
        <f t="shared" ca="1" si="2"/>
        <v>0</v>
      </c>
      <c r="BJ9" s="17">
        <f t="shared" ca="1" si="2"/>
        <v>0</v>
      </c>
      <c r="BK9" s="17">
        <f t="shared" ca="1" si="2"/>
        <v>0</v>
      </c>
      <c r="BM9" s="8"/>
    </row>
    <row r="10" spans="1:65" x14ac:dyDescent="0.3">
      <c r="A10" s="8"/>
      <c r="B10" s="8" t="s">
        <v>1461</v>
      </c>
      <c r="C10" s="8"/>
      <c r="D10" s="8"/>
      <c r="E10" s="8">
        <v>104768.705</v>
      </c>
      <c r="F10" s="8">
        <v>99740.277000000002</v>
      </c>
      <c r="G10" s="8">
        <v>98567.157000000007</v>
      </c>
      <c r="H10" s="8">
        <v>96857.74</v>
      </c>
      <c r="I10" s="8">
        <v>96053.832999999999</v>
      </c>
      <c r="J10" s="8">
        <v>94683.945999999996</v>
      </c>
      <c r="K10" s="8">
        <v>92452.342999999993</v>
      </c>
      <c r="L10" s="8">
        <v>91551.892000000007</v>
      </c>
      <c r="M10" s="8">
        <v>90584.616999999998</v>
      </c>
      <c r="N10" s="8">
        <v>89436.375</v>
      </c>
      <c r="O10" s="8">
        <v>87576.758000000002</v>
      </c>
      <c r="P10" s="8">
        <v>85298.619000000006</v>
      </c>
      <c r="Q10" s="8">
        <v>84118.672999999995</v>
      </c>
      <c r="R10" s="8">
        <v>83874.179000000004</v>
      </c>
      <c r="S10" s="8">
        <v>83307.736999999994</v>
      </c>
      <c r="T10" s="8">
        <v>80886.805999999997</v>
      </c>
      <c r="U10" s="8">
        <v>79585.085000000006</v>
      </c>
      <c r="V10" s="8">
        <v>78767.304000000004</v>
      </c>
      <c r="W10" s="8">
        <v>77783.074999999997</v>
      </c>
      <c r="X10" s="8">
        <v>76194.573000000004</v>
      </c>
      <c r="Y10" s="8">
        <v>75400.767999999996</v>
      </c>
      <c r="Z10" s="8">
        <v>73996.532000000007</v>
      </c>
      <c r="AA10" s="8">
        <v>70093.581999999995</v>
      </c>
      <c r="AB10" s="8">
        <v>64593.49</v>
      </c>
      <c r="AC10" s="8">
        <v>58276.008999999998</v>
      </c>
      <c r="AD10" s="8">
        <v>52654.947</v>
      </c>
      <c r="AE10" s="8">
        <v>50780.873</v>
      </c>
      <c r="AF10" s="8">
        <v>49852.146999999997</v>
      </c>
      <c r="AG10" s="8">
        <v>49583.991999999998</v>
      </c>
      <c r="AH10" s="8">
        <v>49125.222999999998</v>
      </c>
      <c r="AI10" s="8">
        <v>48794.2</v>
      </c>
      <c r="AJ10" s="8">
        <v>46514.067999999999</v>
      </c>
      <c r="AK10" s="8">
        <v>36709.631999999998</v>
      </c>
      <c r="AL10" s="8">
        <v>32439.305</v>
      </c>
      <c r="AM10" s="8">
        <v>31667.463</v>
      </c>
      <c r="AN10" s="8">
        <v>31013.876</v>
      </c>
      <c r="AO10" s="8">
        <v>28975.491000000002</v>
      </c>
      <c r="AP10" s="8">
        <v>15871.278</v>
      </c>
      <c r="AQ10" s="8">
        <v>4356.1530000000002</v>
      </c>
      <c r="AR10" s="8">
        <v>3872.4140000000002</v>
      </c>
      <c r="AS10" s="8">
        <v>3719.924</v>
      </c>
      <c r="AT10" s="8">
        <v>3647.3649999999998</v>
      </c>
      <c r="AU10" s="8">
        <v>3639.7750000000001</v>
      </c>
      <c r="AV10" s="8">
        <v>3621.1379999999999</v>
      </c>
      <c r="AW10" s="8">
        <v>3489.8589999999999</v>
      </c>
      <c r="AX10" s="8">
        <v>3229.9059999999999</v>
      </c>
      <c r="AY10" s="8">
        <v>2830.1469999999999</v>
      </c>
      <c r="AZ10" s="8">
        <v>1592.171</v>
      </c>
      <c r="BA10" s="8">
        <v>185.87700000000001</v>
      </c>
      <c r="BB10" s="8">
        <v>142.99799999999999</v>
      </c>
      <c r="BC10" s="8">
        <v>93.522999999999996</v>
      </c>
      <c r="BE10" s="8" t="str">
        <f>B10</f>
        <v>OL_revenue</v>
      </c>
      <c r="BF10" s="16">
        <v>1140321.8344399999</v>
      </c>
      <c r="BG10" s="16">
        <f t="shared" ca="1" si="2"/>
        <v>0</v>
      </c>
      <c r="BH10" s="8">
        <f t="shared" ca="1" si="2"/>
        <v>0</v>
      </c>
      <c r="BI10" s="17">
        <f t="shared" ca="1" si="2"/>
        <v>0</v>
      </c>
      <c r="BJ10" s="17">
        <f t="shared" ca="1" si="2"/>
        <v>0</v>
      </c>
      <c r="BK10" s="17">
        <f t="shared" ca="1" si="2"/>
        <v>0</v>
      </c>
      <c r="BM10" s="8">
        <f ca="1">SUM(BG10:BK10)-SUM(E10:BC10)</f>
        <v>-2672853.8200000008</v>
      </c>
    </row>
    <row r="11" spans="1:65" x14ac:dyDescent="0.3">
      <c r="A11" s="8"/>
      <c r="B11" s="8" t="s">
        <v>1462</v>
      </c>
      <c r="C11" s="8"/>
      <c r="D11" s="8"/>
      <c r="E11" s="8">
        <v>-92836.672315944932</v>
      </c>
      <c r="F11" s="8">
        <v>-85334.415138872981</v>
      </c>
      <c r="G11" s="8">
        <v>-112761.76852657482</v>
      </c>
      <c r="H11" s="8">
        <v>-90516.691295623226</v>
      </c>
      <c r="I11" s="8">
        <v>-89161.327045484097</v>
      </c>
      <c r="J11" s="8">
        <v>-83985.819529395754</v>
      </c>
      <c r="K11" s="8">
        <v>-83914.307827524986</v>
      </c>
      <c r="L11" s="8">
        <v>-87417.43291951748</v>
      </c>
      <c r="M11" s="8">
        <v>-82447.290598170875</v>
      </c>
      <c r="N11" s="8">
        <v>-83185.930350247538</v>
      </c>
      <c r="O11" s="8">
        <v>-77641.76202525344</v>
      </c>
      <c r="P11" s="8">
        <v>-76970.546085243375</v>
      </c>
      <c r="Q11" s="8">
        <v>-76975.658206858177</v>
      </c>
      <c r="R11" s="8">
        <v>-73544.72546242016</v>
      </c>
      <c r="S11" s="8">
        <v>-75445.826845222982</v>
      </c>
      <c r="T11" s="8">
        <v>-72920.373676657196</v>
      </c>
      <c r="U11" s="8">
        <v>-72518.171781672034</v>
      </c>
      <c r="V11" s="8">
        <v>-69985.194716903206</v>
      </c>
      <c r="W11" s="8">
        <v>-69793.32062498563</v>
      </c>
      <c r="X11" s="8">
        <v>-67594.556058815026</v>
      </c>
      <c r="Y11" s="8">
        <v>-65031.958888099267</v>
      </c>
      <c r="Z11" s="8">
        <v>-64761.186218125353</v>
      </c>
      <c r="AA11" s="8">
        <v>-59869.001441134395</v>
      </c>
      <c r="AB11" s="8">
        <v>-53990.655806233655</v>
      </c>
      <c r="AC11" s="8">
        <v>-45690.533575003952</v>
      </c>
      <c r="AD11" s="8">
        <v>-39657.308911187189</v>
      </c>
      <c r="AE11" s="8">
        <v>-38834.712507660857</v>
      </c>
      <c r="AF11" s="8">
        <v>-37106.25139521579</v>
      </c>
      <c r="AG11" s="8">
        <v>-36985.82165061991</v>
      </c>
      <c r="AH11" s="8">
        <v>-35919.749289267515</v>
      </c>
      <c r="AI11" s="8">
        <v>-35946.599745070322</v>
      </c>
      <c r="AJ11" s="8">
        <v>-33660.441083109574</v>
      </c>
      <c r="AK11" s="8">
        <v>-26235.83744137481</v>
      </c>
      <c r="AL11" s="8">
        <v>-21553.258039136945</v>
      </c>
      <c r="AM11" s="8">
        <v>-20505.828249290891</v>
      </c>
      <c r="AN11" s="8">
        <v>-20280.262385813585</v>
      </c>
      <c r="AO11" s="8">
        <v>-18926.314138174213</v>
      </c>
      <c r="AP11" s="8">
        <v>-13764.97414926949</v>
      </c>
      <c r="AQ11" s="8">
        <v>-6649.2852482783364</v>
      </c>
      <c r="AR11" s="8">
        <v>-1329.5342582340454</v>
      </c>
      <c r="AS11" s="8">
        <v>-1231.2428159414474</v>
      </c>
      <c r="AT11" s="8">
        <v>-1175.5203582926072</v>
      </c>
      <c r="AU11" s="8">
        <v>-1172.2739391798036</v>
      </c>
      <c r="AV11" s="8">
        <v>-1165.7180915195297</v>
      </c>
      <c r="AW11" s="8">
        <v>-1093.0642396372268</v>
      </c>
      <c r="AX11" s="8">
        <v>-1000.8449505729452</v>
      </c>
      <c r="AY11" s="8">
        <v>-783.94729006541104</v>
      </c>
      <c r="AZ11" s="8">
        <v>-751.29398880547944</v>
      </c>
      <c r="BA11" s="8">
        <v>-46.666125753424652</v>
      </c>
      <c r="BB11" s="8">
        <v>-33.718447945205483</v>
      </c>
      <c r="BC11" s="8">
        <v>-10.79</v>
      </c>
      <c r="BE11" s="8" t="str">
        <f>B11</f>
        <v>OL_costs</v>
      </c>
      <c r="BF11" s="16">
        <v>-925286.60139103362</v>
      </c>
      <c r="BG11" s="16">
        <f t="shared" ca="1" si="2"/>
        <v>0</v>
      </c>
      <c r="BH11" s="8">
        <f t="shared" ca="1" si="2"/>
        <v>0</v>
      </c>
      <c r="BI11" s="17">
        <f t="shared" ca="1" si="2"/>
        <v>0</v>
      </c>
      <c r="BJ11" s="17">
        <f t="shared" ca="1" si="2"/>
        <v>0</v>
      </c>
      <c r="BK11" s="17">
        <f t="shared" ca="1" si="2"/>
        <v>0</v>
      </c>
      <c r="BM11" s="8">
        <f ca="1">SUM(BG11:BK11)-SUM(E11:BC11)</f>
        <v>2310116.3856993997</v>
      </c>
    </row>
    <row r="12" spans="1:65" x14ac:dyDescent="0.3">
      <c r="A12" s="8"/>
      <c r="B12" s="8" t="s">
        <v>1463</v>
      </c>
      <c r="C12" s="8"/>
      <c r="D12" s="8"/>
      <c r="E12" s="8">
        <v>112.77479499512351</v>
      </c>
      <c r="F12" s="8">
        <v>282.98361932479588</v>
      </c>
      <c r="G12" s="8">
        <v>181.30865297558904</v>
      </c>
      <c r="H12" s="8">
        <v>-12460.969086822108</v>
      </c>
      <c r="I12" s="8">
        <v>61.937311820521948</v>
      </c>
      <c r="J12" s="8">
        <v>132.72281104397402</v>
      </c>
      <c r="K12" s="8">
        <v>70.78549922344834</v>
      </c>
      <c r="L12" s="8">
        <v>57.513218119055033</v>
      </c>
      <c r="M12" s="8">
        <v>86.269827178582545</v>
      </c>
      <c r="N12" s="8">
        <v>218.9530438302979</v>
      </c>
      <c r="O12" s="8">
        <v>187.94479352778941</v>
      </c>
      <c r="P12" s="8">
        <v>574.77583166027443</v>
      </c>
      <c r="Q12" s="8">
        <v>17.696374805863947</v>
      </c>
      <c r="R12" s="8">
        <v>19.908421656593681</v>
      </c>
      <c r="S12" s="8">
        <v>61.937311820521948</v>
      </c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E12" s="8" t="str">
        <f>B12</f>
        <v>OL Loss allowance</v>
      </c>
      <c r="BF12" s="16"/>
      <c r="BG12" s="16">
        <f t="shared" ca="1" si="2"/>
        <v>0</v>
      </c>
      <c r="BH12" s="8">
        <f t="shared" ca="1" si="2"/>
        <v>0</v>
      </c>
      <c r="BI12" s="17"/>
      <c r="BJ12" s="17"/>
      <c r="BK12" s="17"/>
      <c r="BM12" s="8"/>
    </row>
    <row r="13" spans="1:65" x14ac:dyDescent="0.3">
      <c r="A13" s="8"/>
      <c r="B13" t="s">
        <v>1464</v>
      </c>
      <c r="C13" s="8"/>
      <c r="D13" s="8"/>
      <c r="E13" s="8"/>
      <c r="F13" s="8"/>
      <c r="G13" s="8">
        <v>-23986.230224949875</v>
      </c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E13" s="11" t="s">
        <v>1464</v>
      </c>
      <c r="BF13" s="18"/>
      <c r="BG13" s="19">
        <f t="shared" ca="1" si="2"/>
        <v>0</v>
      </c>
      <c r="BH13" s="8"/>
      <c r="BI13" s="17"/>
      <c r="BJ13" s="17"/>
      <c r="BK13" s="17"/>
      <c r="BM13" s="8"/>
    </row>
    <row r="14" spans="1:65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G14" s="16"/>
      <c r="BH14" s="8"/>
      <c r="BI14" s="17"/>
      <c r="BJ14" s="17"/>
      <c r="BK14" s="17"/>
      <c r="BM14" s="8"/>
    </row>
    <row r="15" spans="1:65" s="15" customFormat="1" x14ac:dyDescent="0.3">
      <c r="A15" s="20"/>
      <c r="B15" s="20" t="s">
        <v>1465</v>
      </c>
      <c r="C15" s="20"/>
      <c r="D15" s="20"/>
      <c r="E15" s="20">
        <f t="shared" ref="E15:BC15" si="3">SUM(E10:E11)</f>
        <v>11932.03268405507</v>
      </c>
      <c r="F15" s="20">
        <f t="shared" si="3"/>
        <v>14405.861861127021</v>
      </c>
      <c r="G15" s="20">
        <f t="shared" si="3"/>
        <v>-14194.611526574809</v>
      </c>
      <c r="H15" s="20">
        <f t="shared" si="3"/>
        <v>6341.0487043767789</v>
      </c>
      <c r="I15" s="20">
        <f t="shared" si="3"/>
        <v>6892.505954515902</v>
      </c>
      <c r="J15" s="20">
        <f t="shared" si="3"/>
        <v>10698.126470604242</v>
      </c>
      <c r="K15" s="20">
        <f t="shared" si="3"/>
        <v>8538.0351724750071</v>
      </c>
      <c r="L15" s="20">
        <f t="shared" si="3"/>
        <v>4134.4590804825275</v>
      </c>
      <c r="M15" s="20">
        <f t="shared" si="3"/>
        <v>8137.3264018291229</v>
      </c>
      <c r="N15" s="20">
        <f t="shared" si="3"/>
        <v>6250.4446497524623</v>
      </c>
      <c r="O15" s="20">
        <f t="shared" si="3"/>
        <v>9934.9959747465618</v>
      </c>
      <c r="P15" s="20">
        <f t="shared" si="3"/>
        <v>8328.0729147566308</v>
      </c>
      <c r="Q15" s="20">
        <f t="shared" si="3"/>
        <v>7143.0147931418178</v>
      </c>
      <c r="R15" s="20">
        <f t="shared" si="3"/>
        <v>10329.453537579844</v>
      </c>
      <c r="S15" s="20">
        <f t="shared" si="3"/>
        <v>7861.9101547770115</v>
      </c>
      <c r="T15" s="20">
        <f t="shared" si="3"/>
        <v>7966.4323233428004</v>
      </c>
      <c r="U15" s="20">
        <f t="shared" si="3"/>
        <v>7066.9132183279726</v>
      </c>
      <c r="V15" s="20">
        <f t="shared" si="3"/>
        <v>8782.1092830967973</v>
      </c>
      <c r="W15" s="20">
        <f t="shared" si="3"/>
        <v>7989.7543750143668</v>
      </c>
      <c r="X15" s="20">
        <f t="shared" si="3"/>
        <v>8600.0169411849784</v>
      </c>
      <c r="Y15" s="20">
        <f t="shared" si="3"/>
        <v>10368.809111900729</v>
      </c>
      <c r="Z15" s="20">
        <f t="shared" si="3"/>
        <v>9235.3457818746538</v>
      </c>
      <c r="AA15" s="20">
        <f t="shared" si="3"/>
        <v>10224.5805588656</v>
      </c>
      <c r="AB15" s="20">
        <f t="shared" si="3"/>
        <v>10602.834193766343</v>
      </c>
      <c r="AC15" s="20">
        <f t="shared" si="3"/>
        <v>12585.475424996046</v>
      </c>
      <c r="AD15" s="20">
        <f t="shared" si="3"/>
        <v>12997.638088812811</v>
      </c>
      <c r="AE15" s="20">
        <f t="shared" si="3"/>
        <v>11946.160492339142</v>
      </c>
      <c r="AF15" s="20">
        <f t="shared" si="3"/>
        <v>12745.895604784208</v>
      </c>
      <c r="AG15" s="20">
        <f t="shared" si="3"/>
        <v>12598.170349380089</v>
      </c>
      <c r="AH15" s="20">
        <f t="shared" si="3"/>
        <v>13205.473710732484</v>
      </c>
      <c r="AI15" s="20">
        <f t="shared" si="3"/>
        <v>12847.600254929675</v>
      </c>
      <c r="AJ15" s="20">
        <f t="shared" si="3"/>
        <v>12853.626916890425</v>
      </c>
      <c r="AK15" s="20">
        <f t="shared" si="3"/>
        <v>10473.794558625188</v>
      </c>
      <c r="AL15" s="20">
        <f t="shared" si="3"/>
        <v>10886.046960863056</v>
      </c>
      <c r="AM15" s="20">
        <f t="shared" si="3"/>
        <v>11161.634750709109</v>
      </c>
      <c r="AN15" s="20">
        <f t="shared" si="3"/>
        <v>10733.613614186415</v>
      </c>
      <c r="AO15" s="20">
        <f t="shared" si="3"/>
        <v>10049.176861825788</v>
      </c>
      <c r="AP15" s="20">
        <f t="shared" si="3"/>
        <v>2106.30385073051</v>
      </c>
      <c r="AQ15" s="20">
        <f t="shared" si="3"/>
        <v>-2293.1322482783362</v>
      </c>
      <c r="AR15" s="20">
        <f t="shared" si="3"/>
        <v>2542.8797417659548</v>
      </c>
      <c r="AS15" s="20">
        <f t="shared" si="3"/>
        <v>2488.6811840585524</v>
      </c>
      <c r="AT15" s="20">
        <f t="shared" si="3"/>
        <v>2471.8446417073928</v>
      </c>
      <c r="AU15" s="20">
        <f t="shared" si="3"/>
        <v>2467.5010608201965</v>
      </c>
      <c r="AV15" s="20">
        <f t="shared" si="3"/>
        <v>2455.4199084804704</v>
      </c>
      <c r="AW15" s="20">
        <f t="shared" si="3"/>
        <v>2396.7947603627731</v>
      </c>
      <c r="AX15" s="20">
        <f t="shared" si="3"/>
        <v>2229.061049427055</v>
      </c>
      <c r="AY15" s="20">
        <f t="shared" si="3"/>
        <v>2046.199709934589</v>
      </c>
      <c r="AZ15" s="20">
        <f t="shared" si="3"/>
        <v>840.87701119452061</v>
      </c>
      <c r="BA15" s="20">
        <f t="shared" si="3"/>
        <v>139.21087424657537</v>
      </c>
      <c r="BB15" s="20">
        <f t="shared" si="3"/>
        <v>109.27955205479451</v>
      </c>
      <c r="BC15" s="20">
        <f t="shared" si="3"/>
        <v>82.733000000000004</v>
      </c>
      <c r="BE15" s="20" t="str">
        <f>B15</f>
        <v>OL_grossprofit</v>
      </c>
      <c r="BF15" s="21">
        <f>SUM(BF10:BF11)</f>
        <v>215035.23304896627</v>
      </c>
      <c r="BG15" s="21">
        <f t="shared" ref="BG15:BK16" ca="1" si="4">SUMIF($E$4:$BC$4,BG$4,$E15:$BC15)</f>
        <v>0</v>
      </c>
      <c r="BH15" s="20">
        <f t="shared" ca="1" si="4"/>
        <v>0</v>
      </c>
      <c r="BI15" s="22">
        <f t="shared" ca="1" si="4"/>
        <v>0</v>
      </c>
      <c r="BJ15" s="22">
        <f t="shared" ca="1" si="4"/>
        <v>0</v>
      </c>
      <c r="BK15" s="22">
        <f t="shared" ca="1" si="4"/>
        <v>0</v>
      </c>
      <c r="BM15" s="20">
        <f ca="1">SUM(BG15:BK15)-SUM(E15:BC15)</f>
        <v>-362737.43430059898</v>
      </c>
    </row>
    <row r="16" spans="1:65" s="15" customFormat="1" ht="15" thickBot="1" x14ac:dyDescent="0.35">
      <c r="A16" s="20"/>
      <c r="B16" s="20" t="s">
        <v>1466</v>
      </c>
      <c r="C16" s="20"/>
      <c r="D16" s="20"/>
      <c r="E16" s="20">
        <v>-2087.8456194396481</v>
      </c>
      <c r="F16" s="20">
        <v>1801.3326370928223</v>
      </c>
      <c r="G16" s="20">
        <v>-27058.315716958226</v>
      </c>
      <c r="H16" s="20">
        <v>-19400.056901804328</v>
      </c>
      <c r="I16" s="20">
        <v>-6325.6932530225668</v>
      </c>
      <c r="J16" s="20">
        <v>-2539.2872377107778</v>
      </c>
      <c r="K16" s="20">
        <v>-5028.9825597335293</v>
      </c>
      <c r="L16" s="20">
        <v>-9445.830932830404</v>
      </c>
      <c r="M16" s="20">
        <v>-5954.2070024242821</v>
      </c>
      <c r="N16" s="20">
        <v>-7168.4055378492221</v>
      </c>
      <c r="O16" s="20">
        <v>-3649.8624631576436</v>
      </c>
      <c r="P16" s="20">
        <v>-4824.9544850150878</v>
      </c>
      <c r="Q16" s="20">
        <v>-6477.0920634842969</v>
      </c>
      <c r="R16" s="20">
        <v>-3288.44127219556</v>
      </c>
      <c r="S16" s="20">
        <v>-5803.1057648344458</v>
      </c>
      <c r="T16" s="20">
        <v>-663.19703008918839</v>
      </c>
      <c r="U16" s="20">
        <v>-1562.7161351040193</v>
      </c>
      <c r="V16" s="20">
        <v>152.4799296648018</v>
      </c>
      <c r="W16" s="20">
        <v>-282.20826634462827</v>
      </c>
      <c r="X16" s="20">
        <v>328.05429982597474</v>
      </c>
      <c r="Y16" s="20">
        <v>2096.8464705417391</v>
      </c>
      <c r="Z16" s="20">
        <v>963.38314051565624</v>
      </c>
      <c r="AA16" s="20">
        <v>1952.6179175066138</v>
      </c>
      <c r="AB16" s="20">
        <v>2330.871552407355</v>
      </c>
      <c r="AC16" s="20">
        <v>4313.5127836370548</v>
      </c>
      <c r="AD16" s="20">
        <v>4725.6754474538202</v>
      </c>
      <c r="AE16" s="20">
        <v>3674.1978509801488</v>
      </c>
      <c r="AF16" s="20">
        <v>4473.9329634252199</v>
      </c>
      <c r="AG16" s="20">
        <v>4326.2077080210975</v>
      </c>
      <c r="AH16" s="20">
        <v>4933.5110693734896</v>
      </c>
      <c r="AI16" s="20">
        <v>4575.6376135706832</v>
      </c>
      <c r="AJ16" s="20">
        <v>4581.6642755314342</v>
      </c>
      <c r="AK16" s="20">
        <v>2201.8319172661986</v>
      </c>
      <c r="AL16" s="20">
        <v>2614.0843195040607</v>
      </c>
      <c r="AM16" s="20">
        <v>2889.672109350116</v>
      </c>
      <c r="AN16" s="20">
        <v>2461.6509728274204</v>
      </c>
      <c r="AO16" s="20">
        <v>1777.2142204667934</v>
      </c>
      <c r="AP16" s="20">
        <v>-6165.6587906284822</v>
      </c>
      <c r="AQ16" s="20">
        <v>-10565.094889637328</v>
      </c>
      <c r="AR16" s="20">
        <v>2542.8797417659543</v>
      </c>
      <c r="AS16" s="20">
        <v>2488.6811840585524</v>
      </c>
      <c r="AT16" s="20">
        <v>2471.8446417073928</v>
      </c>
      <c r="AU16" s="20">
        <v>2467.5010608201965</v>
      </c>
      <c r="AV16" s="20">
        <v>2455.41990848047</v>
      </c>
      <c r="AW16" s="20">
        <v>2396.7947603627731</v>
      </c>
      <c r="AX16" s="20">
        <v>2229.061049427055</v>
      </c>
      <c r="AY16" s="20">
        <v>2046.199709934589</v>
      </c>
      <c r="AZ16" s="20">
        <v>840.87701119452049</v>
      </c>
      <c r="BA16" s="20">
        <v>139.21087424657534</v>
      </c>
      <c r="BB16" s="20">
        <v>109.27955205479452</v>
      </c>
      <c r="BC16" s="20">
        <v>82.733000000000004</v>
      </c>
      <c r="BE16" s="23" t="str">
        <f>B16</f>
        <v>OL_operincome</v>
      </c>
      <c r="BF16" s="24">
        <v>111138.59520746628</v>
      </c>
      <c r="BG16" s="25">
        <f t="shared" ca="1" si="4"/>
        <v>0</v>
      </c>
      <c r="BH16" s="26">
        <f ca="1">SUMIF($E$4:$BC$4,BH$4,$E16:$BC16)</f>
        <v>0</v>
      </c>
      <c r="BI16" s="27">
        <f t="shared" ca="1" si="4"/>
        <v>0</v>
      </c>
      <c r="BJ16" s="27">
        <f t="shared" ca="1" si="4"/>
        <v>0</v>
      </c>
      <c r="BK16" s="27">
        <f t="shared" ca="1" si="4"/>
        <v>0</v>
      </c>
      <c r="BM16" s="20"/>
    </row>
    <row r="17" spans="1:65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G17" s="16"/>
      <c r="BH17" s="8"/>
      <c r="BI17" s="17"/>
      <c r="BJ17" s="17"/>
      <c r="BK17" s="17"/>
      <c r="BM17" s="8"/>
    </row>
    <row r="18" spans="1:65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G18" s="16"/>
      <c r="BH18" s="8"/>
      <c r="BI18" s="17"/>
      <c r="BJ18" s="17"/>
      <c r="BK18" s="17"/>
      <c r="BM18" s="8"/>
    </row>
    <row r="19" spans="1:65" x14ac:dyDescent="0.3">
      <c r="A19" s="8"/>
      <c r="B19" s="8" t="s">
        <v>1467</v>
      </c>
      <c r="C19" s="8"/>
      <c r="D19" s="8"/>
      <c r="E19" s="8">
        <v>27908.624070000064</v>
      </c>
      <c r="F19" s="8">
        <v>24323.024130000009</v>
      </c>
      <c r="G19" s="8">
        <v>25785.958340000154</v>
      </c>
      <c r="H19" s="8">
        <v>23955.410760000053</v>
      </c>
      <c r="I19" s="8">
        <v>23518.561460000081</v>
      </c>
      <c r="J19" s="8">
        <v>21350.795250000032</v>
      </c>
      <c r="K19" s="8">
        <v>20540.538519999951</v>
      </c>
      <c r="L19" s="8">
        <v>19047.664540000009</v>
      </c>
      <c r="M19" s="8">
        <v>17022.966319999963</v>
      </c>
      <c r="N19" s="8">
        <v>16100.627029999958</v>
      </c>
      <c r="O19" s="8">
        <v>14383.451959999993</v>
      </c>
      <c r="P19" s="8">
        <v>13916.254059999974</v>
      </c>
      <c r="Q19" s="8">
        <v>12981.762440000017</v>
      </c>
      <c r="R19" s="8">
        <v>11371.820340000009</v>
      </c>
      <c r="S19" s="8">
        <v>11322.520619999999</v>
      </c>
      <c r="T19" s="8">
        <v>10227.290240000026</v>
      </c>
      <c r="U19" s="8">
        <v>9664.2867699999788</v>
      </c>
      <c r="V19" s="8">
        <v>7582.8149500000154</v>
      </c>
      <c r="W19" s="8">
        <v>6602.4808400000111</v>
      </c>
      <c r="X19" s="8">
        <v>5576.1836100000028</v>
      </c>
      <c r="Y19" s="8">
        <v>4428.8530399999836</v>
      </c>
      <c r="Z19" s="8">
        <v>3627.1806300000085</v>
      </c>
      <c r="AA19" s="8">
        <v>2809.8322499999986</v>
      </c>
      <c r="AB19" s="8">
        <v>2514.4914600000056</v>
      </c>
      <c r="AC19" s="8">
        <v>2214.6395999999991</v>
      </c>
      <c r="AD19" s="8">
        <v>1785.4798999999998</v>
      </c>
      <c r="AE19" s="8">
        <v>1733.497840000003</v>
      </c>
      <c r="AF19" s="8">
        <v>1434.7578499999997</v>
      </c>
      <c r="AG19" s="8">
        <v>1325.0507699999987</v>
      </c>
      <c r="AH19" s="8">
        <v>1119.0976399999972</v>
      </c>
      <c r="AI19" s="8">
        <v>986.80692000000249</v>
      </c>
      <c r="AJ19" s="8">
        <v>846.9040100000002</v>
      </c>
      <c r="AK19" s="8">
        <v>686.26596999999958</v>
      </c>
      <c r="AL19" s="8">
        <v>591.66534999999908</v>
      </c>
      <c r="AM19" s="8">
        <v>483.51759000000004</v>
      </c>
      <c r="AN19" s="8">
        <v>431.47758000000027</v>
      </c>
      <c r="AO19" s="8">
        <v>381.02651000000026</v>
      </c>
      <c r="AP19" s="8">
        <v>303.74097000000023</v>
      </c>
      <c r="AQ19" s="8">
        <v>290.86222000000004</v>
      </c>
      <c r="AR19" s="8">
        <v>244.49319999999994</v>
      </c>
      <c r="AS19" s="8">
        <v>219.07575</v>
      </c>
      <c r="AT19" s="8">
        <v>181.70901000000001</v>
      </c>
      <c r="AU19" s="8">
        <v>155.50028</v>
      </c>
      <c r="AV19" s="8">
        <v>126.44079999999998</v>
      </c>
      <c r="AW19" s="8">
        <v>95.598420000000019</v>
      </c>
      <c r="AX19" s="8">
        <v>71.408919999999995</v>
      </c>
      <c r="AY19" s="8">
        <v>44.564219999999999</v>
      </c>
      <c r="AZ19" s="8">
        <v>23.96058</v>
      </c>
      <c r="BA19" s="8">
        <v>6.4124800000000004</v>
      </c>
      <c r="BB19" s="8">
        <v>1.4621600000000001</v>
      </c>
      <c r="BC19" s="8">
        <v>0.36862</v>
      </c>
      <c r="BE19" s="8" t="str">
        <f>B19</f>
        <v>FL_revenue</v>
      </c>
      <c r="BF19" s="16">
        <v>295872.86573999998</v>
      </c>
      <c r="BG19" s="16">
        <f t="shared" ref="BG19:BK21" ca="1" si="5">SUMIF($E$4:$BC$4,BG$4,$E19:$BC19)</f>
        <v>0</v>
      </c>
      <c r="BH19" s="8">
        <f t="shared" ca="1" si="5"/>
        <v>0</v>
      </c>
      <c r="BI19" s="17">
        <f t="shared" ca="1" si="5"/>
        <v>0</v>
      </c>
      <c r="BJ19" s="17">
        <f t="shared" ca="1" si="5"/>
        <v>0</v>
      </c>
      <c r="BK19" s="17">
        <f t="shared" ca="1" si="5"/>
        <v>0</v>
      </c>
      <c r="BM19" s="8">
        <f ca="1">SUM(BG19:BK19)-SUM(E19:BC19)</f>
        <v>-352349.17879000033</v>
      </c>
    </row>
    <row r="20" spans="1:65" x14ac:dyDescent="0.3">
      <c r="A20" s="8"/>
      <c r="B20" s="8" t="s">
        <v>1468</v>
      </c>
      <c r="C20" s="8"/>
      <c r="D20" s="8"/>
      <c r="E20" s="8">
        <v>-14580.551080392363</v>
      </c>
      <c r="F20" s="8">
        <v>-12612.22887390197</v>
      </c>
      <c r="G20" s="8">
        <v>-13126.786602299984</v>
      </c>
      <c r="H20" s="8">
        <v>-12135.811699349872</v>
      </c>
      <c r="I20" s="8">
        <v>-11845.259812479648</v>
      </c>
      <c r="J20" s="8">
        <v>-10691.62125329943</v>
      </c>
      <c r="K20" s="8">
        <v>-10140.45198411753</v>
      </c>
      <c r="L20" s="8">
        <v>-9397.9838623053402</v>
      </c>
      <c r="M20" s="8">
        <v>-8417.0944245038609</v>
      </c>
      <c r="N20" s="8">
        <v>-7898.1601373424746</v>
      </c>
      <c r="O20" s="8">
        <v>-7130.4032031487604</v>
      </c>
      <c r="P20" s="8">
        <v>-6831.6938583314995</v>
      </c>
      <c r="Q20" s="8">
        <v>-6489.3080294343335</v>
      </c>
      <c r="R20" s="8">
        <v>-5807.6953500495383</v>
      </c>
      <c r="S20" s="8">
        <v>-5630.8010010579646</v>
      </c>
      <c r="T20" s="8">
        <v>-4396.2362918509798</v>
      </c>
      <c r="U20" s="8">
        <v>-4042.6575566911156</v>
      </c>
      <c r="V20" s="8">
        <v>-3183.5422499549986</v>
      </c>
      <c r="W20" s="8">
        <v>-2607.6073266375538</v>
      </c>
      <c r="X20" s="8">
        <v>-2176.3953571812535</v>
      </c>
      <c r="Y20" s="8">
        <v>-1948.1806355535366</v>
      </c>
      <c r="Z20" s="8">
        <v>-1818.0969113749059</v>
      </c>
      <c r="AA20" s="8">
        <v>-1682.0283635943583</v>
      </c>
      <c r="AB20" s="8">
        <v>-1596.7413769784678</v>
      </c>
      <c r="AC20" s="8">
        <v>-1517.6362465987875</v>
      </c>
      <c r="AD20" s="8">
        <v>-1472.5342207180111</v>
      </c>
      <c r="AE20" s="8">
        <v>-1465.7797490774174</v>
      </c>
      <c r="AF20" s="8">
        <v>-1450.4255681673719</v>
      </c>
      <c r="AG20" s="8">
        <v>-1438.9375587778741</v>
      </c>
      <c r="AH20" s="8">
        <v>-1424.7458558979654</v>
      </c>
      <c r="AI20" s="8">
        <v>-1412.8703538317554</v>
      </c>
      <c r="AJ20" s="8">
        <v>-1398.868019666915</v>
      </c>
      <c r="AK20" s="8">
        <v>-1382.749545692486</v>
      </c>
      <c r="AL20" s="8">
        <v>-1380.5589531251344</v>
      </c>
      <c r="AM20" s="8">
        <v>-1380.5589531251344</v>
      </c>
      <c r="AN20" s="8">
        <v>-1380.5589531251344</v>
      </c>
      <c r="AO20" s="8">
        <v>-1380.5589531251344</v>
      </c>
      <c r="AP20" s="8">
        <v>-1380.5589531251344</v>
      </c>
      <c r="AQ20" s="8">
        <v>-1380.5589531251344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E20" s="8" t="str">
        <f>B20</f>
        <v>FL_costs</v>
      </c>
      <c r="BF20" s="16">
        <v>-155411.61944000001</v>
      </c>
      <c r="BG20" s="16">
        <f t="shared" ca="1" si="5"/>
        <v>0</v>
      </c>
      <c r="BH20" s="8">
        <f t="shared" ca="1" si="5"/>
        <v>0</v>
      </c>
      <c r="BI20" s="17">
        <f t="shared" ca="1" si="5"/>
        <v>0</v>
      </c>
      <c r="BJ20" s="17">
        <f t="shared" ca="1" si="5"/>
        <v>0</v>
      </c>
      <c r="BK20" s="17">
        <f t="shared" ca="1" si="5"/>
        <v>0</v>
      </c>
      <c r="BM20" s="8">
        <f ca="1">SUM(BG20:BK20)-SUM(E20:BC20)</f>
        <v>187435.23807901118</v>
      </c>
    </row>
    <row r="21" spans="1:65" x14ac:dyDescent="0.3">
      <c r="A21" s="8"/>
      <c r="B21" s="8" t="s">
        <v>1469</v>
      </c>
      <c r="C21" s="8"/>
      <c r="D21" s="8"/>
      <c r="E21" s="8">
        <v>233.62373388004025</v>
      </c>
      <c r="F21" s="8">
        <v>240.6834303899717</v>
      </c>
      <c r="G21" s="8">
        <v>234.3326899800247</v>
      </c>
      <c r="H21" s="8">
        <v>237.55767944997456</v>
      </c>
      <c r="I21" s="8">
        <v>305.06640936000088</v>
      </c>
      <c r="J21" s="8">
        <v>307.16659266000102</v>
      </c>
      <c r="K21" s="8">
        <v>308.47134464999709</v>
      </c>
      <c r="L21" s="8">
        <v>307.00802216998301</v>
      </c>
      <c r="M21" s="8">
        <v>304.8387963600112</v>
      </c>
      <c r="N21" s="8">
        <v>296.51507564999582</v>
      </c>
      <c r="O21" s="8">
        <v>216.74624915999431</v>
      </c>
      <c r="P21" s="8">
        <v>220.93632369000071</v>
      </c>
      <c r="Q21" s="8">
        <v>208.24591143001243</v>
      </c>
      <c r="R21" s="8">
        <v>194.96010986999261</v>
      </c>
      <c r="S21" s="8">
        <v>185.60899859999157</v>
      </c>
      <c r="T21" s="8">
        <v>184.03247676001109</v>
      </c>
      <c r="U21" s="8">
        <v>241.51002249000558</v>
      </c>
      <c r="V21" s="8">
        <v>414.57654428998882</v>
      </c>
      <c r="W21" s="8">
        <v>220.67478171000607</v>
      </c>
      <c r="X21" s="8">
        <v>204.30306824999985</v>
      </c>
      <c r="Y21" s="8">
        <v>204.13139718000031</v>
      </c>
      <c r="Z21" s="8">
        <v>180.94628060999719</v>
      </c>
      <c r="AA21" s="8">
        <v>95.203944180000462</v>
      </c>
      <c r="AB21" s="8">
        <v>76.206036239997687</v>
      </c>
      <c r="AC21" s="8">
        <v>57.826802820000886</v>
      </c>
      <c r="AD21" s="8">
        <v>60.612241110001079</v>
      </c>
      <c r="AE21" s="8">
        <v>60.281130359999182</v>
      </c>
      <c r="AF21" s="8">
        <v>35.013256739999605</v>
      </c>
      <c r="AG21" s="8">
        <v>39.179088810000614</v>
      </c>
      <c r="AH21" s="8">
        <v>38.984566439999774</v>
      </c>
      <c r="AI21" s="8">
        <v>31.39792682999985</v>
      </c>
      <c r="AJ21" s="8">
        <v>31.818862170000955</v>
      </c>
      <c r="AK21" s="8">
        <v>31.932718019999413</v>
      </c>
      <c r="AL21" s="8">
        <v>24.075004979999765</v>
      </c>
      <c r="AM21" s="8">
        <v>16.251336390000134</v>
      </c>
      <c r="AN21" s="8">
        <v>11.174711189999973</v>
      </c>
      <c r="AO21" s="8">
        <v>10.305952740000031</v>
      </c>
      <c r="AP21" s="8">
        <v>10.009019669999955</v>
      </c>
      <c r="AQ21" s="8">
        <v>8.6663908499999778</v>
      </c>
      <c r="AR21" s="8">
        <v>8.6611413000000326</v>
      </c>
      <c r="AS21" s="8">
        <v>6.9270533999999824</v>
      </c>
      <c r="AT21" s="8">
        <v>6.8903157000000208</v>
      </c>
      <c r="AU21" s="8">
        <v>6.8494081200000041</v>
      </c>
      <c r="AV21" s="8">
        <v>6.0375049199999795</v>
      </c>
      <c r="AW21" s="8">
        <v>5.8277278500000014</v>
      </c>
      <c r="AX21" s="8">
        <v>5.637024359999999</v>
      </c>
      <c r="AY21" s="8">
        <v>5.0182293000000042</v>
      </c>
      <c r="AZ21" s="8">
        <v>4.6708658099999987</v>
      </c>
      <c r="BA21" s="8">
        <v>1.9358541300000001</v>
      </c>
      <c r="BB21" s="8">
        <v>0.53921609999999998</v>
      </c>
      <c r="BC21" s="8">
        <v>0.13073087999999999</v>
      </c>
      <c r="BE21" t="s">
        <v>1470</v>
      </c>
      <c r="BG21" s="16">
        <f t="shared" ca="1" si="5"/>
        <v>0</v>
      </c>
      <c r="BH21" s="8">
        <f t="shared" ca="1" si="5"/>
        <v>0</v>
      </c>
      <c r="BI21" s="17">
        <f t="shared" ca="1" si="5"/>
        <v>0</v>
      </c>
      <c r="BJ21" s="17">
        <f t="shared" ca="1" si="5"/>
        <v>0</v>
      </c>
      <c r="BK21" s="17">
        <f t="shared" ca="1" si="5"/>
        <v>0</v>
      </c>
      <c r="BM21" s="8"/>
    </row>
    <row r="22" spans="1:65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M22" s="8"/>
    </row>
    <row r="23" spans="1:65" s="15" customFormat="1" x14ac:dyDescent="0.3">
      <c r="A23" s="20"/>
      <c r="B23" s="20" t="s">
        <v>1471</v>
      </c>
      <c r="C23" s="20"/>
      <c r="D23" s="20"/>
      <c r="E23" s="20">
        <f>SUM(E19:E20)</f>
        <v>13328.072989607701</v>
      </c>
      <c r="F23" s="20">
        <f t="shared" ref="F23:BC23" si="6">SUM(F19:F20)</f>
        <v>11710.795256098039</v>
      </c>
      <c r="G23" s="20">
        <f t="shared" si="6"/>
        <v>12659.17173770017</v>
      </c>
      <c r="H23" s="20">
        <f t="shared" si="6"/>
        <v>11819.599060650182</v>
      </c>
      <c r="I23" s="20">
        <f t="shared" si="6"/>
        <v>11673.301647520433</v>
      </c>
      <c r="J23" s="20">
        <f t="shared" si="6"/>
        <v>10659.173996700601</v>
      </c>
      <c r="K23" s="20">
        <f t="shared" si="6"/>
        <v>10400.086535882421</v>
      </c>
      <c r="L23" s="20">
        <f t="shared" si="6"/>
        <v>9649.6806776946687</v>
      </c>
      <c r="M23" s="20">
        <f t="shared" si="6"/>
        <v>8605.8718954961023</v>
      </c>
      <c r="N23" s="20">
        <f t="shared" si="6"/>
        <v>8202.4668926574832</v>
      </c>
      <c r="O23" s="20">
        <f t="shared" si="6"/>
        <v>7253.0487568512326</v>
      </c>
      <c r="P23" s="20">
        <f t="shared" si="6"/>
        <v>7084.5602016684743</v>
      </c>
      <c r="Q23" s="20">
        <f t="shared" si="6"/>
        <v>6492.4544105656832</v>
      </c>
      <c r="R23" s="20">
        <f t="shared" si="6"/>
        <v>5564.124989950471</v>
      </c>
      <c r="S23" s="20">
        <f t="shared" si="6"/>
        <v>5691.7196189420347</v>
      </c>
      <c r="T23" s="20">
        <f t="shared" si="6"/>
        <v>5831.0539481490459</v>
      </c>
      <c r="U23" s="20">
        <f t="shared" si="6"/>
        <v>5621.6292133088627</v>
      </c>
      <c r="V23" s="20">
        <f t="shared" si="6"/>
        <v>4399.2727000450168</v>
      </c>
      <c r="W23" s="20">
        <f t="shared" si="6"/>
        <v>3994.8735133624573</v>
      </c>
      <c r="X23" s="20">
        <f t="shared" si="6"/>
        <v>3399.7882528187492</v>
      </c>
      <c r="Y23" s="20">
        <f t="shared" si="6"/>
        <v>2480.6724044464472</v>
      </c>
      <c r="Z23" s="20">
        <f t="shared" si="6"/>
        <v>1809.0837186251026</v>
      </c>
      <c r="AA23" s="20">
        <f t="shared" si="6"/>
        <v>1127.8038864056402</v>
      </c>
      <c r="AB23" s="20">
        <f t="shared" si="6"/>
        <v>917.75008302153788</v>
      </c>
      <c r="AC23" s="20">
        <f t="shared" si="6"/>
        <v>697.0033534012116</v>
      </c>
      <c r="AD23" s="20">
        <f t="shared" si="6"/>
        <v>312.94567928198876</v>
      </c>
      <c r="AE23" s="20">
        <f t="shared" si="6"/>
        <v>267.71809092258559</v>
      </c>
      <c r="AF23" s="20">
        <f t="shared" si="6"/>
        <v>-15.667718167372186</v>
      </c>
      <c r="AG23" s="20">
        <f t="shared" si="6"/>
        <v>-113.88678877787538</v>
      </c>
      <c r="AH23" s="20">
        <f t="shared" si="6"/>
        <v>-305.64821589796816</v>
      </c>
      <c r="AI23" s="20">
        <f t="shared" si="6"/>
        <v>-426.06343383175295</v>
      </c>
      <c r="AJ23" s="20">
        <f t="shared" si="6"/>
        <v>-551.96400966691476</v>
      </c>
      <c r="AK23" s="20">
        <f t="shared" si="6"/>
        <v>-696.4835756924864</v>
      </c>
      <c r="AL23" s="20">
        <f t="shared" si="6"/>
        <v>-788.89360312513531</v>
      </c>
      <c r="AM23" s="20">
        <f t="shared" si="6"/>
        <v>-897.04136312513435</v>
      </c>
      <c r="AN23" s="20">
        <f t="shared" si="6"/>
        <v>-949.08137312513418</v>
      </c>
      <c r="AO23" s="20">
        <f t="shared" si="6"/>
        <v>-999.53244312513414</v>
      </c>
      <c r="AP23" s="20">
        <f t="shared" si="6"/>
        <v>-1076.8179831251341</v>
      </c>
      <c r="AQ23" s="20">
        <f t="shared" si="6"/>
        <v>-1089.6967331251344</v>
      </c>
      <c r="AR23" s="20">
        <f t="shared" si="6"/>
        <v>244.49319999999994</v>
      </c>
      <c r="AS23" s="20">
        <f t="shared" si="6"/>
        <v>219.07575</v>
      </c>
      <c r="AT23" s="20">
        <f t="shared" si="6"/>
        <v>181.70901000000001</v>
      </c>
      <c r="AU23" s="20">
        <f t="shared" si="6"/>
        <v>155.50028</v>
      </c>
      <c r="AV23" s="20">
        <f t="shared" si="6"/>
        <v>126.44079999999998</v>
      </c>
      <c r="AW23" s="20">
        <f t="shared" si="6"/>
        <v>95.598420000000019</v>
      </c>
      <c r="AX23" s="20">
        <f t="shared" si="6"/>
        <v>71.408919999999995</v>
      </c>
      <c r="AY23" s="20">
        <f t="shared" si="6"/>
        <v>44.564219999999999</v>
      </c>
      <c r="AZ23" s="20">
        <f t="shared" si="6"/>
        <v>23.96058</v>
      </c>
      <c r="BA23" s="20">
        <f t="shared" si="6"/>
        <v>6.4124800000000004</v>
      </c>
      <c r="BB23" s="20">
        <f t="shared" si="6"/>
        <v>1.4621600000000001</v>
      </c>
      <c r="BC23" s="20">
        <f t="shared" si="6"/>
        <v>0.36862</v>
      </c>
      <c r="BE23" s="20" t="str">
        <f>B23</f>
        <v>FL_grossprofit</v>
      </c>
      <c r="BF23" s="21">
        <f>SUM(BF19:BF22)</f>
        <v>140461.24629999997</v>
      </c>
      <c r="BG23" s="21">
        <f t="shared" ref="BG23:BK24" ca="1" si="7">SUMIF($E$4:$BC$4,BG$4,$E23:$BC23)</f>
        <v>0</v>
      </c>
      <c r="BH23" s="20">
        <f t="shared" ca="1" si="7"/>
        <v>0</v>
      </c>
      <c r="BI23" s="22">
        <f t="shared" ca="1" si="7"/>
        <v>0</v>
      </c>
      <c r="BJ23" s="22">
        <f t="shared" ca="1" si="7"/>
        <v>0</v>
      </c>
      <c r="BK23" s="22">
        <f t="shared" ca="1" si="7"/>
        <v>0</v>
      </c>
      <c r="BM23" s="20">
        <f ca="1">SUM(BG23:BK23)-SUM(E23:BC23)</f>
        <v>-164913.94071098915</v>
      </c>
    </row>
    <row r="24" spans="1:65" s="15" customFormat="1" x14ac:dyDescent="0.3">
      <c r="A24" s="20"/>
      <c r="B24" s="20" t="s">
        <v>1472</v>
      </c>
      <c r="C24" s="20"/>
      <c r="D24" s="20"/>
      <c r="E24" s="20">
        <v>5896.7147820679884</v>
      </c>
      <c r="F24" s="20">
        <v>5089.7755123788475</v>
      </c>
      <c r="G24" s="20">
        <v>5874.3012535710268</v>
      </c>
      <c r="H24" s="20">
        <v>5047.8298899909896</v>
      </c>
      <c r="I24" s="20">
        <v>4969.0412067712668</v>
      </c>
      <c r="J24" s="20">
        <v>3867.0137392514375</v>
      </c>
      <c r="K24" s="20">
        <v>3509.3791009174633</v>
      </c>
      <c r="L24" s="20">
        <v>2757.5099202496995</v>
      </c>
      <c r="M24" s="20">
        <v>1171.5319122411581</v>
      </c>
      <c r="N24" s="20">
        <v>1183.1365220258592</v>
      </c>
      <c r="O24" s="20">
        <v>18.949559729606218</v>
      </c>
      <c r="P24" s="20">
        <v>-100.34892092314519</v>
      </c>
      <c r="Q24" s="20">
        <v>-615.14512428592673</v>
      </c>
      <c r="R24" s="20">
        <v>-1556.7603464611584</v>
      </c>
      <c r="S24" s="20">
        <v>-1528.4668287395959</v>
      </c>
      <c r="T24" s="20">
        <v>1317.7536566274359</v>
      </c>
      <c r="U24" s="20">
        <v>1165.8064675172473</v>
      </c>
      <c r="V24" s="20">
        <v>116.51647605338304</v>
      </c>
      <c r="W24" s="20">
        <v>-291.93254370337092</v>
      </c>
      <c r="X24" s="20">
        <v>-903.38951770708445</v>
      </c>
      <c r="Y24" s="20">
        <v>-1822.6770371493876</v>
      </c>
      <c r="Z24" s="20">
        <v>-2517.4508395407343</v>
      </c>
      <c r="AA24" s="20">
        <v>-3284.473008190193</v>
      </c>
      <c r="AB24" s="20">
        <v>-3513.5247195142988</v>
      </c>
      <c r="AC24" s="20">
        <v>-3752.6506825546212</v>
      </c>
      <c r="AD24" s="20">
        <v>-4133.9229183838443</v>
      </c>
      <c r="AE24" s="20">
        <v>-4179.4816174932494</v>
      </c>
      <c r="AF24" s="20">
        <v>-4488.1353002032065</v>
      </c>
      <c r="AG24" s="20">
        <v>-4582.1885387437096</v>
      </c>
      <c r="AH24" s="20">
        <v>-4774.1444882338028</v>
      </c>
      <c r="AI24" s="20">
        <v>-4902.1463457775872</v>
      </c>
      <c r="AJ24" s="20">
        <v>-5027.6259862727484</v>
      </c>
      <c r="AK24" s="20">
        <v>-5172.0316964483218</v>
      </c>
      <c r="AL24" s="20">
        <v>-5272.29943692097</v>
      </c>
      <c r="AM24" s="20">
        <v>-5388.2708655109682</v>
      </c>
      <c r="AN24" s="20">
        <v>-5445.3875007109691</v>
      </c>
      <c r="AO24" s="20">
        <v>-5496.7073291609686</v>
      </c>
      <c r="AP24" s="20">
        <v>-5574.2898022309682</v>
      </c>
      <c r="AQ24" s="20">
        <v>-5588.5111810509679</v>
      </c>
      <c r="AR24" s="20">
        <v>136.48767463333328</v>
      </c>
      <c r="AS24" s="20">
        <v>109.3361367333333</v>
      </c>
      <c r="AT24" s="20">
        <v>71.93265903333338</v>
      </c>
      <c r="AU24" s="20">
        <v>45.683021453333332</v>
      </c>
      <c r="AV24" s="20">
        <v>15.811638253333294</v>
      </c>
      <c r="AW24" s="20">
        <v>-15.240518816666663</v>
      </c>
      <c r="AX24" s="20">
        <v>77.045944359999993</v>
      </c>
      <c r="AY24" s="20">
        <v>49.582449300000007</v>
      </c>
      <c r="AZ24" s="20">
        <v>28.631445810000002</v>
      </c>
      <c r="BA24" s="20">
        <v>8.3483341300000014</v>
      </c>
      <c r="BB24" s="20">
        <v>2.0013760999999999</v>
      </c>
      <c r="BC24" s="20">
        <v>0.49935087999999994</v>
      </c>
      <c r="BE24" s="20" t="str">
        <f>B24</f>
        <v>FL_operincome</v>
      </c>
      <c r="BF24" s="21">
        <v>74277.340390135563</v>
      </c>
      <c r="BG24" s="21">
        <f t="shared" ca="1" si="7"/>
        <v>0</v>
      </c>
      <c r="BH24" s="20">
        <f t="shared" ca="1" si="7"/>
        <v>0</v>
      </c>
      <c r="BI24" s="22">
        <f t="shared" ca="1" si="7"/>
        <v>0</v>
      </c>
      <c r="BJ24" s="22">
        <f t="shared" ca="1" si="7"/>
        <v>0</v>
      </c>
      <c r="BK24" s="22">
        <f t="shared" ca="1" si="7"/>
        <v>0</v>
      </c>
      <c r="BM24" s="20">
        <f ca="1">SUM(BG24:BK24)-SUM(E24:BC24)</f>
        <v>47396.583064648381</v>
      </c>
    </row>
    <row r="25" spans="1:65" x14ac:dyDescent="0.3">
      <c r="A25" s="8"/>
      <c r="B25" s="20" t="s">
        <v>1473</v>
      </c>
      <c r="C25" s="8"/>
      <c r="D25" s="8"/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v>0</v>
      </c>
      <c r="AJ25" s="8">
        <v>0</v>
      </c>
      <c r="AK25" s="8">
        <v>0</v>
      </c>
      <c r="AL25" s="8">
        <v>0</v>
      </c>
      <c r="AM25" s="8">
        <v>0</v>
      </c>
      <c r="AN25" s="8">
        <v>0</v>
      </c>
      <c r="AO25" s="8">
        <v>0</v>
      </c>
      <c r="AP25" s="8">
        <v>0</v>
      </c>
      <c r="AQ25" s="8">
        <v>0</v>
      </c>
      <c r="AR25" s="8">
        <v>0</v>
      </c>
      <c r="AS25" s="8">
        <v>0</v>
      </c>
      <c r="AT25" s="8">
        <v>0</v>
      </c>
      <c r="AU25" s="8">
        <v>0</v>
      </c>
      <c r="AV25" s="8">
        <v>0</v>
      </c>
      <c r="AW25" s="8">
        <v>0</v>
      </c>
      <c r="AX25" s="8">
        <v>0</v>
      </c>
      <c r="AY25" s="8">
        <v>0</v>
      </c>
      <c r="AZ25" s="8">
        <v>0</v>
      </c>
      <c r="BA25" s="8">
        <v>0</v>
      </c>
      <c r="BB25" s="8">
        <v>0</v>
      </c>
      <c r="BC25" s="8">
        <v>0</v>
      </c>
      <c r="BE25" s="8" t="str">
        <f>B25</f>
        <v>NIL new</v>
      </c>
      <c r="BF25" s="16"/>
      <c r="BG25" s="16">
        <f ca="1">SUMIF($E$2:$BC$2,_xlfn.MAXIFS($E$2:$BC$2,$E$4:$BC$4,BG4),$E$25:$BC$25)</f>
        <v>0</v>
      </c>
      <c r="BH25" s="8">
        <f ca="1">SUMIF($E$2:$BC$2,_xlfn.MAXIFS($E$2:$BC$2,$E$4:$BC$4,BH4),$E$25:$BC$25)</f>
        <v>0</v>
      </c>
      <c r="BI25" s="17">
        <f ca="1">SUMIF($E$2:$BC$2,_xlfn.MAXIFS($E$2:$BC$2,$E$4:$BC$4,BI4),$E$25:$BC$25)</f>
        <v>0</v>
      </c>
      <c r="BJ25" s="17">
        <f ca="1">SUMIF($E$2:$BC$2,_xlfn.MAXIFS($E$2:$BC$2,$E$4:$BC$4,BJ4),$E$25:$BC$25)</f>
        <v>0</v>
      </c>
      <c r="BK25" s="17">
        <f ca="1">SUMIF($E$2:$BC$2,_xlfn.MAXIFS($E$2:$BC$2,$E$4:$BC$4,BK4),$E$25:$BC$25)</f>
        <v>0</v>
      </c>
    </row>
    <row r="26" spans="1:65" x14ac:dyDescent="0.3">
      <c r="A26" s="8"/>
      <c r="B26" s="20" t="s">
        <v>1474</v>
      </c>
      <c r="C26" s="8"/>
      <c r="D26" s="8"/>
      <c r="E26" s="8">
        <v>1972125.4220399866</v>
      </c>
      <c r="F26" s="8">
        <v>1891897.611909996</v>
      </c>
      <c r="G26" s="8">
        <v>1813786.7152499878</v>
      </c>
      <c r="H26" s="8">
        <v>1734600.8220999963</v>
      </c>
      <c r="I26" s="8">
        <v>1632912.018979996</v>
      </c>
      <c r="J26" s="8">
        <v>1530523.1547599956</v>
      </c>
      <c r="K26" s="8">
        <v>1427699.3732099966</v>
      </c>
      <c r="L26" s="8">
        <v>1325363.3658200023</v>
      </c>
      <c r="M26" s="8">
        <v>1223750.4336999985</v>
      </c>
      <c r="N26" s="8">
        <v>1124912.0751499999</v>
      </c>
      <c r="O26" s="8">
        <v>1052663.3254300018</v>
      </c>
      <c r="P26" s="8">
        <v>979017.8842000016</v>
      </c>
      <c r="Q26" s="8">
        <v>909602.58038999746</v>
      </c>
      <c r="R26" s="8">
        <v>844615.87709999993</v>
      </c>
      <c r="S26" s="8">
        <v>782746.21090000274</v>
      </c>
      <c r="T26" s="8">
        <v>721402.05197999906</v>
      </c>
      <c r="U26" s="8">
        <v>640898.71114999719</v>
      </c>
      <c r="V26" s="8">
        <v>502706.52972000092</v>
      </c>
      <c r="W26" s="8">
        <v>429148.2691499989</v>
      </c>
      <c r="X26" s="8">
        <v>361047.24639999896</v>
      </c>
      <c r="Y26" s="8">
        <v>293003.44733999885</v>
      </c>
      <c r="Z26" s="8">
        <v>232688.02046999978</v>
      </c>
      <c r="AA26" s="8">
        <v>200953.37240999963</v>
      </c>
      <c r="AB26" s="8">
        <v>175551.3603300004</v>
      </c>
      <c r="AC26" s="8">
        <v>156275.75939000011</v>
      </c>
      <c r="AD26" s="8">
        <v>136071.67901999975</v>
      </c>
      <c r="AE26" s="8">
        <v>115977.96890000002</v>
      </c>
      <c r="AF26" s="8">
        <v>104306.88332000015</v>
      </c>
      <c r="AG26" s="8">
        <v>91247.18704999995</v>
      </c>
      <c r="AH26" s="8">
        <v>78252.331570000024</v>
      </c>
      <c r="AI26" s="8">
        <v>67786.355960000074</v>
      </c>
      <c r="AJ26" s="8">
        <v>57180.068569999756</v>
      </c>
      <c r="AK26" s="8">
        <v>46535.829229999952</v>
      </c>
      <c r="AL26" s="8">
        <v>38510.82757000003</v>
      </c>
      <c r="AM26" s="8">
        <v>33093.715439999985</v>
      </c>
      <c r="AN26" s="8">
        <v>29368.811709999994</v>
      </c>
      <c r="AO26" s="8">
        <v>25933.494129999985</v>
      </c>
      <c r="AP26" s="8">
        <v>22597.15424</v>
      </c>
      <c r="AQ26" s="8">
        <v>19708.357290000007</v>
      </c>
      <c r="AR26" s="8">
        <v>16821.310189999997</v>
      </c>
      <c r="AS26" s="8">
        <v>14512.292390000002</v>
      </c>
      <c r="AT26" s="8">
        <v>12215.520489999995</v>
      </c>
      <c r="AU26" s="8">
        <v>9932.3844499999941</v>
      </c>
      <c r="AV26" s="8">
        <v>7919.882810000001</v>
      </c>
      <c r="AW26" s="8">
        <v>5977.3068600000006</v>
      </c>
      <c r="AX26" s="8">
        <v>4098.2987400000011</v>
      </c>
      <c r="AY26" s="8">
        <v>2425.5556399999996</v>
      </c>
      <c r="AZ26" s="8">
        <v>868.60037</v>
      </c>
      <c r="BA26" s="8">
        <v>223.31566000000001</v>
      </c>
      <c r="BB26" s="8">
        <v>43.57696</v>
      </c>
      <c r="BC26" s="8">
        <v>0</v>
      </c>
      <c r="BE26" s="8" t="str">
        <f>B26</f>
        <v>NIL curr</v>
      </c>
      <c r="BF26" s="16">
        <v>2052821</v>
      </c>
      <c r="BG26" s="16">
        <f ca="1">SUMIF($E$2:$BC$2,_xlfn.MAXIFS($E$2:$BC$2,$E$4:$BC$4,BG4),$E$26:$BC$26)</f>
        <v>0</v>
      </c>
      <c r="BH26" s="8">
        <f ca="1">SUMIF($E$2:$BC$2,_xlfn.MAXIFS($E$2:$BC$2,$E$4:$BC$4,BH4),$E$26:$BC$26)</f>
        <v>0</v>
      </c>
      <c r="BI26" s="17">
        <f ca="1">SUMIF($E$2:$BC$2,_xlfn.MAXIFS($E$2:$BC$2,$E$4:$BC$4,BI4),$E$26:$BC$26)</f>
        <v>0</v>
      </c>
      <c r="BJ26" s="17">
        <f ca="1">SUMIF($E$2:$BC$2,_xlfn.MAXIFS($E$2:$BC$2,$E$4:$BC$4,BJ4),$E$26:$BC$26)</f>
        <v>0</v>
      </c>
      <c r="BK26" s="17">
        <f ca="1">SUMIF($E$2:$BC$2,_xlfn.MAXIFS($E$2:$BC$2,$E$4:$BC$4,BK4),$E$26:$BC$26)</f>
        <v>0</v>
      </c>
    </row>
    <row r="27" spans="1:65" ht="15" thickBot="1" x14ac:dyDescent="0.35">
      <c r="A27" s="8"/>
      <c r="B27" s="20" t="s">
        <v>1475</v>
      </c>
      <c r="C27" s="8"/>
      <c r="D27" s="8"/>
      <c r="E27" s="28" t="s">
        <v>1543</v>
      </c>
      <c r="F27" s="28" t="s">
        <v>1543</v>
      </c>
      <c r="G27" s="28" t="s">
        <v>1543</v>
      </c>
      <c r="H27" s="28" t="s">
        <v>1543</v>
      </c>
      <c r="I27" s="28" t="s">
        <v>1543</v>
      </c>
      <c r="J27" s="28" t="s">
        <v>1543</v>
      </c>
      <c r="K27" s="28" t="s">
        <v>1543</v>
      </c>
      <c r="L27" s="28" t="s">
        <v>1543</v>
      </c>
      <c r="M27" s="28" t="s">
        <v>1543</v>
      </c>
      <c r="N27" s="28" t="s">
        <v>1543</v>
      </c>
      <c r="O27" s="28" t="s">
        <v>1543</v>
      </c>
      <c r="P27" s="28" t="s">
        <v>1543</v>
      </c>
      <c r="Q27" s="28" t="s">
        <v>1543</v>
      </c>
      <c r="R27" s="28" t="s">
        <v>1543</v>
      </c>
      <c r="S27" s="28" t="s">
        <v>1543</v>
      </c>
      <c r="T27" s="28" t="s">
        <v>1543</v>
      </c>
      <c r="U27" s="28" t="s">
        <v>1543</v>
      </c>
      <c r="V27" s="28" t="s">
        <v>1543</v>
      </c>
      <c r="W27" s="28" t="s">
        <v>1543</v>
      </c>
      <c r="X27" s="28" t="s">
        <v>1543</v>
      </c>
      <c r="Y27" s="28" t="s">
        <v>1543</v>
      </c>
      <c r="Z27" s="28" t="s">
        <v>1543</v>
      </c>
      <c r="AA27" s="28" t="s">
        <v>1543</v>
      </c>
      <c r="AB27" s="28" t="s">
        <v>1543</v>
      </c>
      <c r="AC27" s="28" t="s">
        <v>1543</v>
      </c>
      <c r="AD27" s="28" t="s">
        <v>1543</v>
      </c>
      <c r="AE27" s="28" t="s">
        <v>1543</v>
      </c>
      <c r="AF27" s="28" t="s">
        <v>1543</v>
      </c>
      <c r="AG27" s="28" t="s">
        <v>1543</v>
      </c>
      <c r="AH27" s="28" t="s">
        <v>1543</v>
      </c>
      <c r="AI27" s="28" t="s">
        <v>1543</v>
      </c>
      <c r="AJ27" s="28" t="s">
        <v>1543</v>
      </c>
      <c r="AK27" s="28" t="s">
        <v>1543</v>
      </c>
      <c r="AL27" s="28" t="s">
        <v>1543</v>
      </c>
      <c r="AM27" s="28" t="s">
        <v>1543</v>
      </c>
      <c r="AN27" s="28" t="s">
        <v>1543</v>
      </c>
      <c r="AO27" s="28" t="s">
        <v>1543</v>
      </c>
      <c r="AP27" s="28" t="s">
        <v>1543</v>
      </c>
      <c r="AQ27" s="28" t="s">
        <v>1543</v>
      </c>
      <c r="AR27" s="28" t="s">
        <v>1543</v>
      </c>
      <c r="AS27" s="28" t="s">
        <v>1543</v>
      </c>
      <c r="AT27" s="28" t="s">
        <v>1543</v>
      </c>
      <c r="AU27" s="28" t="s">
        <v>1543</v>
      </c>
      <c r="AV27" s="28" t="s">
        <v>1543</v>
      </c>
      <c r="AW27" s="28" t="s">
        <v>1543</v>
      </c>
      <c r="AX27" s="28" t="s">
        <v>1543</v>
      </c>
      <c r="AY27" s="28" t="s">
        <v>1543</v>
      </c>
      <c r="AZ27" s="28" t="s">
        <v>1543</v>
      </c>
      <c r="BA27" s="28" t="s">
        <v>1543</v>
      </c>
      <c r="BB27" s="28" t="s">
        <v>1543</v>
      </c>
      <c r="BC27" s="28" t="s">
        <v>1543</v>
      </c>
      <c r="BE27" s="29" t="str">
        <f>B27</f>
        <v>Xirr avr new del</v>
      </c>
      <c r="BF27" s="30"/>
      <c r="BG27" s="31" t="str">
        <f ca="1">IFERROR(AVERAGEIF($D$4:$BC$4,BG4,$E$27:$BC$27),"")</f>
        <v/>
      </c>
      <c r="BH27" s="32" t="str">
        <f ca="1">IFERROR(AVERAGEIF($D$4:$BC$4,BH4,$E$27:$BC$27),"")</f>
        <v/>
      </c>
      <c r="BI27" s="33" t="str">
        <f ca="1">IFERROR(AVERAGEIF($D$4:$BC$4,BI4,$E$27:$BC$27),"")</f>
        <v/>
      </c>
      <c r="BJ27" s="33" t="str">
        <f ca="1">IFERROR(AVERAGEIF($D$4:$BC$4,BJ4,$E$27:$BC$27),"")</f>
        <v/>
      </c>
      <c r="BK27" s="33" t="str">
        <f ca="1">IFERROR(AVERAGEIF($D$4:$BC$4,BK4,$E$27:$BC$27),"")</f>
        <v/>
      </c>
    </row>
    <row r="28" spans="1:65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</row>
    <row r="29" spans="1:65" x14ac:dyDescent="0.3">
      <c r="A29" s="8"/>
      <c r="B29" s="8" t="s">
        <v>1476</v>
      </c>
      <c r="C29" s="8"/>
      <c r="D29" s="8"/>
      <c r="E29" s="8">
        <v>86</v>
      </c>
      <c r="F29" s="8">
        <v>38</v>
      </c>
      <c r="G29" s="8">
        <v>40</v>
      </c>
      <c r="H29" s="8">
        <v>35</v>
      </c>
      <c r="I29" s="8">
        <v>29</v>
      </c>
      <c r="J29" s="8">
        <v>26</v>
      </c>
      <c r="K29" s="8">
        <v>60</v>
      </c>
      <c r="L29" s="8">
        <v>32</v>
      </c>
      <c r="M29" s="8">
        <v>26</v>
      </c>
      <c r="N29" s="8">
        <v>39</v>
      </c>
      <c r="O29" s="8">
        <v>77</v>
      </c>
      <c r="P29" s="8">
        <v>41</v>
      </c>
      <c r="Q29" s="8">
        <v>63</v>
      </c>
      <c r="R29" s="8">
        <v>14</v>
      </c>
      <c r="S29" s="8">
        <v>9</v>
      </c>
      <c r="T29" s="8">
        <v>28</v>
      </c>
      <c r="U29" s="8">
        <v>33</v>
      </c>
      <c r="V29" s="8">
        <v>25</v>
      </c>
      <c r="W29" s="8">
        <v>38</v>
      </c>
      <c r="X29" s="8">
        <v>74</v>
      </c>
      <c r="Y29" s="8">
        <v>44</v>
      </c>
      <c r="Z29" s="8">
        <v>27</v>
      </c>
      <c r="AA29" s="8">
        <v>52</v>
      </c>
      <c r="AB29" s="8">
        <v>187</v>
      </c>
      <c r="AC29" s="8">
        <v>305</v>
      </c>
      <c r="AD29" s="8">
        <v>178</v>
      </c>
      <c r="AE29" s="8">
        <v>123</v>
      </c>
      <c r="AF29" s="8">
        <v>48</v>
      </c>
      <c r="AG29" s="8">
        <v>13</v>
      </c>
      <c r="AH29" s="8">
        <v>9</v>
      </c>
      <c r="AI29" s="8">
        <v>12</v>
      </c>
      <c r="AJ29" s="8">
        <v>16</v>
      </c>
      <c r="AK29" s="8">
        <v>212</v>
      </c>
      <c r="AL29" s="8">
        <v>355</v>
      </c>
      <c r="AM29" s="8">
        <v>23</v>
      </c>
      <c r="AN29" s="8">
        <v>6</v>
      </c>
      <c r="AO29" s="8">
        <v>32</v>
      </c>
      <c r="AP29" s="8">
        <v>87</v>
      </c>
      <c r="AQ29" s="8">
        <v>530</v>
      </c>
      <c r="AR29" s="8">
        <v>54</v>
      </c>
      <c r="AS29" s="8">
        <v>5</v>
      </c>
      <c r="AT29" s="8">
        <v>1</v>
      </c>
      <c r="AU29" s="8">
        <v>1</v>
      </c>
      <c r="AV29" s="8">
        <v>0</v>
      </c>
      <c r="AW29" s="8">
        <v>2</v>
      </c>
      <c r="AX29" s="8">
        <v>2</v>
      </c>
      <c r="AY29" s="8">
        <v>6</v>
      </c>
      <c r="AZ29" s="8">
        <v>2</v>
      </c>
      <c r="BA29" s="8">
        <v>63</v>
      </c>
      <c r="BB29" s="8">
        <v>0</v>
      </c>
      <c r="BC29" s="8">
        <v>1</v>
      </c>
      <c r="BE29" s="8" t="str">
        <f>B29</f>
        <v>Returns</v>
      </c>
      <c r="BF29" s="16">
        <v>1173</v>
      </c>
      <c r="BG29" s="16">
        <f t="shared" ref="BG29:BK31" ca="1" si="8">SUMIF($E$4:$BC$4,BG$4,$E29:$BC29)</f>
        <v>0</v>
      </c>
      <c r="BH29" s="8">
        <f t="shared" ca="1" si="8"/>
        <v>0</v>
      </c>
      <c r="BI29" s="17">
        <f t="shared" ca="1" si="8"/>
        <v>0</v>
      </c>
      <c r="BJ29" s="17">
        <f t="shared" ca="1" si="8"/>
        <v>0</v>
      </c>
      <c r="BK29" s="17">
        <f t="shared" ca="1" si="8"/>
        <v>0</v>
      </c>
      <c r="BM29" s="8">
        <f ca="1">SUM(BG29:BK29)-SUM(E29:BC29)</f>
        <v>-3209</v>
      </c>
    </row>
    <row r="30" spans="1:65" x14ac:dyDescent="0.3">
      <c r="A30" s="8"/>
      <c r="B30" s="8" t="s">
        <v>1477</v>
      </c>
      <c r="C30" s="8"/>
      <c r="D30" s="8"/>
      <c r="E30" s="8">
        <v>118680</v>
      </c>
      <c r="F30" s="8">
        <v>52440</v>
      </c>
      <c r="G30" s="8">
        <v>55200</v>
      </c>
      <c r="H30" s="8">
        <v>48300</v>
      </c>
      <c r="I30" s="8">
        <v>40020</v>
      </c>
      <c r="J30" s="8">
        <v>35880</v>
      </c>
      <c r="K30" s="8">
        <v>82800</v>
      </c>
      <c r="L30" s="8">
        <v>44160</v>
      </c>
      <c r="M30" s="8">
        <v>35880</v>
      </c>
      <c r="N30" s="8">
        <v>53820</v>
      </c>
      <c r="O30" s="8">
        <v>106260</v>
      </c>
      <c r="P30" s="8">
        <v>56580</v>
      </c>
      <c r="Q30" s="8">
        <v>86940</v>
      </c>
      <c r="R30" s="8">
        <v>19320</v>
      </c>
      <c r="S30" s="8">
        <v>12420</v>
      </c>
      <c r="T30" s="8">
        <v>35700</v>
      </c>
      <c r="U30" s="8">
        <v>42075</v>
      </c>
      <c r="V30" s="8">
        <v>31875</v>
      </c>
      <c r="W30" s="8">
        <v>48450</v>
      </c>
      <c r="X30" s="8">
        <v>94350</v>
      </c>
      <c r="Y30" s="8">
        <v>56100</v>
      </c>
      <c r="Z30" s="8">
        <v>34425</v>
      </c>
      <c r="AA30" s="8">
        <v>66300</v>
      </c>
      <c r="AB30" s="8">
        <v>238425</v>
      </c>
      <c r="AC30" s="8">
        <v>388875</v>
      </c>
      <c r="AD30" s="8">
        <v>226950</v>
      </c>
      <c r="AE30" s="8">
        <v>156825</v>
      </c>
      <c r="AF30" s="8">
        <v>61200</v>
      </c>
      <c r="AG30" s="8">
        <v>16575</v>
      </c>
      <c r="AH30" s="8">
        <v>11475</v>
      </c>
      <c r="AI30" s="8">
        <v>15300</v>
      </c>
      <c r="AJ30" s="8">
        <v>20400</v>
      </c>
      <c r="AK30" s="8">
        <v>270300</v>
      </c>
      <c r="AL30" s="8">
        <v>452625</v>
      </c>
      <c r="AM30" s="8">
        <v>29325</v>
      </c>
      <c r="AN30" s="8">
        <v>7650</v>
      </c>
      <c r="AO30" s="8">
        <v>36800</v>
      </c>
      <c r="AP30" s="8">
        <v>100050</v>
      </c>
      <c r="AQ30" s="8">
        <v>609500</v>
      </c>
      <c r="AR30" s="8">
        <v>62100</v>
      </c>
      <c r="AS30" s="8">
        <v>5750</v>
      </c>
      <c r="AT30" s="8">
        <v>1150</v>
      </c>
      <c r="AU30" s="8">
        <v>1150</v>
      </c>
      <c r="AV30" s="8">
        <v>0</v>
      </c>
      <c r="AW30" s="8">
        <v>2300</v>
      </c>
      <c r="AX30" s="8">
        <v>2300</v>
      </c>
      <c r="AY30" s="8">
        <v>6900</v>
      </c>
      <c r="AZ30" s="8">
        <v>2300</v>
      </c>
      <c r="BA30" s="8">
        <v>72450</v>
      </c>
      <c r="BB30" s="8">
        <v>0</v>
      </c>
      <c r="BC30" s="8">
        <v>1150</v>
      </c>
      <c r="BE30" s="8" t="str">
        <f>B30</f>
        <v>RM_revenue</v>
      </c>
      <c r="BF30" s="16">
        <v>1379076.2717599999</v>
      </c>
      <c r="BG30" s="16">
        <f t="shared" ca="1" si="8"/>
        <v>0</v>
      </c>
      <c r="BH30" s="8">
        <f t="shared" ca="1" si="8"/>
        <v>0</v>
      </c>
      <c r="BI30" s="17">
        <f t="shared" ca="1" si="8"/>
        <v>0</v>
      </c>
      <c r="BJ30" s="17">
        <f t="shared" ca="1" si="8"/>
        <v>0</v>
      </c>
      <c r="BK30" s="17">
        <f t="shared" ca="1" si="8"/>
        <v>0</v>
      </c>
      <c r="BM30" s="8">
        <f ca="1">SUM(BG30:BK30)-SUM(E30:BC30)</f>
        <v>-4057800</v>
      </c>
    </row>
    <row r="31" spans="1:65" x14ac:dyDescent="0.3">
      <c r="A31" s="8"/>
      <c r="B31" s="8" t="s">
        <v>1478</v>
      </c>
      <c r="C31" s="8"/>
      <c r="D31" s="8"/>
      <c r="E31" s="8">
        <v>-89811.954900090379</v>
      </c>
      <c r="F31" s="8">
        <v>-40861.461542531841</v>
      </c>
      <c r="G31" s="8">
        <v>-42926.461542531841</v>
      </c>
      <c r="H31" s="8">
        <v>-37879.266803865175</v>
      </c>
      <c r="I31" s="8">
        <v>-31789.266803865172</v>
      </c>
      <c r="J31" s="8">
        <v>-28764.266803865172</v>
      </c>
      <c r="K31" s="8">
        <v>-63314.248162286378</v>
      </c>
      <c r="L31" s="8">
        <v>-34894.248162286385</v>
      </c>
      <c r="M31" s="8">
        <v>-28924.248162286389</v>
      </c>
      <c r="N31" s="8">
        <v>-41999.248162286378</v>
      </c>
      <c r="O31" s="8">
        <v>-80599.2481622864</v>
      </c>
      <c r="P31" s="8">
        <v>-44049.248162286378</v>
      </c>
      <c r="Q31" s="8">
        <v>-66359.248162286385</v>
      </c>
      <c r="R31" s="8">
        <v>-16624.248162286389</v>
      </c>
      <c r="S31" s="8">
        <v>-11569.14816228639</v>
      </c>
      <c r="T31" s="8">
        <v>-29867.204544953056</v>
      </c>
      <c r="U31" s="8">
        <v>-34942.204544953049</v>
      </c>
      <c r="V31" s="8">
        <v>-26822.204544953056</v>
      </c>
      <c r="W31" s="8">
        <v>-39957.223186531839</v>
      </c>
      <c r="X31" s="8">
        <v>-75387.223186531832</v>
      </c>
      <c r="Y31" s="8">
        <v>-45387.223186531839</v>
      </c>
      <c r="Z31" s="8">
        <v>-28387.223186531839</v>
      </c>
      <c r="AA31" s="8">
        <v>-53387.223186531839</v>
      </c>
      <c r="AB31" s="8">
        <v>-188387.22318653183</v>
      </c>
      <c r="AC31" s="8">
        <v>-306387.22318653186</v>
      </c>
      <c r="AD31" s="8">
        <v>-179387.22318653183</v>
      </c>
      <c r="AE31" s="8">
        <v>-124387.22318653183</v>
      </c>
      <c r="AF31" s="8">
        <v>-49387.223186531839</v>
      </c>
      <c r="AG31" s="8">
        <v>-14387.223186531837</v>
      </c>
      <c r="AH31" s="8">
        <v>-10387.223186531837</v>
      </c>
      <c r="AI31" s="8">
        <v>-13387.223186531837</v>
      </c>
      <c r="AJ31" s="8">
        <v>-17387.223186531839</v>
      </c>
      <c r="AK31" s="8">
        <v>-213387.22318653183</v>
      </c>
      <c r="AL31" s="8">
        <v>-356387.22318653186</v>
      </c>
      <c r="AM31" s="8">
        <v>-24387.223186531839</v>
      </c>
      <c r="AN31" s="8">
        <v>-7387.2231865318381</v>
      </c>
      <c r="AO31" s="8">
        <v>-33387.223186531839</v>
      </c>
      <c r="AP31" s="8">
        <v>-88387.223186531832</v>
      </c>
      <c r="AQ31" s="8">
        <v>-531387.2231865318</v>
      </c>
      <c r="AR31" s="8">
        <v>-54000</v>
      </c>
      <c r="AS31" s="8">
        <v>-5000</v>
      </c>
      <c r="AT31" s="8">
        <v>-1000</v>
      </c>
      <c r="AU31" s="8">
        <v>-1000</v>
      </c>
      <c r="AV31" s="8">
        <v>0</v>
      </c>
      <c r="AW31" s="8">
        <v>-2000</v>
      </c>
      <c r="AX31" s="8">
        <v>-2000</v>
      </c>
      <c r="AY31" s="8">
        <v>-6000</v>
      </c>
      <c r="AZ31" s="8">
        <v>-2000</v>
      </c>
      <c r="BA31" s="8">
        <v>-63000</v>
      </c>
      <c r="BB31" s="8">
        <v>0</v>
      </c>
      <c r="BC31" s="8">
        <v>-1000</v>
      </c>
      <c r="BE31" s="8" t="str">
        <f>B31</f>
        <v>RM_costs</v>
      </c>
      <c r="BF31" s="16">
        <v>-1014640.4587590048</v>
      </c>
      <c r="BG31" s="16">
        <f t="shared" ca="1" si="8"/>
        <v>0</v>
      </c>
      <c r="BH31" s="8">
        <f t="shared" ca="1" si="8"/>
        <v>0</v>
      </c>
      <c r="BI31" s="17">
        <f t="shared" ca="1" si="8"/>
        <v>0</v>
      </c>
      <c r="BJ31" s="17">
        <f t="shared" ca="1" si="8"/>
        <v>0</v>
      </c>
      <c r="BK31" s="17">
        <f t="shared" ca="1" si="8"/>
        <v>0</v>
      </c>
      <c r="BM31" s="8">
        <f ca="1">SUM(BG31:BK31)-SUM(E31:BC31)</f>
        <v>3289699.1124093551</v>
      </c>
    </row>
    <row r="32" spans="1:65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1:65" s="15" customFormat="1" x14ac:dyDescent="0.3">
      <c r="A33" s="20"/>
      <c r="B33" s="20" t="s">
        <v>1479</v>
      </c>
      <c r="C33" s="20"/>
      <c r="D33" s="20"/>
      <c r="E33" s="20">
        <f>SUM(E30:E31)</f>
        <v>28868.045099909621</v>
      </c>
      <c r="F33" s="20">
        <f t="shared" ref="F33:BC33" si="9">SUM(F30:F31)</f>
        <v>11578.538457468159</v>
      </c>
      <c r="G33" s="20">
        <f t="shared" si="9"/>
        <v>12273.538457468159</v>
      </c>
      <c r="H33" s="20">
        <f t="shared" si="9"/>
        <v>10420.733196134825</v>
      </c>
      <c r="I33" s="20">
        <f t="shared" si="9"/>
        <v>8230.7331961348282</v>
      </c>
      <c r="J33" s="20">
        <f t="shared" si="9"/>
        <v>7115.7331961348282</v>
      </c>
      <c r="K33" s="20">
        <f t="shared" si="9"/>
        <v>19485.751837713622</v>
      </c>
      <c r="L33" s="20">
        <f t="shared" si="9"/>
        <v>9265.7518377136148</v>
      </c>
      <c r="M33" s="20">
        <f t="shared" si="9"/>
        <v>6955.7518377136112</v>
      </c>
      <c r="N33" s="20">
        <f t="shared" si="9"/>
        <v>11820.751837713622</v>
      </c>
      <c r="O33" s="20">
        <f t="shared" si="9"/>
        <v>25660.7518377136</v>
      </c>
      <c r="P33" s="20">
        <f t="shared" si="9"/>
        <v>12530.751837713622</v>
      </c>
      <c r="Q33" s="20">
        <f t="shared" si="9"/>
        <v>20580.751837713615</v>
      </c>
      <c r="R33" s="20">
        <f t="shared" si="9"/>
        <v>2695.7518377136112</v>
      </c>
      <c r="S33" s="20">
        <f t="shared" si="9"/>
        <v>850.85183771360971</v>
      </c>
      <c r="T33" s="20">
        <f t="shared" si="9"/>
        <v>5832.795455046944</v>
      </c>
      <c r="U33" s="20">
        <f t="shared" si="9"/>
        <v>7132.7954550469512</v>
      </c>
      <c r="V33" s="20">
        <f t="shared" si="9"/>
        <v>5052.795455046944</v>
      </c>
      <c r="W33" s="20">
        <f t="shared" si="9"/>
        <v>8492.776813468161</v>
      </c>
      <c r="X33" s="20">
        <f t="shared" si="9"/>
        <v>18962.776813468168</v>
      </c>
      <c r="Y33" s="20">
        <f t="shared" si="9"/>
        <v>10712.776813468161</v>
      </c>
      <c r="Z33" s="20">
        <f t="shared" si="9"/>
        <v>6037.776813468161</v>
      </c>
      <c r="AA33" s="20">
        <f t="shared" si="9"/>
        <v>12912.776813468161</v>
      </c>
      <c r="AB33" s="20">
        <f t="shared" si="9"/>
        <v>50037.776813468168</v>
      </c>
      <c r="AC33" s="20">
        <f t="shared" si="9"/>
        <v>82487.776813468139</v>
      </c>
      <c r="AD33" s="20">
        <f t="shared" si="9"/>
        <v>47562.776813468168</v>
      </c>
      <c r="AE33" s="20">
        <f t="shared" si="9"/>
        <v>32437.776813468168</v>
      </c>
      <c r="AF33" s="20">
        <f t="shared" si="9"/>
        <v>11812.776813468161</v>
      </c>
      <c r="AG33" s="20">
        <f t="shared" si="9"/>
        <v>2187.7768134681628</v>
      </c>
      <c r="AH33" s="20">
        <f t="shared" si="9"/>
        <v>1087.7768134681628</v>
      </c>
      <c r="AI33" s="20">
        <f t="shared" si="9"/>
        <v>1912.7768134681628</v>
      </c>
      <c r="AJ33" s="20">
        <f t="shared" si="9"/>
        <v>3012.776813468161</v>
      </c>
      <c r="AK33" s="20">
        <f t="shared" si="9"/>
        <v>56912.776813468168</v>
      </c>
      <c r="AL33" s="20">
        <f t="shared" si="9"/>
        <v>96237.776813468139</v>
      </c>
      <c r="AM33" s="20">
        <f t="shared" si="9"/>
        <v>4937.776813468161</v>
      </c>
      <c r="AN33" s="20">
        <f t="shared" si="9"/>
        <v>262.77681346816189</v>
      </c>
      <c r="AO33" s="20">
        <f t="shared" si="9"/>
        <v>3412.776813468161</v>
      </c>
      <c r="AP33" s="20">
        <f t="shared" si="9"/>
        <v>11662.776813468168</v>
      </c>
      <c r="AQ33" s="20">
        <f t="shared" si="9"/>
        <v>78112.776813468197</v>
      </c>
      <c r="AR33" s="20">
        <f t="shared" si="9"/>
        <v>8100</v>
      </c>
      <c r="AS33" s="20">
        <f t="shared" si="9"/>
        <v>750</v>
      </c>
      <c r="AT33" s="20">
        <f t="shared" si="9"/>
        <v>150</v>
      </c>
      <c r="AU33" s="20">
        <f t="shared" si="9"/>
        <v>150</v>
      </c>
      <c r="AV33" s="20">
        <f t="shared" si="9"/>
        <v>0</v>
      </c>
      <c r="AW33" s="20">
        <f t="shared" si="9"/>
        <v>300</v>
      </c>
      <c r="AX33" s="20">
        <f t="shared" si="9"/>
        <v>300</v>
      </c>
      <c r="AY33" s="20">
        <f t="shared" si="9"/>
        <v>900</v>
      </c>
      <c r="AZ33" s="20">
        <f t="shared" si="9"/>
        <v>300</v>
      </c>
      <c r="BA33" s="20">
        <f t="shared" si="9"/>
        <v>9450</v>
      </c>
      <c r="BB33" s="20">
        <f t="shared" si="9"/>
        <v>0</v>
      </c>
      <c r="BC33" s="20">
        <f t="shared" si="9"/>
        <v>150</v>
      </c>
      <c r="BE33" s="20" t="str">
        <f>B33</f>
        <v>RM_grossprofit</v>
      </c>
      <c r="BF33" s="21">
        <f>SUM(BF30:BF31)</f>
        <v>364435.81300099508</v>
      </c>
      <c r="BG33" s="21">
        <f t="shared" ref="BG33:BK34" ca="1" si="10">SUMIF($E$4:$BC$4,BG$4,$E33:$BC33)</f>
        <v>0</v>
      </c>
      <c r="BH33" s="20">
        <f t="shared" ca="1" si="10"/>
        <v>0</v>
      </c>
      <c r="BI33" s="22">
        <f t="shared" ca="1" si="10"/>
        <v>0</v>
      </c>
      <c r="BJ33" s="22">
        <f t="shared" ca="1" si="10"/>
        <v>0</v>
      </c>
      <c r="BK33" s="22">
        <f t="shared" ca="1" si="10"/>
        <v>0</v>
      </c>
      <c r="BM33" s="20">
        <f ca="1">SUM(BG33:BK33)-SUM(E33:BC33)</f>
        <v>-768100.88759064535</v>
      </c>
    </row>
    <row r="34" spans="1:65" s="15" customFormat="1" ht="15" thickBot="1" x14ac:dyDescent="0.35">
      <c r="A34" s="20"/>
      <c r="B34" s="20" t="s">
        <v>1480</v>
      </c>
      <c r="C34" s="20"/>
      <c r="D34" s="20"/>
      <c r="E34" s="20">
        <v>26346.090199819217</v>
      </c>
      <c r="F34" s="20">
        <v>9287.0769149363205</v>
      </c>
      <c r="G34" s="20">
        <v>9947.0769149363205</v>
      </c>
      <c r="H34" s="20">
        <v>8066.4663922696573</v>
      </c>
      <c r="I34" s="20">
        <v>5876.4663922696573</v>
      </c>
      <c r="J34" s="20">
        <v>4741.4663922696573</v>
      </c>
      <c r="K34" s="20">
        <v>17071.503675427233</v>
      </c>
      <c r="L34" s="20">
        <v>6851.5036754272251</v>
      </c>
      <c r="M34" s="20">
        <v>4421.5036754272223</v>
      </c>
      <c r="N34" s="20">
        <v>9406.5036754272314</v>
      </c>
      <c r="O34" s="20">
        <v>23216.503675427208</v>
      </c>
      <c r="P34" s="20">
        <v>10096.503675427231</v>
      </c>
      <c r="Q34" s="20">
        <v>18166.503675427233</v>
      </c>
      <c r="R34" s="20">
        <v>281.50367542722262</v>
      </c>
      <c r="S34" s="20">
        <v>-1583.2963245727776</v>
      </c>
      <c r="T34" s="20">
        <v>4385.5909100938898</v>
      </c>
      <c r="U34" s="20">
        <v>5685.590910093897</v>
      </c>
      <c r="V34" s="20">
        <v>3605.5909100938898</v>
      </c>
      <c r="W34" s="20">
        <v>7105.5536269363201</v>
      </c>
      <c r="X34" s="20">
        <v>17575.553626936337</v>
      </c>
      <c r="Y34" s="20">
        <v>9325.5536269363201</v>
      </c>
      <c r="Z34" s="20">
        <v>4650.5536269363238</v>
      </c>
      <c r="AA34" s="20">
        <v>11525.55362693632</v>
      </c>
      <c r="AB34" s="20">
        <v>48650.553626936315</v>
      </c>
      <c r="AC34" s="20">
        <v>81100.553626936337</v>
      </c>
      <c r="AD34" s="20">
        <v>46175.553626936315</v>
      </c>
      <c r="AE34" s="20">
        <v>31050.553626936337</v>
      </c>
      <c r="AF34" s="20">
        <v>10425.55362693632</v>
      </c>
      <c r="AG34" s="20">
        <v>800.55362693632378</v>
      </c>
      <c r="AH34" s="20">
        <v>-299.44637306367616</v>
      </c>
      <c r="AI34" s="20">
        <v>525.55362693632378</v>
      </c>
      <c r="AJ34" s="20">
        <v>1625.5536269363236</v>
      </c>
      <c r="AK34" s="20">
        <v>55525.553626936315</v>
      </c>
      <c r="AL34" s="20">
        <v>94850.553626936337</v>
      </c>
      <c r="AM34" s="20">
        <v>3550.5536269363233</v>
      </c>
      <c r="AN34" s="20">
        <v>-1124.4463730636762</v>
      </c>
      <c r="AO34" s="20">
        <v>2025.5536269363236</v>
      </c>
      <c r="AP34" s="20">
        <v>10275.553626936335</v>
      </c>
      <c r="AQ34" s="20">
        <v>76725.553626936337</v>
      </c>
      <c r="AR34" s="20">
        <v>8100</v>
      </c>
      <c r="AS34" s="20">
        <v>750</v>
      </c>
      <c r="AT34" s="20">
        <v>150</v>
      </c>
      <c r="AU34" s="20">
        <v>150</v>
      </c>
      <c r="AV34" s="20">
        <v>0</v>
      </c>
      <c r="AW34" s="20">
        <v>300</v>
      </c>
      <c r="AX34" s="20">
        <v>300</v>
      </c>
      <c r="AY34" s="20">
        <v>900</v>
      </c>
      <c r="AZ34" s="20">
        <v>300</v>
      </c>
      <c r="BA34" s="20">
        <v>9450</v>
      </c>
      <c r="BB34" s="20">
        <v>0</v>
      </c>
      <c r="BC34" s="20">
        <v>150</v>
      </c>
      <c r="BE34" s="23" t="str">
        <f>B34</f>
        <v>RM_operincome</v>
      </c>
      <c r="BF34" s="24">
        <v>350014.03201599512</v>
      </c>
      <c r="BG34" s="24">
        <f t="shared" ca="1" si="10"/>
        <v>0</v>
      </c>
      <c r="BH34" s="23">
        <f t="shared" ca="1" si="10"/>
        <v>0</v>
      </c>
      <c r="BI34" s="27">
        <f t="shared" ca="1" si="10"/>
        <v>0</v>
      </c>
      <c r="BJ34" s="27">
        <f t="shared" ca="1" si="10"/>
        <v>0</v>
      </c>
      <c r="BK34" s="27">
        <f t="shared" ca="1" si="10"/>
        <v>0</v>
      </c>
      <c r="BM34" s="20">
        <f ca="1">SUM(BG34:BK34)-SUM(E34:BC34)</f>
        <v>-698486.77518129023</v>
      </c>
    </row>
    <row r="35" spans="1:65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</row>
    <row r="36" spans="1:65" x14ac:dyDescent="0.3">
      <c r="A36" s="8"/>
      <c r="B36" s="20" t="s">
        <v>1481</v>
      </c>
      <c r="C36" s="8"/>
      <c r="D36" s="8"/>
      <c r="E36" s="8">
        <v>-24319.589940000002</v>
      </c>
      <c r="F36" s="8">
        <v>-22040.677560000004</v>
      </c>
      <c r="G36" s="8">
        <v>-22390.677560000004</v>
      </c>
      <c r="H36" s="8">
        <v>-22643.730173333337</v>
      </c>
      <c r="I36" s="8">
        <v>-22643.730173333337</v>
      </c>
      <c r="J36" s="8">
        <v>-22843.730173333337</v>
      </c>
      <c r="K36" s="8">
        <v>-23251.230173333337</v>
      </c>
      <c r="L36" s="8">
        <v>-23251.230173333337</v>
      </c>
      <c r="M36" s="8">
        <v>-24451.230173333337</v>
      </c>
      <c r="N36" s="8">
        <v>-23251.230173333337</v>
      </c>
      <c r="O36" s="8">
        <v>-23551.230173333337</v>
      </c>
      <c r="P36" s="8">
        <v>-23451.230173333337</v>
      </c>
      <c r="Q36" s="8">
        <v>-23251.230173333337</v>
      </c>
      <c r="R36" s="8">
        <v>-23251.230173333337</v>
      </c>
      <c r="S36" s="8">
        <v>-23450.230173333337</v>
      </c>
      <c r="T36" s="8">
        <v>-23450.230173333337</v>
      </c>
      <c r="U36" s="8">
        <v>-23450.230173333337</v>
      </c>
      <c r="V36" s="8">
        <v>-23450.230173333337</v>
      </c>
      <c r="W36" s="8">
        <v>-22842.730173333337</v>
      </c>
      <c r="X36" s="8">
        <v>-22842.730173333337</v>
      </c>
      <c r="Y36" s="8">
        <v>-22842.730173333337</v>
      </c>
      <c r="Z36" s="8">
        <v>-22842.730173333337</v>
      </c>
      <c r="AA36" s="8">
        <v>-22842.730173333337</v>
      </c>
      <c r="AB36" s="8">
        <v>-22842.730173333337</v>
      </c>
      <c r="AC36" s="8">
        <v>-22842.730173333337</v>
      </c>
      <c r="AD36" s="8">
        <v>-22842.730173333337</v>
      </c>
      <c r="AE36" s="8">
        <v>-22842.730173333337</v>
      </c>
      <c r="AF36" s="8">
        <v>-22842.730173333337</v>
      </c>
      <c r="AG36" s="8">
        <v>-22842.730173333337</v>
      </c>
      <c r="AH36" s="8">
        <v>-22842.730173333337</v>
      </c>
      <c r="AI36" s="8">
        <v>-22842.730173333337</v>
      </c>
      <c r="AJ36" s="8">
        <v>-22842.730173333337</v>
      </c>
      <c r="AK36" s="8">
        <v>-22842.730173333337</v>
      </c>
      <c r="AL36" s="8">
        <v>-22842.730173333337</v>
      </c>
      <c r="AM36" s="8">
        <v>-22842.730173333337</v>
      </c>
      <c r="AN36" s="8">
        <v>-22842.730173333337</v>
      </c>
      <c r="AO36" s="8">
        <v>-22842.730173333337</v>
      </c>
      <c r="AP36" s="8">
        <v>-22842.730173333337</v>
      </c>
      <c r="AQ36" s="8">
        <v>-22842.730173333337</v>
      </c>
      <c r="AR36" s="8">
        <v>0</v>
      </c>
      <c r="AS36" s="8">
        <v>0</v>
      </c>
      <c r="AT36" s="8">
        <v>0</v>
      </c>
      <c r="AU36" s="8">
        <v>0</v>
      </c>
      <c r="AV36" s="8">
        <v>0</v>
      </c>
      <c r="AW36" s="8">
        <v>0</v>
      </c>
      <c r="AX36" s="8">
        <v>0</v>
      </c>
      <c r="AY36" s="8">
        <v>0</v>
      </c>
      <c r="AZ36" s="8">
        <v>0</v>
      </c>
      <c r="BA36" s="8">
        <v>0</v>
      </c>
      <c r="BB36" s="8">
        <v>0</v>
      </c>
      <c r="BC36" s="8">
        <v>0</v>
      </c>
      <c r="BE36" s="8" t="str">
        <f>B36</f>
        <v>Indirect</v>
      </c>
      <c r="BF36" s="16">
        <v>-185657.10832999999</v>
      </c>
      <c r="BG36" s="16">
        <f t="shared" ref="BG36:BK37" ca="1" si="11">SUMIF($E$4:$BC$4,BG$4,$E36:$BC36)</f>
        <v>0</v>
      </c>
      <c r="BH36" s="8">
        <f t="shared" ca="1" si="11"/>
        <v>0</v>
      </c>
      <c r="BI36" s="17">
        <f t="shared" ca="1" si="11"/>
        <v>0</v>
      </c>
      <c r="BJ36" s="17">
        <f t="shared" ca="1" si="11"/>
        <v>0</v>
      </c>
      <c r="BK36" s="17">
        <f t="shared" ca="1" si="11"/>
        <v>0</v>
      </c>
      <c r="BM36" s="8"/>
    </row>
    <row r="37" spans="1:65" x14ac:dyDescent="0.3">
      <c r="A37" s="8"/>
      <c r="B37" s="20" t="s">
        <v>1482</v>
      </c>
      <c r="C37" s="8"/>
      <c r="D37" s="8"/>
      <c r="E37" s="8">
        <v>1141.6445645538215</v>
      </c>
      <c r="F37" s="8">
        <v>1516.9373836666091</v>
      </c>
      <c r="G37" s="8">
        <v>2677.6123410522164</v>
      </c>
      <c r="H37" s="8">
        <v>3195.6054372348663</v>
      </c>
      <c r="I37" s="8">
        <v>3368.85413008966</v>
      </c>
      <c r="J37" s="8">
        <v>3576.0145388896594</v>
      </c>
      <c r="K37" s="8">
        <v>3667.1616564019891</v>
      </c>
      <c r="L37" s="8">
        <v>4014.1860258924012</v>
      </c>
      <c r="M37" s="8">
        <v>4038.8404131965099</v>
      </c>
      <c r="N37" s="8">
        <v>4093.3919250102081</v>
      </c>
      <c r="O37" s="8">
        <v>4265.2396715526738</v>
      </c>
      <c r="P37" s="8">
        <v>4288.7924751800729</v>
      </c>
      <c r="Q37" s="8">
        <v>4300.3261690995896</v>
      </c>
      <c r="R37" s="8">
        <v>4475.7579075269878</v>
      </c>
      <c r="S37" s="8">
        <v>4478.5998617900004</v>
      </c>
      <c r="T37" s="8">
        <v>4478.5998617900004</v>
      </c>
      <c r="U37" s="8">
        <v>4478.5998617900004</v>
      </c>
      <c r="V37" s="8">
        <v>4478.5998617900004</v>
      </c>
      <c r="W37" s="8">
        <v>4478.5998617900004</v>
      </c>
      <c r="X37" s="8">
        <v>4478.5998617900004</v>
      </c>
      <c r="Y37" s="8">
        <v>4478.5998617900004</v>
      </c>
      <c r="Z37" s="8">
        <v>4478.5998617900004</v>
      </c>
      <c r="AA37" s="8">
        <v>4478.5998617900004</v>
      </c>
      <c r="AB37" s="8">
        <v>4478.5998617900004</v>
      </c>
      <c r="AC37" s="8">
        <v>4478.5998617900004</v>
      </c>
      <c r="AD37" s="8">
        <v>4478.5998617900004</v>
      </c>
      <c r="AE37" s="8">
        <v>4478.5998617900004</v>
      </c>
      <c r="AF37" s="8">
        <v>4478.5998617900004</v>
      </c>
      <c r="AG37" s="8">
        <v>4478.5998617900004</v>
      </c>
      <c r="AH37" s="8">
        <v>4478.5998617900004</v>
      </c>
      <c r="AI37" s="8">
        <v>4478.5998617900004</v>
      </c>
      <c r="AJ37" s="8">
        <v>4478.5998617900004</v>
      </c>
      <c r="AK37" s="8">
        <v>4478.5998617900004</v>
      </c>
      <c r="AL37" s="8">
        <v>4478.5998617900004</v>
      </c>
      <c r="AM37" s="8">
        <v>4478.5998617900004</v>
      </c>
      <c r="AN37" s="8">
        <v>4478.5998617900004</v>
      </c>
      <c r="AO37" s="8">
        <v>4478.5998617900004</v>
      </c>
      <c r="AP37" s="8">
        <v>4478.5998617900004</v>
      </c>
      <c r="AQ37" s="8">
        <v>4478.5998617900004</v>
      </c>
      <c r="AR37" s="8">
        <v>0</v>
      </c>
      <c r="AS37" s="8">
        <v>0</v>
      </c>
      <c r="AT37" s="8">
        <v>0</v>
      </c>
      <c r="AU37" s="8">
        <v>0</v>
      </c>
      <c r="AV37" s="8">
        <v>0</v>
      </c>
      <c r="AW37" s="8">
        <v>0</v>
      </c>
      <c r="AX37" s="8">
        <v>0</v>
      </c>
      <c r="AY37" s="8">
        <v>0</v>
      </c>
      <c r="AZ37" s="8">
        <v>0</v>
      </c>
      <c r="BA37" s="8">
        <v>0</v>
      </c>
      <c r="BB37" s="8">
        <v>0</v>
      </c>
      <c r="BC37" s="8">
        <v>0</v>
      </c>
      <c r="BE37" s="8" t="str">
        <f>B37</f>
        <v>Other income / (expenses)</v>
      </c>
      <c r="BF37" s="16">
        <v>-3309.8946640490885</v>
      </c>
      <c r="BG37" s="16">
        <f t="shared" ca="1" si="11"/>
        <v>0</v>
      </c>
      <c r="BH37" s="8">
        <f t="shared" ca="1" si="11"/>
        <v>0</v>
      </c>
      <c r="BI37" s="17">
        <f t="shared" ca="1" si="11"/>
        <v>0</v>
      </c>
      <c r="BJ37" s="17">
        <f t="shared" ca="1" si="11"/>
        <v>0</v>
      </c>
      <c r="BK37" s="17">
        <f t="shared" ca="1" si="11"/>
        <v>0</v>
      </c>
      <c r="BM37" s="8"/>
    </row>
    <row r="38" spans="1:65" x14ac:dyDescent="0.3">
      <c r="A38" s="8"/>
      <c r="B38" s="20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G38" s="16"/>
      <c r="BH38" s="8"/>
      <c r="BI38" s="17"/>
      <c r="BJ38" s="17"/>
      <c r="BK38" s="17"/>
      <c r="BM38" s="8"/>
    </row>
    <row r="39" spans="1:65" ht="15.6" x14ac:dyDescent="0.3">
      <c r="A39" s="8"/>
      <c r="B39" s="8" t="s">
        <v>1483</v>
      </c>
      <c r="C39" s="8"/>
      <c r="D39" s="8"/>
      <c r="E39" s="8">
        <f>SUM(E10:E12,E19:E21,E30:E31,E36:E37)</f>
        <v>31296.603927001379</v>
      </c>
      <c r="F39" s="8">
        <f t="shared" ref="F39:AQ39" si="12">SUM(F10:F12,F19:F21,F30:F31,F36:F37)</f>
        <v>17695.122448074591</v>
      </c>
      <c r="G39" s="8">
        <f t="shared" si="12"/>
        <v>-8559.325207398655</v>
      </c>
      <c r="H39" s="8">
        <f t="shared" si="12"/>
        <v>-3090.1551823088157</v>
      </c>
      <c r="I39" s="8">
        <f t="shared" si="12"/>
        <v>7888.6684761080051</v>
      </c>
      <c r="J39" s="8">
        <f t="shared" si="12"/>
        <v>9645.2074326999646</v>
      </c>
      <c r="K39" s="8">
        <f t="shared" si="12"/>
        <v>19219.06187301315</v>
      </c>
      <c r="L39" s="8">
        <f t="shared" si="12"/>
        <v>4177.368688738914</v>
      </c>
      <c r="M39" s="8">
        <f t="shared" si="12"/>
        <v>3677.668998440603</v>
      </c>
      <c r="N39" s="8">
        <f t="shared" si="12"/>
        <v>7631.2932512807347</v>
      </c>
      <c r="O39" s="8">
        <f t="shared" si="12"/>
        <v>23967.497110218519</v>
      </c>
      <c r="P39" s="8">
        <f t="shared" si="12"/>
        <v>9576.6594113357405</v>
      </c>
      <c r="Q39" s="8">
        <f t="shared" si="12"/>
        <v>15491.259323423244</v>
      </c>
      <c r="R39" s="8">
        <f t="shared" si="12"/>
        <v>28.726630964165452</v>
      </c>
      <c r="S39" s="8">
        <f t="shared" si="12"/>
        <v>-4319.6023896901679</v>
      </c>
      <c r="T39" s="8">
        <f t="shared" si="12"/>
        <v>842.68389175545963</v>
      </c>
      <c r="U39" s="8">
        <f t="shared" si="12"/>
        <v>1091.2175976304534</v>
      </c>
      <c r="V39" s="8">
        <f t="shared" si="12"/>
        <v>-322.87632906459112</v>
      </c>
      <c r="W39" s="8">
        <f t="shared" si="12"/>
        <v>2333.949172011653</v>
      </c>
      <c r="X39" s="8">
        <f t="shared" si="12"/>
        <v>12802.754764178553</v>
      </c>
      <c r="Y39" s="8">
        <f t="shared" si="12"/>
        <v>5402.2594154520011</v>
      </c>
      <c r="Z39" s="8">
        <f t="shared" si="12"/>
        <v>-1100.9777169654226</v>
      </c>
      <c r="AA39" s="8">
        <f t="shared" si="12"/>
        <v>5996.2348913760616</v>
      </c>
      <c r="AB39" s="8">
        <f t="shared" si="12"/>
        <v>43270.436814952714</v>
      </c>
      <c r="AC39" s="8">
        <f t="shared" si="12"/>
        <v>77463.952083142081</v>
      </c>
      <c r="AD39" s="8">
        <f t="shared" si="12"/>
        <v>42569.842511129638</v>
      </c>
      <c r="AE39" s="8">
        <f t="shared" si="12"/>
        <v>26347.806215546549</v>
      </c>
      <c r="AF39" s="8">
        <f t="shared" si="12"/>
        <v>6213.8876452816585</v>
      </c>
      <c r="AG39" s="8">
        <f t="shared" si="12"/>
        <v>-3652.8908486629607</v>
      </c>
      <c r="AH39" s="8">
        <f t="shared" si="12"/>
        <v>-4337.543436800659</v>
      </c>
      <c r="AI39" s="8">
        <f t="shared" si="12"/>
        <v>-3998.4187501472497</v>
      </c>
      <c r="AJ39" s="8">
        <f t="shared" si="12"/>
        <v>-3017.8717286816645</v>
      </c>
      <c r="AK39" s="8">
        <f t="shared" si="12"/>
        <v>48357.890202877505</v>
      </c>
      <c r="AL39" s="8">
        <f t="shared" si="12"/>
        <v>87994.874864642698</v>
      </c>
      <c r="AM39" s="8">
        <f t="shared" si="12"/>
        <v>-3145.5087741011994</v>
      </c>
      <c r="AN39" s="8">
        <f t="shared" si="12"/>
        <v>-8305.6465458238927</v>
      </c>
      <c r="AO39" s="8">
        <f t="shared" si="12"/>
        <v>-5891.4031266345228</v>
      </c>
      <c r="AP39" s="8">
        <f t="shared" si="12"/>
        <v>-5661.8586107997944</v>
      </c>
      <c r="AQ39" s="8">
        <f t="shared" si="12"/>
        <v>56374.483911371339</v>
      </c>
      <c r="AR39" s="8">
        <f t="shared" ref="AR39:BC39" si="13">SUM(AR10:AR11,AR19:AR21,AR30:AR31,AR36:AR37)</f>
        <v>10896.034083065955</v>
      </c>
      <c r="AS39" s="8">
        <f t="shared" si="13"/>
        <v>3464.683987458553</v>
      </c>
      <c r="AT39" s="8">
        <f t="shared" si="13"/>
        <v>2810.4439674073928</v>
      </c>
      <c r="AU39" s="8">
        <f t="shared" si="13"/>
        <v>2779.8507489401968</v>
      </c>
      <c r="AV39" s="8">
        <f t="shared" si="13"/>
        <v>2587.8982134004705</v>
      </c>
      <c r="AW39" s="8">
        <f t="shared" si="13"/>
        <v>2798.2209082127729</v>
      </c>
      <c r="AX39" s="8">
        <f t="shared" si="13"/>
        <v>2606.1069937870543</v>
      </c>
      <c r="AY39" s="8">
        <f t="shared" si="13"/>
        <v>2995.7821592345899</v>
      </c>
      <c r="AZ39" s="8">
        <f t="shared" si="13"/>
        <v>1169.5084570045206</v>
      </c>
      <c r="BA39" s="8">
        <f t="shared" si="13"/>
        <v>9597.5592083765805</v>
      </c>
      <c r="BB39" s="8">
        <f t="shared" si="13"/>
        <v>111.28092815479451</v>
      </c>
      <c r="BC39" s="8">
        <f t="shared" si="13"/>
        <v>233.23235088000001</v>
      </c>
      <c r="BE39" s="34" t="str">
        <f>B39</f>
        <v>PBT</v>
      </c>
      <c r="BF39" s="35">
        <v>534188.48402954743</v>
      </c>
      <c r="BG39" s="35">
        <f t="shared" ref="BG39:BK40" ca="1" si="14">SUMIF($E$4:$BC$4,BG$4,$E39:$BC39)</f>
        <v>0</v>
      </c>
      <c r="BH39" s="34">
        <f t="shared" ca="1" si="14"/>
        <v>0</v>
      </c>
      <c r="BI39" s="36">
        <f ca="1">SUMIF($E$4:$BC$4,BI$4,$E39:$BC39)</f>
        <v>0</v>
      </c>
      <c r="BJ39" s="36">
        <f t="shared" ca="1" si="14"/>
        <v>0</v>
      </c>
      <c r="BK39" s="36">
        <f t="shared" ca="1" si="14"/>
        <v>0</v>
      </c>
      <c r="BM39" s="8">
        <f ca="1">SUM(BG39:BK39)-SUM(E39:BC39)</f>
        <v>-554003.934911491</v>
      </c>
    </row>
    <row r="40" spans="1:65" x14ac:dyDescent="0.3">
      <c r="A40" s="8"/>
      <c r="B40" s="8" t="s">
        <v>1484</v>
      </c>
      <c r="C40" s="8"/>
      <c r="D40" s="9">
        <v>0.21</v>
      </c>
      <c r="E40" s="8">
        <f>$D$40*E39*-1</f>
        <v>-6572.2868246702892</v>
      </c>
      <c r="F40" s="8">
        <f t="shared" ref="F40:BC40" si="15">$D$40*F39*-1</f>
        <v>-3715.975714095664</v>
      </c>
      <c r="G40" s="8">
        <f t="shared" si="15"/>
        <v>1797.4582935537176</v>
      </c>
      <c r="H40" s="8">
        <f t="shared" si="15"/>
        <v>648.93258828485125</v>
      </c>
      <c r="I40" s="8">
        <f t="shared" si="15"/>
        <v>-1656.620379982681</v>
      </c>
      <c r="J40" s="8">
        <f t="shared" si="15"/>
        <v>-2025.4935608669925</v>
      </c>
      <c r="K40" s="8">
        <f t="shared" si="15"/>
        <v>-4036.0029933327614</v>
      </c>
      <c r="L40" s="8">
        <f t="shared" si="15"/>
        <v>-877.24742463517191</v>
      </c>
      <c r="M40" s="8">
        <f t="shared" si="15"/>
        <v>-772.31048967252661</v>
      </c>
      <c r="N40" s="8">
        <f t="shared" si="15"/>
        <v>-1602.5715827689542</v>
      </c>
      <c r="O40" s="8">
        <f t="shared" si="15"/>
        <v>-5033.1743931458886</v>
      </c>
      <c r="P40" s="8">
        <f t="shared" si="15"/>
        <v>-2011.0984763805054</v>
      </c>
      <c r="Q40" s="8">
        <f t="shared" si="15"/>
        <v>-3253.164457918881</v>
      </c>
      <c r="R40" s="8">
        <f t="shared" si="15"/>
        <v>-6.0325925024747447</v>
      </c>
      <c r="S40" s="8">
        <f t="shared" si="15"/>
        <v>907.11650183493521</v>
      </c>
      <c r="T40" s="8">
        <f t="shared" si="15"/>
        <v>-176.96361726864652</v>
      </c>
      <c r="U40" s="8">
        <f t="shared" si="15"/>
        <v>-229.15569550239519</v>
      </c>
      <c r="V40" s="8">
        <f t="shared" si="15"/>
        <v>67.804029103564133</v>
      </c>
      <c r="W40" s="8">
        <f t="shared" si="15"/>
        <v>-490.12932612244708</v>
      </c>
      <c r="X40" s="8">
        <f t="shared" si="15"/>
        <v>-2688.5785004774962</v>
      </c>
      <c r="Y40" s="8">
        <f t="shared" si="15"/>
        <v>-1134.4744772449201</v>
      </c>
      <c r="Z40" s="8">
        <f t="shared" si="15"/>
        <v>231.20532056273873</v>
      </c>
      <c r="AA40" s="8">
        <f t="shared" si="15"/>
        <v>-1259.2093271889728</v>
      </c>
      <c r="AB40" s="8">
        <f t="shared" si="15"/>
        <v>-9086.7917311400688</v>
      </c>
      <c r="AC40" s="8">
        <f t="shared" si="15"/>
        <v>-16267.429937459836</v>
      </c>
      <c r="AD40" s="8">
        <f t="shared" si="15"/>
        <v>-8939.6669273372245</v>
      </c>
      <c r="AE40" s="8">
        <f t="shared" si="15"/>
        <v>-5533.0393052647751</v>
      </c>
      <c r="AF40" s="8">
        <f t="shared" si="15"/>
        <v>-1304.9164055091483</v>
      </c>
      <c r="AG40" s="8">
        <f t="shared" si="15"/>
        <v>767.10707821922176</v>
      </c>
      <c r="AH40" s="8">
        <f t="shared" si="15"/>
        <v>910.88412172813833</v>
      </c>
      <c r="AI40" s="8">
        <f t="shared" si="15"/>
        <v>839.66793753092236</v>
      </c>
      <c r="AJ40" s="8">
        <f t="shared" si="15"/>
        <v>633.75306302314948</v>
      </c>
      <c r="AK40" s="8">
        <f t="shared" si="15"/>
        <v>-10155.156942604275</v>
      </c>
      <c r="AL40" s="8">
        <f t="shared" si="15"/>
        <v>-18478.923721574967</v>
      </c>
      <c r="AM40" s="8">
        <f t="shared" si="15"/>
        <v>660.55684256125187</v>
      </c>
      <c r="AN40" s="8">
        <f t="shared" si="15"/>
        <v>1744.1857746230173</v>
      </c>
      <c r="AO40" s="8">
        <f t="shared" si="15"/>
        <v>1237.1946565932496</v>
      </c>
      <c r="AP40" s="8">
        <f t="shared" si="15"/>
        <v>1188.9903082679568</v>
      </c>
      <c r="AQ40" s="8">
        <f t="shared" si="15"/>
        <v>-11838.64162138798</v>
      </c>
      <c r="AR40" s="8">
        <f t="shared" si="15"/>
        <v>-2288.1671574438506</v>
      </c>
      <c r="AS40" s="8">
        <f t="shared" si="15"/>
        <v>-727.5836373662961</v>
      </c>
      <c r="AT40" s="8">
        <f t="shared" si="15"/>
        <v>-590.19323315555243</v>
      </c>
      <c r="AU40" s="8">
        <f t="shared" si="15"/>
        <v>-583.76865727744132</v>
      </c>
      <c r="AV40" s="8">
        <f t="shared" si="15"/>
        <v>-543.45862481409881</v>
      </c>
      <c r="AW40" s="8">
        <f t="shared" si="15"/>
        <v>-587.62639072468232</v>
      </c>
      <c r="AX40" s="8">
        <f t="shared" si="15"/>
        <v>-547.28246869528141</v>
      </c>
      <c r="AY40" s="8">
        <f t="shared" si="15"/>
        <v>-629.11425343926385</v>
      </c>
      <c r="AZ40" s="8">
        <f t="shared" si="15"/>
        <v>-245.5967759709493</v>
      </c>
      <c r="BA40" s="8">
        <f>$D$40*BA39*-1</f>
        <v>-2015.4874337590818</v>
      </c>
      <c r="BB40" s="8">
        <f t="shared" si="15"/>
        <v>-23.368994912506846</v>
      </c>
      <c r="BC40" s="8">
        <f t="shared" si="15"/>
        <v>-48.978793684800003</v>
      </c>
      <c r="BE40" s="8" t="str">
        <f>B40</f>
        <v>Tax income / (expenses)</v>
      </c>
      <c r="BF40" s="16">
        <v>-107550</v>
      </c>
      <c r="BG40" s="16">
        <f t="shared" ca="1" si="14"/>
        <v>0</v>
      </c>
      <c r="BH40" s="8">
        <f t="shared" ca="1" si="14"/>
        <v>0</v>
      </c>
      <c r="BI40" s="17">
        <f t="shared" ca="1" si="14"/>
        <v>0</v>
      </c>
      <c r="BJ40" s="17">
        <f t="shared" ca="1" si="14"/>
        <v>0</v>
      </c>
      <c r="BK40" s="17">
        <f t="shared" ca="1" si="14"/>
        <v>0</v>
      </c>
      <c r="BM40" s="8">
        <f ca="1">SUM(BG40:BK40)-SUM(E40:BC40)</f>
        <v>116340.826331413</v>
      </c>
    </row>
    <row r="41" spans="1:65" x14ac:dyDescent="0.3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</row>
    <row r="42" spans="1:65" ht="15.6" x14ac:dyDescent="0.3">
      <c r="A42" s="8"/>
      <c r="B42" s="8" t="s">
        <v>1485</v>
      </c>
      <c r="C42" s="8"/>
      <c r="D42" s="8"/>
      <c r="E42" s="8">
        <f>SUM(E39:E40)</f>
        <v>24724.31710233109</v>
      </c>
      <c r="F42" s="8">
        <f t="shared" ref="F42:BC42" si="16">SUM(F39:F40)</f>
        <v>13979.146733978927</v>
      </c>
      <c r="G42" s="8">
        <f t="shared" si="16"/>
        <v>-6761.8669138449377</v>
      </c>
      <c r="H42" s="8">
        <f t="shared" si="16"/>
        <v>-2441.2225940239646</v>
      </c>
      <c r="I42" s="8">
        <f t="shared" si="16"/>
        <v>6232.0480961253243</v>
      </c>
      <c r="J42" s="8">
        <f t="shared" si="16"/>
        <v>7619.7138718329716</v>
      </c>
      <c r="K42" s="8">
        <f t="shared" si="16"/>
        <v>15183.05887968039</v>
      </c>
      <c r="L42" s="8">
        <f t="shared" si="16"/>
        <v>3300.1212641037419</v>
      </c>
      <c r="M42" s="8">
        <f t="shared" si="16"/>
        <v>2905.3585087680763</v>
      </c>
      <c r="N42" s="8">
        <f t="shared" si="16"/>
        <v>6028.7216685117801</v>
      </c>
      <c r="O42" s="8">
        <f t="shared" si="16"/>
        <v>18934.322717072631</v>
      </c>
      <c r="P42" s="8">
        <f t="shared" si="16"/>
        <v>7565.5609349552351</v>
      </c>
      <c r="Q42" s="8">
        <f t="shared" si="16"/>
        <v>12238.094865504363</v>
      </c>
      <c r="R42" s="8">
        <f t="shared" si="16"/>
        <v>22.694038461690706</v>
      </c>
      <c r="S42" s="8">
        <f t="shared" si="16"/>
        <v>-3412.4858878552327</v>
      </c>
      <c r="T42" s="8">
        <f t="shared" si="16"/>
        <v>665.72027448681308</v>
      </c>
      <c r="U42" s="8">
        <f t="shared" si="16"/>
        <v>862.06190212805814</v>
      </c>
      <c r="V42" s="8">
        <f t="shared" si="16"/>
        <v>-255.072299961027</v>
      </c>
      <c r="W42" s="8">
        <f t="shared" si="16"/>
        <v>1843.8198458892059</v>
      </c>
      <c r="X42" s="8">
        <f t="shared" si="16"/>
        <v>10114.176263701058</v>
      </c>
      <c r="Y42" s="8">
        <f t="shared" si="16"/>
        <v>4267.7849382070808</v>
      </c>
      <c r="Z42" s="8">
        <f t="shared" si="16"/>
        <v>-869.77239640268385</v>
      </c>
      <c r="AA42" s="8">
        <f t="shared" si="16"/>
        <v>4737.025564187089</v>
      </c>
      <c r="AB42" s="8">
        <f t="shared" si="16"/>
        <v>34183.645083812647</v>
      </c>
      <c r="AC42" s="8">
        <f t="shared" si="16"/>
        <v>61196.522145682247</v>
      </c>
      <c r="AD42" s="8">
        <f t="shared" si="16"/>
        <v>33630.175583792414</v>
      </c>
      <c r="AE42" s="8">
        <f t="shared" si="16"/>
        <v>20814.766910281774</v>
      </c>
      <c r="AF42" s="8">
        <f t="shared" si="16"/>
        <v>4908.9712397725107</v>
      </c>
      <c r="AG42" s="8">
        <f t="shared" si="16"/>
        <v>-2885.7837704437388</v>
      </c>
      <c r="AH42" s="8">
        <f t="shared" si="16"/>
        <v>-3426.6593150725207</v>
      </c>
      <c r="AI42" s="8">
        <f t="shared" si="16"/>
        <v>-3158.7508126163275</v>
      </c>
      <c r="AJ42" s="8">
        <f t="shared" si="16"/>
        <v>-2384.1186656585151</v>
      </c>
      <c r="AK42" s="8">
        <f t="shared" si="16"/>
        <v>38202.733260273228</v>
      </c>
      <c r="AL42" s="8">
        <f t="shared" si="16"/>
        <v>69515.951143067738</v>
      </c>
      <c r="AM42" s="8">
        <f t="shared" si="16"/>
        <v>-2484.9519315399475</v>
      </c>
      <c r="AN42" s="8">
        <f t="shared" si="16"/>
        <v>-6561.4607712008756</v>
      </c>
      <c r="AO42" s="8">
        <f t="shared" si="16"/>
        <v>-4654.2084700412734</v>
      </c>
      <c r="AP42" s="8">
        <f t="shared" si="16"/>
        <v>-4472.8683025318378</v>
      </c>
      <c r="AQ42" s="8">
        <f t="shared" si="16"/>
        <v>44535.84228998336</v>
      </c>
      <c r="AR42" s="8">
        <f t="shared" si="16"/>
        <v>8607.8669256221037</v>
      </c>
      <c r="AS42" s="8">
        <f t="shared" si="16"/>
        <v>2737.100350092257</v>
      </c>
      <c r="AT42" s="8">
        <f t="shared" si="16"/>
        <v>2220.2507342518402</v>
      </c>
      <c r="AU42" s="8">
        <f t="shared" si="16"/>
        <v>2196.0820916627554</v>
      </c>
      <c r="AV42" s="8">
        <f t="shared" si="16"/>
        <v>2044.4395885863717</v>
      </c>
      <c r="AW42" s="8">
        <f t="shared" si="16"/>
        <v>2210.5945174880908</v>
      </c>
      <c r="AX42" s="8">
        <f t="shared" si="16"/>
        <v>2058.824525091773</v>
      </c>
      <c r="AY42" s="8">
        <f t="shared" si="16"/>
        <v>2366.6679057953261</v>
      </c>
      <c r="AZ42" s="8">
        <f t="shared" si="16"/>
        <v>923.91168103357131</v>
      </c>
      <c r="BA42" s="8">
        <f t="shared" si="16"/>
        <v>7582.0717746174987</v>
      </c>
      <c r="BB42" s="8">
        <f t="shared" si="16"/>
        <v>87.91193324228766</v>
      </c>
      <c r="BC42" s="8">
        <f t="shared" si="16"/>
        <v>184.25355719520002</v>
      </c>
      <c r="BE42" s="34" t="str">
        <f>B42</f>
        <v>PAT</v>
      </c>
      <c r="BF42" s="35">
        <v>426638.48402954743</v>
      </c>
      <c r="BG42" s="35">
        <f ca="1">SUMIF($E$4:$BC$4,BG$4,$E42:$BC42)</f>
        <v>0</v>
      </c>
      <c r="BH42" s="34">
        <f ca="1">SUMIF($E$4:$BC$4,BH$4,$E42:$BC42)</f>
        <v>0</v>
      </c>
      <c r="BI42" s="36">
        <f ca="1">SUMIF($E$4:$BC$4,BI$4,$E42:$BC42)</f>
        <v>0</v>
      </c>
      <c r="BJ42" s="36">
        <f ca="1">SUMIF($E$4:$BC$4,BJ$4,$E42:$BC42)</f>
        <v>0</v>
      </c>
      <c r="BK42" s="36">
        <f ca="1">SUMIF($E$4:$BC$4,BK$4,$E42:$BC42)</f>
        <v>0</v>
      </c>
      <c r="BM42" s="8">
        <f ca="1">SUM(BG42:BK42)-SUM(E42:BC42)</f>
        <v>-437663.10858007765</v>
      </c>
    </row>
    <row r="43" spans="1:65" x14ac:dyDescent="0.3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</row>
    <row r="44" spans="1:65" x14ac:dyDescent="0.3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E44" s="8"/>
      <c r="BF44" s="16"/>
      <c r="BG44" s="16"/>
      <c r="BH44" s="8"/>
      <c r="BI44" s="17"/>
      <c r="BJ44" s="17"/>
      <c r="BK44" s="17"/>
      <c r="BM44" s="8"/>
    </row>
    <row r="45" spans="1:65" x14ac:dyDescent="0.3">
      <c r="A45" s="8"/>
      <c r="B45" s="8" t="s">
        <v>1486</v>
      </c>
      <c r="C45" s="8"/>
      <c r="D45" s="8"/>
      <c r="E45" s="8">
        <v>0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M45" s="8">
        <v>0</v>
      </c>
      <c r="N45" s="8">
        <v>0</v>
      </c>
      <c r="O45" s="8">
        <v>0</v>
      </c>
      <c r="P45" s="8">
        <v>0</v>
      </c>
      <c r="Q45" s="8">
        <v>0</v>
      </c>
      <c r="R45" s="8">
        <v>0</v>
      </c>
      <c r="S45" s="8">
        <v>0</v>
      </c>
      <c r="T45" s="8"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8">
        <v>0</v>
      </c>
      <c r="AC45" s="8">
        <v>0</v>
      </c>
      <c r="AD45" s="8">
        <v>0</v>
      </c>
      <c r="AE45" s="8">
        <v>0</v>
      </c>
      <c r="AF45" s="8">
        <v>0</v>
      </c>
      <c r="AG45" s="8">
        <v>0</v>
      </c>
      <c r="AH45" s="8">
        <v>0</v>
      </c>
      <c r="AI45" s="8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8">
        <v>0</v>
      </c>
      <c r="AS45" s="8">
        <v>0</v>
      </c>
      <c r="AT45" s="8">
        <v>0</v>
      </c>
      <c r="AU45" s="8">
        <v>0</v>
      </c>
      <c r="AV45" s="8">
        <v>0</v>
      </c>
      <c r="AW45" s="8">
        <v>0</v>
      </c>
      <c r="AX45" s="8">
        <v>0</v>
      </c>
      <c r="AY45" s="8">
        <v>0</v>
      </c>
      <c r="AZ45" s="8">
        <v>0</v>
      </c>
      <c r="BA45" s="8">
        <v>0</v>
      </c>
      <c r="BB45" s="8">
        <v>0</v>
      </c>
      <c r="BC45" s="8">
        <v>0</v>
      </c>
      <c r="BE45" s="8" t="str">
        <f>B45</f>
        <v>OutBalance Loans (principal + interest pay)</v>
      </c>
      <c r="BF45" s="16"/>
      <c r="BG45" s="16">
        <f ca="1">SUMIF($E$2:$BC$2,_xlfn.MAXIFS($E$2:$BC$2,$E$4:$BC$4,BG4),$E$45:$BC$45)</f>
        <v>0</v>
      </c>
      <c r="BH45" s="8">
        <f ca="1">SUMIF($E$2:$BC$2,_xlfn.MAXIFS($E$2:$BC$2,$E$4:$BC$4,BH4),$E$45:$BC$45)</f>
        <v>0</v>
      </c>
      <c r="BI45" s="17">
        <f ca="1">SUMIF($E$2:$BC$2,_xlfn.MAXIFS($E$2:$BC$2,$E$4:$BC$4,BI4),$E$45:$BC$45)</f>
        <v>0</v>
      </c>
      <c r="BJ45" s="17">
        <f ca="1">SUMIF($E$2:$BC$2,_xlfn.MAXIFS($E$2:$BC$2,$E$4:$BC$4,BJ4),$E$45:$BC$45)</f>
        <v>0</v>
      </c>
      <c r="BK45" s="17">
        <f ca="1">SUMIF($E$2:$BC$2,_xlfn.MAXIFS($E$2:$BC$2,$E$4:$BC$4,BK4),$E$45:$BC$45)</f>
        <v>0</v>
      </c>
    </row>
    <row r="46" spans="1:65" x14ac:dyDescent="0.3">
      <c r="A46" s="8"/>
      <c r="B46" s="37" t="s">
        <v>1487</v>
      </c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</row>
    <row r="47" spans="1:65" x14ac:dyDescent="0.3">
      <c r="A47" s="8"/>
      <c r="B47" s="8" t="s">
        <v>1488</v>
      </c>
      <c r="C47" s="8"/>
      <c r="D47" s="8"/>
      <c r="E47" s="8">
        <v>0</v>
      </c>
      <c r="F47" s="8">
        <v>0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8">
        <v>0</v>
      </c>
      <c r="AC47" s="8">
        <v>0</v>
      </c>
      <c r="AD47" s="8">
        <v>0</v>
      </c>
      <c r="AE47" s="8">
        <v>0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8">
        <v>0</v>
      </c>
      <c r="AS47" s="8">
        <v>0</v>
      </c>
      <c r="AT47" s="8">
        <v>0</v>
      </c>
      <c r="AU47" s="8">
        <v>0</v>
      </c>
      <c r="AV47" s="8">
        <v>0</v>
      </c>
      <c r="AW47" s="8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G47" s="38">
        <f ca="1">SUMIF($E$2:$BC$2,_xlfn.MAXIFS($E$2:$BC$2,$E$4:$BC$4,BG4),$E$47:$BC$47)</f>
        <v>0</v>
      </c>
      <c r="BH47" s="3">
        <f ca="1">SUMIF($E$2:$BC$2,_xlfn.MAXIFS($E$2:$BC$2,$E$4:$BC$4,BH4),$E$47:$BC$47)</f>
        <v>0</v>
      </c>
      <c r="BI47" s="39">
        <f ca="1">SUMIF($E$2:$BC$2,_xlfn.MAXIFS($E$2:$BC$2,$E$4:$BC$4,BI4),$E$47:$BC$47)</f>
        <v>0</v>
      </c>
      <c r="BJ47" s="39">
        <f ca="1">SUMIF($E$2:$BC$2,_xlfn.MAXIFS($E$2:$BC$2,$E$4:$BC$4,BJ4),$E$47:$BC$47)</f>
        <v>0</v>
      </c>
      <c r="BK47" s="39">
        <f ca="1">SUMIF($E$2:$BC$2,_xlfn.MAXIFS($E$2:$BC$2,$E$4:$BC$4,BK4),$E$47:$BC$47)</f>
        <v>0</v>
      </c>
    </row>
    <row r="48" spans="1:65" x14ac:dyDescent="0.3">
      <c r="A48" s="8"/>
      <c r="B48" s="8" t="s">
        <v>1489</v>
      </c>
      <c r="C48" s="8"/>
      <c r="D48" s="8"/>
      <c r="E48" s="8">
        <v>0</v>
      </c>
      <c r="F48" s="8">
        <v>0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8">
        <v>0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8">
        <v>0</v>
      </c>
      <c r="AT48" s="8">
        <v>0</v>
      </c>
      <c r="AU48" s="8">
        <v>0</v>
      </c>
      <c r="AV48" s="8">
        <v>0</v>
      </c>
      <c r="AW48" s="8">
        <v>0</v>
      </c>
      <c r="AX48" s="8">
        <v>0</v>
      </c>
      <c r="AY48" s="8">
        <v>0</v>
      </c>
      <c r="AZ48" s="8">
        <v>0</v>
      </c>
      <c r="BA48" s="8">
        <v>0</v>
      </c>
      <c r="BB48" s="8">
        <v>0</v>
      </c>
      <c r="BC48" s="8">
        <v>0</v>
      </c>
      <c r="BG48" s="38">
        <f ca="1">SUMIF($E$2:$BC$2,_xlfn.MAXIFS($E$2:$BC$2,$E$4:$BC$4,BG4),$E$48:$BC$48)</f>
        <v>0</v>
      </c>
      <c r="BH48" s="3">
        <f ca="1">SUMIF($E$2:$BC$2,_xlfn.MAXIFS($E$2:$BC$2,$E$4:$BC$4,BH4),$E$48:$BC$48)</f>
        <v>0</v>
      </c>
      <c r="BI48" s="39">
        <f ca="1">SUMIF($E$2:$BC$2,_xlfn.MAXIFS($E$2:$BC$2,$E$4:$BC$4,BI4),$E$48:$BC$48)</f>
        <v>0</v>
      </c>
      <c r="BJ48" s="39">
        <f ca="1">SUMIF($E$2:$BC$2,_xlfn.MAXIFS($E$2:$BC$2,$E$4:$BC$4,BJ4),$E$48:$BC$48)</f>
        <v>0</v>
      </c>
      <c r="BK48" s="39">
        <f ca="1">SUMIF($E$2:$BC$2,_xlfn.MAXIFS($E$2:$BC$2,$E$4:$BC$4,BK4),$E$48:$BC$48)</f>
        <v>0</v>
      </c>
    </row>
    <row r="49" spans="1:55" x14ac:dyDescent="0.3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</row>
    <row r="50" spans="1:55" x14ac:dyDescent="0.3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</row>
    <row r="51" spans="1:55" x14ac:dyDescent="0.3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</row>
    <row r="52" spans="1:55" x14ac:dyDescent="0.3">
      <c r="A52" s="8"/>
      <c r="B52" s="8" t="s">
        <v>1457</v>
      </c>
      <c r="C52" s="8"/>
      <c r="D52" s="8"/>
      <c r="E52" s="8">
        <f>E15+E12+E23+E33+E36+E37+E21-E39</f>
        <v>0</v>
      </c>
      <c r="F52" s="8">
        <f t="shared" ref="F52:AD52" si="17">F15+F12+F23+F33+F36+F37+F21-F39</f>
        <v>0</v>
      </c>
      <c r="G52" s="8">
        <f t="shared" si="17"/>
        <v>0</v>
      </c>
      <c r="H52" s="8">
        <f t="shared" si="17"/>
        <v>0</v>
      </c>
      <c r="I52" s="8">
        <f t="shared" si="17"/>
        <v>0</v>
      </c>
      <c r="J52" s="8">
        <f t="shared" si="17"/>
        <v>0</v>
      </c>
      <c r="K52" s="8">
        <f t="shared" si="17"/>
        <v>0</v>
      </c>
      <c r="L52" s="8">
        <f t="shared" si="17"/>
        <v>0</v>
      </c>
      <c r="M52" s="8">
        <f t="shared" si="17"/>
        <v>0</v>
      </c>
      <c r="N52" s="8">
        <f t="shared" si="17"/>
        <v>0</v>
      </c>
      <c r="O52" s="8">
        <f t="shared" si="17"/>
        <v>0</v>
      </c>
      <c r="P52" s="8">
        <f t="shared" si="17"/>
        <v>0</v>
      </c>
      <c r="Q52" s="8">
        <f t="shared" si="17"/>
        <v>0</v>
      </c>
      <c r="R52" s="8">
        <f t="shared" si="17"/>
        <v>-4.2064129956997931E-12</v>
      </c>
      <c r="S52" s="8">
        <f t="shared" si="17"/>
        <v>0</v>
      </c>
      <c r="T52" s="8">
        <f t="shared" si="17"/>
        <v>4.3200998334214091E-12</v>
      </c>
      <c r="U52" s="8">
        <f t="shared" si="17"/>
        <v>4.0927261579781771E-12</v>
      </c>
      <c r="V52" s="8">
        <f t="shared" si="17"/>
        <v>2.3305801732931286E-12</v>
      </c>
      <c r="W52" s="8">
        <f t="shared" si="17"/>
        <v>0</v>
      </c>
      <c r="X52" s="8">
        <f t="shared" si="17"/>
        <v>0</v>
      </c>
      <c r="Y52" s="8">
        <f t="shared" si="17"/>
        <v>0</v>
      </c>
      <c r="Z52" s="8">
        <f t="shared" si="17"/>
        <v>0</v>
      </c>
      <c r="AA52" s="8">
        <f t="shared" si="17"/>
        <v>0</v>
      </c>
      <c r="AB52" s="8">
        <f t="shared" si="17"/>
        <v>0</v>
      </c>
      <c r="AC52" s="8">
        <f t="shared" si="17"/>
        <v>0</v>
      </c>
      <c r="AD52" s="8">
        <f t="shared" si="17"/>
        <v>0</v>
      </c>
      <c r="AE52" s="8">
        <f t="shared" ref="AE52:BC52" si="18">AE15+AE23+AE33+AE36+AE37+AE21-AE39</f>
        <v>0</v>
      </c>
      <c r="AF52" s="8">
        <f t="shared" si="18"/>
        <v>0</v>
      </c>
      <c r="AG52" s="8">
        <f t="shared" si="18"/>
        <v>0</v>
      </c>
      <c r="AH52" s="8">
        <f t="shared" si="18"/>
        <v>0</v>
      </c>
      <c r="AI52" s="8">
        <f t="shared" si="18"/>
        <v>0</v>
      </c>
      <c r="AJ52" s="8">
        <f t="shared" si="18"/>
        <v>0</v>
      </c>
      <c r="AK52" s="8">
        <f t="shared" si="18"/>
        <v>0</v>
      </c>
      <c r="AL52" s="8">
        <f t="shared" si="18"/>
        <v>0</v>
      </c>
      <c r="AM52" s="8">
        <f t="shared" si="18"/>
        <v>0</v>
      </c>
      <c r="AN52" s="8">
        <f t="shared" si="18"/>
        <v>0</v>
      </c>
      <c r="AO52" s="8">
        <f t="shared" si="18"/>
        <v>0</v>
      </c>
      <c r="AP52" s="8">
        <f t="shared" si="18"/>
        <v>0</v>
      </c>
      <c r="AQ52" s="8">
        <f t="shared" si="18"/>
        <v>0</v>
      </c>
      <c r="AR52" s="8">
        <f t="shared" si="18"/>
        <v>0</v>
      </c>
      <c r="AS52" s="8">
        <f t="shared" si="18"/>
        <v>0</v>
      </c>
      <c r="AT52" s="8">
        <f t="shared" si="18"/>
        <v>0</v>
      </c>
      <c r="AU52" s="8">
        <f t="shared" si="18"/>
        <v>0</v>
      </c>
      <c r="AV52" s="8">
        <f t="shared" si="18"/>
        <v>0</v>
      </c>
      <c r="AW52" s="8">
        <f t="shared" si="18"/>
        <v>0</v>
      </c>
      <c r="AX52" s="8">
        <f t="shared" si="18"/>
        <v>0</v>
      </c>
      <c r="AY52" s="8">
        <f t="shared" si="18"/>
        <v>0</v>
      </c>
      <c r="AZ52" s="8">
        <f t="shared" si="18"/>
        <v>0</v>
      </c>
      <c r="BA52" s="8">
        <f t="shared" si="18"/>
        <v>0</v>
      </c>
      <c r="BB52" s="8">
        <f t="shared" si="18"/>
        <v>0</v>
      </c>
      <c r="BC52" s="8">
        <f t="shared" si="18"/>
        <v>0</v>
      </c>
    </row>
    <row r="53" spans="1:55" x14ac:dyDescent="0.3">
      <c r="A53" s="8"/>
      <c r="B53" s="8" t="s">
        <v>1457</v>
      </c>
      <c r="C53" s="8"/>
      <c r="D53" s="8"/>
      <c r="E53" s="8">
        <f>E16+E24+E37+E34-E39</f>
        <v>0</v>
      </c>
      <c r="F53" s="8">
        <f t="shared" ref="F53:BC53" si="19">F16+F24+F37+F34-F39</f>
        <v>0</v>
      </c>
      <c r="G53" s="8">
        <f t="shared" si="19"/>
        <v>0</v>
      </c>
      <c r="H53" s="8">
        <f t="shared" si="19"/>
        <v>0</v>
      </c>
      <c r="I53" s="8">
        <f t="shared" si="19"/>
        <v>1.2732925824820995E-11</v>
      </c>
      <c r="J53" s="8">
        <f t="shared" si="19"/>
        <v>0</v>
      </c>
      <c r="K53" s="8">
        <f t="shared" si="19"/>
        <v>0</v>
      </c>
      <c r="L53" s="8">
        <f t="shared" si="19"/>
        <v>7.2759576141834259E-12</v>
      </c>
      <c r="M53" s="8">
        <f t="shared" si="19"/>
        <v>5.4569682106375694E-12</v>
      </c>
      <c r="N53" s="8">
        <f t="shared" si="19"/>
        <v>-116.66666666665787</v>
      </c>
      <c r="O53" s="8">
        <f t="shared" si="19"/>
        <v>-116.66666666667516</v>
      </c>
      <c r="P53" s="8">
        <f t="shared" si="19"/>
        <v>-116.6666666666697</v>
      </c>
      <c r="Q53" s="8">
        <f t="shared" si="19"/>
        <v>-116.66666666664605</v>
      </c>
      <c r="R53" s="8">
        <f t="shared" si="19"/>
        <v>-116.66666666667305</v>
      </c>
      <c r="S53" s="8">
        <f t="shared" si="19"/>
        <v>-116.66666666665151</v>
      </c>
      <c r="T53" s="8">
        <f t="shared" si="19"/>
        <v>8676.0635066666782</v>
      </c>
      <c r="U53" s="8">
        <f t="shared" si="19"/>
        <v>8676.0635066666728</v>
      </c>
      <c r="V53" s="8">
        <f t="shared" si="19"/>
        <v>8676.0635066666655</v>
      </c>
      <c r="W53" s="8">
        <f t="shared" si="19"/>
        <v>8676.0635066666691</v>
      </c>
      <c r="X53" s="8">
        <f t="shared" si="19"/>
        <v>8676.0635066666728</v>
      </c>
      <c r="Y53" s="8">
        <f t="shared" si="19"/>
        <v>8676.0635066666709</v>
      </c>
      <c r="Z53" s="8">
        <f t="shared" si="19"/>
        <v>8676.0635066666691</v>
      </c>
      <c r="AA53" s="8">
        <f t="shared" si="19"/>
        <v>8676.06350666668</v>
      </c>
      <c r="AB53" s="8">
        <f t="shared" si="19"/>
        <v>8676.0635066666582</v>
      </c>
      <c r="AC53" s="8">
        <f t="shared" si="19"/>
        <v>8676.0635066666873</v>
      </c>
      <c r="AD53" s="8">
        <f t="shared" si="19"/>
        <v>8676.0635066666509</v>
      </c>
      <c r="AE53" s="8">
        <f t="shared" si="19"/>
        <v>8676.063506666691</v>
      </c>
      <c r="AF53" s="8">
        <f t="shared" si="19"/>
        <v>8676.0635066666764</v>
      </c>
      <c r="AG53" s="8">
        <f t="shared" si="19"/>
        <v>8676.0635066666728</v>
      </c>
      <c r="AH53" s="8">
        <f t="shared" si="19"/>
        <v>8676.0635066666691</v>
      </c>
      <c r="AI53" s="8">
        <f t="shared" si="19"/>
        <v>8676.0635066666691</v>
      </c>
      <c r="AJ53" s="8">
        <f t="shared" si="19"/>
        <v>8676.0635066666746</v>
      </c>
      <c r="AK53" s="8">
        <f t="shared" si="19"/>
        <v>8676.0635066666873</v>
      </c>
      <c r="AL53" s="8">
        <f t="shared" si="19"/>
        <v>8676.063506666731</v>
      </c>
      <c r="AM53" s="8">
        <f t="shared" si="19"/>
        <v>8676.0635066666709</v>
      </c>
      <c r="AN53" s="8">
        <f t="shared" si="19"/>
        <v>8676.0635066666691</v>
      </c>
      <c r="AO53" s="8">
        <f t="shared" si="19"/>
        <v>8676.0635066666728</v>
      </c>
      <c r="AP53" s="8">
        <f t="shared" si="19"/>
        <v>8676.0635066666782</v>
      </c>
      <c r="AQ53" s="8">
        <f t="shared" si="19"/>
        <v>8676.0635066667019</v>
      </c>
      <c r="AR53" s="8">
        <f t="shared" si="19"/>
        <v>-116.66666666666788</v>
      </c>
      <c r="AS53" s="8">
        <f t="shared" si="19"/>
        <v>-116.66666666666742</v>
      </c>
      <c r="AT53" s="8">
        <f t="shared" si="19"/>
        <v>-116.66666666666652</v>
      </c>
      <c r="AU53" s="8">
        <f t="shared" si="19"/>
        <v>-116.66666666666697</v>
      </c>
      <c r="AV53" s="8">
        <f t="shared" si="19"/>
        <v>-116.66666666666697</v>
      </c>
      <c r="AW53" s="8">
        <f t="shared" si="19"/>
        <v>-116.66666666666652</v>
      </c>
      <c r="AX53" s="8">
        <f t="shared" si="19"/>
        <v>0</v>
      </c>
      <c r="AY53" s="8">
        <f t="shared" si="19"/>
        <v>0</v>
      </c>
      <c r="AZ53" s="8">
        <f t="shared" si="19"/>
        <v>0</v>
      </c>
      <c r="BA53" s="8">
        <f t="shared" si="19"/>
        <v>0</v>
      </c>
      <c r="BB53" s="8">
        <f t="shared" si="19"/>
        <v>0</v>
      </c>
      <c r="BC53" s="8">
        <f t="shared" si="19"/>
        <v>0</v>
      </c>
    </row>
    <row r="54" spans="1:55" x14ac:dyDescent="0.3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</row>
    <row r="55" spans="1:55" x14ac:dyDescent="0.3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</row>
    <row r="56" spans="1:55" x14ac:dyDescent="0.3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</row>
    <row r="57" spans="1:55" x14ac:dyDescent="0.3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</row>
    <row r="58" spans="1:55" x14ac:dyDescent="0.3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</row>
    <row r="59" spans="1:55" x14ac:dyDescent="0.3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</row>
  </sheetData>
  <conditionalFormatting sqref="BM1:BM7 BM25:BM28 BM32 BM35 BM41 BM43 BM45:BM1048576">
    <cfRule type="expression" dxfId="20" priority="13">
      <formula>BM1&lt;&gt;0</formula>
    </cfRule>
  </conditionalFormatting>
  <conditionalFormatting sqref="E15:BC15">
    <cfRule type="cellIs" dxfId="19" priority="12" operator="lessThan">
      <formula>0</formula>
    </cfRule>
  </conditionalFormatting>
  <conditionalFormatting sqref="E16:BC16">
    <cfRule type="cellIs" dxfId="18" priority="11" operator="lessThan">
      <formula>0</formula>
    </cfRule>
  </conditionalFormatting>
  <conditionalFormatting sqref="E23:BC23">
    <cfRule type="cellIs" dxfId="17" priority="10" operator="lessThan">
      <formula>0</formula>
    </cfRule>
  </conditionalFormatting>
  <conditionalFormatting sqref="E24:BC24">
    <cfRule type="cellIs" dxfId="16" priority="9" operator="lessThan">
      <formula>0</formula>
    </cfRule>
  </conditionalFormatting>
  <conditionalFormatting sqref="E33:BC34">
    <cfRule type="cellIs" dxfId="15" priority="8" operator="lessThan">
      <formula>0</formula>
    </cfRule>
  </conditionalFormatting>
  <conditionalFormatting sqref="BG15:BK16">
    <cfRule type="cellIs" dxfId="14" priority="7" operator="lessThan">
      <formula>0</formula>
    </cfRule>
  </conditionalFormatting>
  <conditionalFormatting sqref="BG23:BK24">
    <cfRule type="cellIs" dxfId="13" priority="6" operator="lessThan">
      <formula>0</formula>
    </cfRule>
  </conditionalFormatting>
  <conditionalFormatting sqref="BG33:BK34">
    <cfRule type="cellIs" dxfId="12" priority="5" operator="lessThan">
      <formula>0</formula>
    </cfRule>
  </conditionalFormatting>
  <conditionalFormatting sqref="BG39:BK39">
    <cfRule type="cellIs" dxfId="11" priority="4" operator="lessThan">
      <formula>0</formula>
    </cfRule>
  </conditionalFormatting>
  <conditionalFormatting sqref="BG42:BK42">
    <cfRule type="cellIs" dxfId="10" priority="3" operator="lessThan">
      <formula>0</formula>
    </cfRule>
  </conditionalFormatting>
  <conditionalFormatting sqref="BG44:BK44">
    <cfRule type="cellIs" dxfId="9" priority="2" operator="lessThan">
      <formula>0</formula>
    </cfRule>
  </conditionalFormatting>
  <conditionalFormatting sqref="E52:BC53">
    <cfRule type="cellIs" dxfId="8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69</xdr:col>
                    <xdr:colOff>441960</xdr:colOff>
                    <xdr:row>4</xdr:row>
                    <xdr:rowOff>121920</xdr:rowOff>
                  </from>
                  <to>
                    <xdr:col>74</xdr:col>
                    <xdr:colOff>137160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69</xdr:col>
                    <xdr:colOff>419100</xdr:colOff>
                    <xdr:row>9</xdr:row>
                    <xdr:rowOff>106680</xdr:rowOff>
                  </from>
                  <to>
                    <xdr:col>74</xdr:col>
                    <xdr:colOff>137160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8A01-7639-40FE-BAF0-E8C89E8CC520}">
  <sheetPr codeName="Sheet4"/>
  <dimension ref="B1:FE251"/>
  <sheetViews>
    <sheetView zoomScale="70" zoomScaleNormal="70" workbookViewId="0">
      <pane xSplit="3" ySplit="23" topLeftCell="D89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RowHeight="14.4" outlineLevelRow="1" x14ac:dyDescent="0.3"/>
  <cols>
    <col min="2" max="2" width="46.33203125" bestFit="1" customWidth="1"/>
    <col min="3" max="3" width="13.33203125" customWidth="1"/>
    <col min="4" max="4" width="7.88671875" customWidth="1"/>
    <col min="5" max="5" width="16.109375" bestFit="1" customWidth="1"/>
    <col min="6" max="6" width="12.44140625" bestFit="1" customWidth="1"/>
    <col min="7" max="7" width="13.5546875" bestFit="1" customWidth="1"/>
    <col min="8" max="19" width="13.5546875" style="41" bestFit="1" customWidth="1"/>
    <col min="20" max="52" width="13.5546875" bestFit="1" customWidth="1"/>
    <col min="53" max="56" width="13.5546875" customWidth="1"/>
    <col min="58" max="60" width="10.109375" bestFit="1" customWidth="1"/>
    <col min="61" max="64" width="11.44140625" bestFit="1" customWidth="1"/>
    <col min="65" max="71" width="12.44140625" bestFit="1" customWidth="1"/>
    <col min="72" max="72" width="12.6640625" bestFit="1" customWidth="1"/>
  </cols>
  <sheetData>
    <row r="1" spans="2:161" x14ac:dyDescent="0.3">
      <c r="D1" t="s">
        <v>1454</v>
      </c>
      <c r="E1" s="1">
        <v>44927</v>
      </c>
      <c r="F1" s="1">
        <f>EOMONTH(E1,0)+1</f>
        <v>44958</v>
      </c>
      <c r="G1" s="1">
        <f t="shared" ref="G1:BC1" si="0">EOMONTH(F1,0)+1</f>
        <v>44986</v>
      </c>
      <c r="H1" s="40">
        <f t="shared" si="0"/>
        <v>45017</v>
      </c>
      <c r="I1" s="40">
        <f t="shared" si="0"/>
        <v>45047</v>
      </c>
      <c r="J1" s="40">
        <f t="shared" si="0"/>
        <v>45078</v>
      </c>
      <c r="K1" s="40">
        <f t="shared" si="0"/>
        <v>45108</v>
      </c>
      <c r="L1" s="40">
        <f t="shared" si="0"/>
        <v>45139</v>
      </c>
      <c r="M1" s="40">
        <f t="shared" si="0"/>
        <v>45170</v>
      </c>
      <c r="N1" s="40">
        <f t="shared" si="0"/>
        <v>45200</v>
      </c>
      <c r="O1" s="40">
        <f t="shared" si="0"/>
        <v>45231</v>
      </c>
      <c r="P1" s="40">
        <f t="shared" si="0"/>
        <v>45261</v>
      </c>
      <c r="Q1" s="40">
        <f t="shared" si="0"/>
        <v>45292</v>
      </c>
      <c r="R1" s="40">
        <f t="shared" si="0"/>
        <v>45323</v>
      </c>
      <c r="S1" s="40">
        <f t="shared" si="0"/>
        <v>45352</v>
      </c>
      <c r="T1" s="1">
        <f t="shared" si="0"/>
        <v>45383</v>
      </c>
      <c r="U1" s="1">
        <f t="shared" si="0"/>
        <v>45413</v>
      </c>
      <c r="V1" s="1">
        <f t="shared" si="0"/>
        <v>45444</v>
      </c>
      <c r="W1" s="1">
        <f t="shared" si="0"/>
        <v>45474</v>
      </c>
      <c r="X1" s="1">
        <f t="shared" si="0"/>
        <v>45505</v>
      </c>
      <c r="Y1" s="1">
        <f t="shared" si="0"/>
        <v>45536</v>
      </c>
      <c r="Z1" s="1">
        <f t="shared" si="0"/>
        <v>45566</v>
      </c>
      <c r="AA1" s="1">
        <f t="shared" si="0"/>
        <v>45597</v>
      </c>
      <c r="AB1" s="1">
        <f t="shared" si="0"/>
        <v>45627</v>
      </c>
      <c r="AC1" s="1">
        <f t="shared" si="0"/>
        <v>45658</v>
      </c>
      <c r="AD1" s="1">
        <f t="shared" si="0"/>
        <v>45689</v>
      </c>
      <c r="AE1" s="1">
        <f t="shared" si="0"/>
        <v>45717</v>
      </c>
      <c r="AF1" s="1">
        <f t="shared" si="0"/>
        <v>45748</v>
      </c>
      <c r="AG1" s="1">
        <f t="shared" si="0"/>
        <v>45778</v>
      </c>
      <c r="AH1" s="1">
        <f t="shared" si="0"/>
        <v>45809</v>
      </c>
      <c r="AI1" s="1">
        <f t="shared" si="0"/>
        <v>45839</v>
      </c>
      <c r="AJ1" s="1">
        <f t="shared" si="0"/>
        <v>45870</v>
      </c>
      <c r="AK1" s="1">
        <f t="shared" si="0"/>
        <v>45901</v>
      </c>
      <c r="AL1" s="1">
        <f t="shared" si="0"/>
        <v>45931</v>
      </c>
      <c r="AM1" s="1">
        <f t="shared" si="0"/>
        <v>45962</v>
      </c>
      <c r="AN1" s="1">
        <f t="shared" si="0"/>
        <v>45992</v>
      </c>
      <c r="AO1" s="1">
        <f t="shared" si="0"/>
        <v>46023</v>
      </c>
      <c r="AP1" s="1">
        <f t="shared" si="0"/>
        <v>46054</v>
      </c>
      <c r="AQ1" s="1">
        <f t="shared" si="0"/>
        <v>46082</v>
      </c>
      <c r="AR1" s="1">
        <f t="shared" si="0"/>
        <v>46113</v>
      </c>
      <c r="AS1" s="1">
        <f t="shared" si="0"/>
        <v>46143</v>
      </c>
      <c r="AT1" s="1">
        <f t="shared" si="0"/>
        <v>46174</v>
      </c>
      <c r="AU1" s="1">
        <f t="shared" si="0"/>
        <v>46204</v>
      </c>
      <c r="AV1" s="1">
        <f t="shared" si="0"/>
        <v>46235</v>
      </c>
      <c r="AW1" s="1">
        <f t="shared" si="0"/>
        <v>46266</v>
      </c>
      <c r="AX1" s="1">
        <f t="shared" si="0"/>
        <v>46296</v>
      </c>
      <c r="AY1" s="1">
        <f t="shared" si="0"/>
        <v>46327</v>
      </c>
      <c r="AZ1" s="1">
        <f t="shared" si="0"/>
        <v>46357</v>
      </c>
      <c r="BA1" s="1">
        <f t="shared" si="0"/>
        <v>46388</v>
      </c>
      <c r="BB1" s="1">
        <f t="shared" si="0"/>
        <v>46419</v>
      </c>
      <c r="BC1" s="1">
        <f t="shared" si="0"/>
        <v>46447</v>
      </c>
      <c r="BD1" s="1"/>
      <c r="BE1" s="1"/>
      <c r="BF1" s="1"/>
      <c r="BG1" s="1"/>
      <c r="BH1" s="1"/>
      <c r="BI1" s="1">
        <v>45017</v>
      </c>
      <c r="BJ1" s="1">
        <v>45047</v>
      </c>
      <c r="BK1" s="1">
        <v>45078</v>
      </c>
      <c r="BL1" s="1">
        <v>45108</v>
      </c>
      <c r="BM1" s="1">
        <v>45139</v>
      </c>
      <c r="BN1" s="1">
        <v>45170</v>
      </c>
      <c r="BO1" s="1">
        <v>45200</v>
      </c>
      <c r="BP1" s="1">
        <v>45231</v>
      </c>
      <c r="BQ1" s="1">
        <v>45261</v>
      </c>
      <c r="BR1" s="1">
        <v>45292</v>
      </c>
      <c r="BS1" s="1">
        <v>45323</v>
      </c>
      <c r="BT1" s="1">
        <v>45352</v>
      </c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</row>
    <row r="2" spans="2:161" x14ac:dyDescent="0.3">
      <c r="D2" t="s">
        <v>1455</v>
      </c>
      <c r="E2" s="1">
        <f>EOMONTH(E1,0)</f>
        <v>44957</v>
      </c>
      <c r="F2" s="1">
        <f t="shared" ref="F2:BC2" si="1">EOMONTH(F1,0)</f>
        <v>44985</v>
      </c>
      <c r="G2" s="1">
        <f t="shared" si="1"/>
        <v>45016</v>
      </c>
      <c r="H2" s="40">
        <f t="shared" si="1"/>
        <v>45046</v>
      </c>
      <c r="I2" s="40">
        <f t="shared" si="1"/>
        <v>45077</v>
      </c>
      <c r="J2" s="40">
        <f t="shared" si="1"/>
        <v>45107</v>
      </c>
      <c r="K2" s="40">
        <f t="shared" si="1"/>
        <v>45138</v>
      </c>
      <c r="L2" s="40">
        <f t="shared" si="1"/>
        <v>45169</v>
      </c>
      <c r="M2" s="40">
        <f t="shared" si="1"/>
        <v>45199</v>
      </c>
      <c r="N2" s="40">
        <f t="shared" si="1"/>
        <v>45230</v>
      </c>
      <c r="O2" s="40">
        <f t="shared" si="1"/>
        <v>45260</v>
      </c>
      <c r="P2" s="40">
        <f t="shared" si="1"/>
        <v>45291</v>
      </c>
      <c r="Q2" s="40">
        <f t="shared" si="1"/>
        <v>45322</v>
      </c>
      <c r="R2" s="40">
        <f t="shared" si="1"/>
        <v>45351</v>
      </c>
      <c r="S2" s="40">
        <f t="shared" si="1"/>
        <v>45382</v>
      </c>
      <c r="T2" s="1">
        <f t="shared" si="1"/>
        <v>45412</v>
      </c>
      <c r="U2" s="1">
        <f t="shared" si="1"/>
        <v>45443</v>
      </c>
      <c r="V2" s="1">
        <f t="shared" si="1"/>
        <v>45473</v>
      </c>
      <c r="W2" s="1">
        <f t="shared" si="1"/>
        <v>45504</v>
      </c>
      <c r="X2" s="1">
        <f t="shared" si="1"/>
        <v>45535</v>
      </c>
      <c r="Y2" s="1">
        <f t="shared" si="1"/>
        <v>45565</v>
      </c>
      <c r="Z2" s="1">
        <f t="shared" si="1"/>
        <v>45596</v>
      </c>
      <c r="AA2" s="1">
        <f t="shared" si="1"/>
        <v>45626</v>
      </c>
      <c r="AB2" s="1">
        <f t="shared" si="1"/>
        <v>45657</v>
      </c>
      <c r="AC2" s="1">
        <f t="shared" si="1"/>
        <v>45688</v>
      </c>
      <c r="AD2" s="1">
        <f t="shared" si="1"/>
        <v>45716</v>
      </c>
      <c r="AE2" s="1">
        <f t="shared" si="1"/>
        <v>45747</v>
      </c>
      <c r="AF2" s="1">
        <f t="shared" si="1"/>
        <v>45777</v>
      </c>
      <c r="AG2" s="1">
        <f t="shared" si="1"/>
        <v>45808</v>
      </c>
      <c r="AH2" s="1">
        <f t="shared" si="1"/>
        <v>45838</v>
      </c>
      <c r="AI2" s="1">
        <f t="shared" si="1"/>
        <v>45869</v>
      </c>
      <c r="AJ2" s="1">
        <f t="shared" si="1"/>
        <v>45900</v>
      </c>
      <c r="AK2" s="1">
        <f t="shared" si="1"/>
        <v>45930</v>
      </c>
      <c r="AL2" s="1">
        <f t="shared" si="1"/>
        <v>45961</v>
      </c>
      <c r="AM2" s="1">
        <f t="shared" si="1"/>
        <v>45991</v>
      </c>
      <c r="AN2" s="1">
        <f t="shared" si="1"/>
        <v>46022</v>
      </c>
      <c r="AO2" s="1">
        <f t="shared" si="1"/>
        <v>46053</v>
      </c>
      <c r="AP2" s="1">
        <f t="shared" si="1"/>
        <v>46081</v>
      </c>
      <c r="AQ2" s="1">
        <f t="shared" si="1"/>
        <v>46112</v>
      </c>
      <c r="AR2" s="1">
        <f t="shared" si="1"/>
        <v>46142</v>
      </c>
      <c r="AS2" s="1">
        <f t="shared" si="1"/>
        <v>46173</v>
      </c>
      <c r="AT2" s="1">
        <f t="shared" si="1"/>
        <v>46203</v>
      </c>
      <c r="AU2" s="1">
        <f t="shared" si="1"/>
        <v>46234</v>
      </c>
      <c r="AV2" s="1">
        <f t="shared" si="1"/>
        <v>46265</v>
      </c>
      <c r="AW2" s="1">
        <f t="shared" si="1"/>
        <v>46295</v>
      </c>
      <c r="AX2" s="1">
        <f t="shared" si="1"/>
        <v>46326</v>
      </c>
      <c r="AY2" s="1">
        <f t="shared" si="1"/>
        <v>46356</v>
      </c>
      <c r="AZ2" s="1">
        <f t="shared" si="1"/>
        <v>46387</v>
      </c>
      <c r="BA2" s="1">
        <f t="shared" si="1"/>
        <v>46418</v>
      </c>
      <c r="BB2" s="1">
        <f t="shared" si="1"/>
        <v>46446</v>
      </c>
      <c r="BC2" s="1">
        <f t="shared" si="1"/>
        <v>46477</v>
      </c>
      <c r="BD2" s="1"/>
      <c r="BE2" s="1"/>
      <c r="BF2" s="1"/>
      <c r="BG2" s="1"/>
      <c r="BH2" s="1"/>
      <c r="BI2" s="1">
        <v>45046</v>
      </c>
      <c r="BJ2" s="1">
        <v>45077</v>
      </c>
      <c r="BK2" s="1">
        <v>45107</v>
      </c>
      <c r="BL2" s="1">
        <v>45138</v>
      </c>
      <c r="BM2" s="1">
        <v>45169</v>
      </c>
      <c r="BN2" s="1">
        <v>45199</v>
      </c>
      <c r="BO2" s="1">
        <v>45230</v>
      </c>
      <c r="BP2" s="1">
        <v>45260</v>
      </c>
      <c r="BQ2" s="1">
        <v>45291</v>
      </c>
      <c r="BR2" s="1">
        <v>45322</v>
      </c>
      <c r="BS2" s="1">
        <v>45351</v>
      </c>
      <c r="BT2" s="1">
        <v>45382</v>
      </c>
    </row>
    <row r="3" spans="2:161" x14ac:dyDescent="0.3">
      <c r="D3" t="s">
        <v>1388</v>
      </c>
      <c r="E3" t="s">
        <v>1373</v>
      </c>
      <c r="F3" t="s">
        <v>1374</v>
      </c>
      <c r="G3" t="s">
        <v>1375</v>
      </c>
      <c r="H3" s="41" t="s">
        <v>1490</v>
      </c>
      <c r="I3" s="41" t="s">
        <v>1491</v>
      </c>
      <c r="J3" s="41" t="s">
        <v>1492</v>
      </c>
      <c r="K3" s="41" t="s">
        <v>1493</v>
      </c>
      <c r="L3" s="41" t="s">
        <v>1494</v>
      </c>
      <c r="M3" s="41" t="s">
        <v>1495</v>
      </c>
      <c r="N3" s="41" t="s">
        <v>1496</v>
      </c>
      <c r="O3" s="41" t="s">
        <v>1497</v>
      </c>
      <c r="P3" s="41" t="s">
        <v>1498</v>
      </c>
      <c r="Q3" s="41" t="s">
        <v>1499</v>
      </c>
      <c r="R3" s="41" t="s">
        <v>1500</v>
      </c>
      <c r="S3" s="41" t="s">
        <v>1501</v>
      </c>
      <c r="T3" t="s">
        <v>1502</v>
      </c>
      <c r="U3" t="s">
        <v>1503</v>
      </c>
      <c r="V3" t="s">
        <v>1504</v>
      </c>
      <c r="W3" t="s">
        <v>1505</v>
      </c>
      <c r="X3" t="s">
        <v>1506</v>
      </c>
      <c r="Y3" t="s">
        <v>1507</v>
      </c>
      <c r="Z3" t="s">
        <v>1508</v>
      </c>
      <c r="AA3" t="s">
        <v>1509</v>
      </c>
      <c r="AB3" t="s">
        <v>1510</v>
      </c>
      <c r="AC3" t="s">
        <v>1511</v>
      </c>
      <c r="AD3" t="s">
        <v>1512</v>
      </c>
      <c r="AE3" t="s">
        <v>1513</v>
      </c>
      <c r="AF3" t="s">
        <v>1514</v>
      </c>
      <c r="AG3" t="s">
        <v>1515</v>
      </c>
      <c r="AH3" t="s">
        <v>1516</v>
      </c>
      <c r="AI3" t="s">
        <v>1517</v>
      </c>
      <c r="AJ3" t="s">
        <v>1518</v>
      </c>
      <c r="AK3" t="s">
        <v>1519</v>
      </c>
      <c r="AL3" t="s">
        <v>1520</v>
      </c>
      <c r="AM3" t="s">
        <v>1521</v>
      </c>
      <c r="AN3" t="s">
        <v>1522</v>
      </c>
      <c r="AO3" t="s">
        <v>1523</v>
      </c>
      <c r="AP3" t="s">
        <v>1524</v>
      </c>
      <c r="AQ3" t="s">
        <v>1525</v>
      </c>
      <c r="AR3" t="s">
        <v>1526</v>
      </c>
      <c r="AS3" t="s">
        <v>1527</v>
      </c>
      <c r="AT3" t="s">
        <v>1528</v>
      </c>
      <c r="AU3" t="s">
        <v>1529</v>
      </c>
      <c r="AV3" t="s">
        <v>1530</v>
      </c>
      <c r="AW3" t="s">
        <v>1531</v>
      </c>
      <c r="AX3" t="s">
        <v>1532</v>
      </c>
      <c r="AY3" t="s">
        <v>1533</v>
      </c>
      <c r="AZ3" t="s">
        <v>1534</v>
      </c>
      <c r="BA3" t="s">
        <v>1535</v>
      </c>
      <c r="BB3" t="s">
        <v>1536</v>
      </c>
      <c r="BC3" t="s">
        <v>1537</v>
      </c>
      <c r="BI3" t="s">
        <v>1490</v>
      </c>
      <c r="BJ3" t="s">
        <v>1491</v>
      </c>
      <c r="BK3" t="s">
        <v>1492</v>
      </c>
      <c r="BL3" t="s">
        <v>1493</v>
      </c>
      <c r="BM3" t="s">
        <v>1494</v>
      </c>
      <c r="BN3" t="s">
        <v>1495</v>
      </c>
      <c r="BO3" t="s">
        <v>1496</v>
      </c>
      <c r="BP3" t="s">
        <v>1497</v>
      </c>
      <c r="BQ3" t="s">
        <v>1498</v>
      </c>
      <c r="BR3" t="s">
        <v>1499</v>
      </c>
      <c r="BS3" t="s">
        <v>1500</v>
      </c>
      <c r="BT3" t="s">
        <v>1501</v>
      </c>
    </row>
    <row r="4" spans="2:161" x14ac:dyDescent="0.3">
      <c r="D4" t="s">
        <v>1372</v>
      </c>
      <c r="E4" t="s">
        <v>1538</v>
      </c>
      <c r="F4" t="s">
        <v>1538</v>
      </c>
      <c r="G4" t="s">
        <v>1538</v>
      </c>
      <c r="H4" s="41" t="s">
        <v>1539</v>
      </c>
      <c r="I4" s="41" t="s">
        <v>1539</v>
      </c>
      <c r="J4" s="41" t="s">
        <v>1539</v>
      </c>
      <c r="K4" s="41" t="s">
        <v>1539</v>
      </c>
      <c r="L4" s="41" t="s">
        <v>1539</v>
      </c>
      <c r="M4" s="41" t="s">
        <v>1539</v>
      </c>
      <c r="N4" s="41" t="s">
        <v>1539</v>
      </c>
      <c r="O4" s="41" t="s">
        <v>1539</v>
      </c>
      <c r="P4" s="41" t="s">
        <v>1539</v>
      </c>
      <c r="Q4" s="41" t="s">
        <v>1539</v>
      </c>
      <c r="R4" s="41" t="s">
        <v>1539</v>
      </c>
      <c r="S4" s="41" t="s">
        <v>1539</v>
      </c>
      <c r="T4" t="s">
        <v>1540</v>
      </c>
      <c r="U4" t="s">
        <v>1540</v>
      </c>
      <c r="V4" t="s">
        <v>1540</v>
      </c>
      <c r="W4" t="s">
        <v>1540</v>
      </c>
      <c r="X4" t="s">
        <v>1540</v>
      </c>
      <c r="Y4" t="s">
        <v>1540</v>
      </c>
      <c r="Z4" t="s">
        <v>1540</v>
      </c>
      <c r="AA4" t="s">
        <v>1540</v>
      </c>
      <c r="AB4" t="s">
        <v>1540</v>
      </c>
      <c r="AC4" t="s">
        <v>1540</v>
      </c>
      <c r="AD4" t="s">
        <v>1540</v>
      </c>
      <c r="AE4" t="s">
        <v>1540</v>
      </c>
      <c r="AF4" t="s">
        <v>1541</v>
      </c>
      <c r="AG4" t="s">
        <v>1541</v>
      </c>
      <c r="AH4" t="s">
        <v>1541</v>
      </c>
      <c r="AI4" t="s">
        <v>1541</v>
      </c>
      <c r="AJ4" t="s">
        <v>1541</v>
      </c>
      <c r="AK4" t="s">
        <v>1541</v>
      </c>
      <c r="AL4" t="s">
        <v>1541</v>
      </c>
      <c r="AM4" t="s">
        <v>1541</v>
      </c>
      <c r="AN4" t="s">
        <v>1541</v>
      </c>
      <c r="AO4" t="s">
        <v>1541</v>
      </c>
      <c r="AP4" t="s">
        <v>1541</v>
      </c>
      <c r="AQ4" t="s">
        <v>1541</v>
      </c>
      <c r="AR4" t="s">
        <v>1542</v>
      </c>
      <c r="AS4" t="s">
        <v>1542</v>
      </c>
      <c r="AT4" t="s">
        <v>1542</v>
      </c>
      <c r="AU4" t="s">
        <v>1542</v>
      </c>
      <c r="AV4" t="s">
        <v>1542</v>
      </c>
      <c r="AW4" t="s">
        <v>1542</v>
      </c>
      <c r="AX4" t="s">
        <v>1542</v>
      </c>
      <c r="AY4" t="s">
        <v>1542</v>
      </c>
      <c r="AZ4" t="s">
        <v>1542</v>
      </c>
      <c r="BA4" t="s">
        <v>1542</v>
      </c>
      <c r="BB4" t="s">
        <v>1542</v>
      </c>
      <c r="BC4" t="s">
        <v>1542</v>
      </c>
      <c r="BI4" t="s">
        <v>1539</v>
      </c>
      <c r="BJ4" t="s">
        <v>1539</v>
      </c>
      <c r="BK4" t="s">
        <v>1539</v>
      </c>
      <c r="BL4" t="s">
        <v>1539</v>
      </c>
      <c r="BM4" t="s">
        <v>1539</v>
      </c>
      <c r="BN4" t="s">
        <v>1539</v>
      </c>
      <c r="BO4" t="s">
        <v>1539</v>
      </c>
      <c r="BP4" t="s">
        <v>1539</v>
      </c>
      <c r="BQ4" t="s">
        <v>1539</v>
      </c>
      <c r="BR4" t="s">
        <v>1539</v>
      </c>
      <c r="BS4" t="s">
        <v>1539</v>
      </c>
      <c r="BT4" t="s">
        <v>1539</v>
      </c>
    </row>
    <row r="5" spans="2:161" x14ac:dyDescent="0.3">
      <c r="D5" t="s">
        <v>1458</v>
      </c>
      <c r="E5">
        <v>2023</v>
      </c>
      <c r="F5">
        <v>2023</v>
      </c>
      <c r="G5">
        <v>2023</v>
      </c>
      <c r="H5" s="41">
        <v>2023</v>
      </c>
      <c r="I5" s="41">
        <v>2023</v>
      </c>
      <c r="J5" s="41">
        <v>2023</v>
      </c>
      <c r="K5" s="41">
        <v>2023</v>
      </c>
      <c r="L5" s="41">
        <v>2023</v>
      </c>
      <c r="M5" s="41">
        <v>2023</v>
      </c>
      <c r="N5" s="41">
        <v>2023</v>
      </c>
      <c r="O5" s="41">
        <v>2023</v>
      </c>
      <c r="P5" s="41">
        <v>2023</v>
      </c>
      <c r="Q5" s="41">
        <v>2024</v>
      </c>
      <c r="R5" s="41">
        <v>2024</v>
      </c>
      <c r="S5" s="41">
        <v>2024</v>
      </c>
      <c r="T5">
        <v>2024</v>
      </c>
      <c r="U5">
        <v>2024</v>
      </c>
      <c r="V5">
        <v>2024</v>
      </c>
      <c r="W5">
        <v>2024</v>
      </c>
      <c r="X5">
        <v>2024</v>
      </c>
      <c r="Y5">
        <v>2024</v>
      </c>
      <c r="Z5">
        <v>2024</v>
      </c>
      <c r="AA5">
        <v>2024</v>
      </c>
      <c r="AB5">
        <v>2024</v>
      </c>
      <c r="AC5">
        <v>2025</v>
      </c>
      <c r="AD5">
        <v>2025</v>
      </c>
      <c r="AE5">
        <v>2025</v>
      </c>
      <c r="AF5">
        <v>2025</v>
      </c>
      <c r="AG5">
        <v>2025</v>
      </c>
      <c r="AH5">
        <v>2025</v>
      </c>
      <c r="AI5">
        <v>2025</v>
      </c>
      <c r="AJ5">
        <v>2025</v>
      </c>
      <c r="AK5">
        <v>2025</v>
      </c>
      <c r="AL5">
        <v>2025</v>
      </c>
      <c r="AM5">
        <v>2025</v>
      </c>
      <c r="AN5">
        <v>2025</v>
      </c>
      <c r="AO5">
        <v>2026</v>
      </c>
      <c r="AP5">
        <v>2026</v>
      </c>
      <c r="AQ5">
        <v>2026</v>
      </c>
      <c r="AR5">
        <v>2026</v>
      </c>
      <c r="AS5">
        <v>2026</v>
      </c>
      <c r="AT5">
        <v>2026</v>
      </c>
      <c r="AU5">
        <v>2026</v>
      </c>
      <c r="AV5">
        <v>2026</v>
      </c>
      <c r="AW5">
        <v>2026</v>
      </c>
      <c r="AX5">
        <v>2026</v>
      </c>
      <c r="AY5">
        <v>2026</v>
      </c>
      <c r="AZ5">
        <v>2026</v>
      </c>
      <c r="BA5">
        <v>2027</v>
      </c>
      <c r="BB5">
        <v>2027</v>
      </c>
      <c r="BC5">
        <v>2027</v>
      </c>
      <c r="BI5">
        <v>2023</v>
      </c>
      <c r="BJ5">
        <v>2023</v>
      </c>
      <c r="BK5">
        <v>2023</v>
      </c>
      <c r="BL5">
        <v>2023</v>
      </c>
      <c r="BM5">
        <v>2023</v>
      </c>
      <c r="BN5">
        <v>2023</v>
      </c>
      <c r="BO5">
        <v>2023</v>
      </c>
      <c r="BP5">
        <v>2023</v>
      </c>
      <c r="BQ5">
        <v>2023</v>
      </c>
      <c r="BR5">
        <v>2024</v>
      </c>
      <c r="BS5">
        <v>2024</v>
      </c>
      <c r="BT5">
        <v>2024</v>
      </c>
    </row>
    <row r="7" spans="2:161" hidden="1" outlineLevel="1" x14ac:dyDescent="0.3">
      <c r="B7" t="s">
        <v>1544</v>
      </c>
      <c r="C7" t="s">
        <v>1545</v>
      </c>
      <c r="E7" s="3">
        <v>0</v>
      </c>
      <c r="F7" s="3">
        <v>0</v>
      </c>
      <c r="G7" s="3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v>0</v>
      </c>
      <c r="Q7" s="42">
        <v>0</v>
      </c>
      <c r="R7" s="42">
        <v>0</v>
      </c>
      <c r="S7" s="42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/>
    </row>
    <row r="8" spans="2:161" hidden="1" outlineLevel="1" x14ac:dyDescent="0.3">
      <c r="B8" t="s">
        <v>1544</v>
      </c>
      <c r="C8" t="s">
        <v>1546</v>
      </c>
      <c r="E8" s="3">
        <v>0</v>
      </c>
      <c r="F8" s="3">
        <v>0</v>
      </c>
      <c r="G8" s="3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  <c r="O8" s="42">
        <v>0</v>
      </c>
      <c r="P8" s="42">
        <v>0</v>
      </c>
      <c r="Q8" s="42">
        <v>0</v>
      </c>
      <c r="R8" s="42">
        <v>0</v>
      </c>
      <c r="S8" s="42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/>
    </row>
    <row r="9" spans="2:161" hidden="1" outlineLevel="1" x14ac:dyDescent="0.3">
      <c r="B9" t="s">
        <v>1544</v>
      </c>
      <c r="C9" t="s">
        <v>1547</v>
      </c>
      <c r="E9" s="3">
        <v>0</v>
      </c>
      <c r="F9" s="3">
        <v>0</v>
      </c>
      <c r="G9" s="3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  <c r="O9" s="42">
        <v>0</v>
      </c>
      <c r="P9" s="42">
        <v>0</v>
      </c>
      <c r="Q9" s="42">
        <v>0</v>
      </c>
      <c r="R9" s="42">
        <v>0</v>
      </c>
      <c r="S9" s="42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/>
    </row>
    <row r="10" spans="2:161" hidden="1" outlineLevel="1" x14ac:dyDescent="0.3">
      <c r="B10" t="s">
        <v>1544</v>
      </c>
      <c r="C10" t="s">
        <v>1548</v>
      </c>
      <c r="E10" s="3">
        <v>0</v>
      </c>
      <c r="F10" s="3">
        <v>0</v>
      </c>
      <c r="G10" s="3">
        <v>0</v>
      </c>
      <c r="H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2">
        <v>0</v>
      </c>
      <c r="Q10" s="42">
        <v>0</v>
      </c>
      <c r="R10" s="42">
        <v>0</v>
      </c>
      <c r="S10" s="42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/>
    </row>
    <row r="11" spans="2:161" hidden="1" outlineLevel="1" x14ac:dyDescent="0.3">
      <c r="B11" t="s">
        <v>1544</v>
      </c>
      <c r="C11" t="s">
        <v>1549</v>
      </c>
      <c r="E11" s="3">
        <v>0</v>
      </c>
      <c r="F11" s="3">
        <v>0</v>
      </c>
      <c r="G11" s="3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  <c r="O11" s="42">
        <v>0</v>
      </c>
      <c r="P11" s="42">
        <v>0</v>
      </c>
      <c r="Q11" s="42">
        <v>0</v>
      </c>
      <c r="R11" s="42">
        <v>0</v>
      </c>
      <c r="S11" s="42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/>
    </row>
    <row r="12" spans="2:161" hidden="1" outlineLevel="1" x14ac:dyDescent="0.3">
      <c r="E12" s="3"/>
      <c r="F12" s="3"/>
      <c r="G12" s="3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2:161" hidden="1" outlineLevel="1" x14ac:dyDescent="0.3">
      <c r="B13" t="s">
        <v>1550</v>
      </c>
      <c r="C13" t="s">
        <v>1545</v>
      </c>
      <c r="E13" s="3">
        <v>0</v>
      </c>
      <c r="F13" s="3">
        <v>0</v>
      </c>
      <c r="G13" s="3">
        <v>0</v>
      </c>
      <c r="H13" s="42">
        <v>0</v>
      </c>
      <c r="I13" s="42">
        <v>0</v>
      </c>
      <c r="J13" s="42">
        <v>0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S13" s="42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/>
    </row>
    <row r="14" spans="2:161" hidden="1" outlineLevel="1" x14ac:dyDescent="0.3">
      <c r="B14" t="s">
        <v>1550</v>
      </c>
      <c r="C14" t="s">
        <v>1546</v>
      </c>
      <c r="E14" s="3">
        <v>0</v>
      </c>
      <c r="F14" s="3">
        <v>0</v>
      </c>
      <c r="G14" s="3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v>0</v>
      </c>
      <c r="Q14" s="42">
        <v>0</v>
      </c>
      <c r="R14" s="42">
        <v>0</v>
      </c>
      <c r="S14" s="42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/>
    </row>
    <row r="15" spans="2:161" hidden="1" outlineLevel="1" x14ac:dyDescent="0.3">
      <c r="B15" t="s">
        <v>1550</v>
      </c>
      <c r="C15" t="s">
        <v>1547</v>
      </c>
      <c r="E15" s="3">
        <v>0</v>
      </c>
      <c r="F15" s="3">
        <v>0</v>
      </c>
      <c r="G15" s="3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v>0</v>
      </c>
      <c r="Q15" s="42">
        <v>0</v>
      </c>
      <c r="R15" s="42">
        <v>0</v>
      </c>
      <c r="S15" s="42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/>
    </row>
    <row r="16" spans="2:161" hidden="1" outlineLevel="1" x14ac:dyDescent="0.3">
      <c r="B16" t="s">
        <v>1550</v>
      </c>
      <c r="C16" t="s">
        <v>1548</v>
      </c>
      <c r="E16" s="3">
        <v>0</v>
      </c>
      <c r="F16" s="3">
        <v>0</v>
      </c>
      <c r="G16" s="3">
        <v>0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v>0</v>
      </c>
      <c r="Q16" s="42">
        <v>0</v>
      </c>
      <c r="R16" s="42">
        <v>0</v>
      </c>
      <c r="S16" s="42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/>
    </row>
    <row r="17" spans="2:72" hidden="1" outlineLevel="1" x14ac:dyDescent="0.3">
      <c r="B17" t="s">
        <v>1550</v>
      </c>
      <c r="C17" t="s">
        <v>1549</v>
      </c>
      <c r="E17" s="3">
        <v>0</v>
      </c>
      <c r="F17" s="3">
        <v>0</v>
      </c>
      <c r="G17" s="3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v>0</v>
      </c>
      <c r="Q17" s="42">
        <v>0</v>
      </c>
      <c r="R17" s="42">
        <v>0</v>
      </c>
      <c r="S17" s="42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/>
    </row>
    <row r="18" spans="2:72" hidden="1" outlineLevel="1" x14ac:dyDescent="0.3">
      <c r="E18" s="3"/>
      <c r="F18" s="3"/>
      <c r="G18" s="3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</row>
    <row r="19" spans="2:72" hidden="1" outlineLevel="1" x14ac:dyDescent="0.3">
      <c r="B19" t="s">
        <v>1476</v>
      </c>
      <c r="C19" t="s">
        <v>1545</v>
      </c>
      <c r="E19" s="3">
        <v>0</v>
      </c>
      <c r="F19" s="3">
        <v>0</v>
      </c>
      <c r="G19" s="3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/>
    </row>
    <row r="20" spans="2:72" hidden="1" outlineLevel="1" x14ac:dyDescent="0.3">
      <c r="B20" t="s">
        <v>1476</v>
      </c>
      <c r="C20" t="s">
        <v>1546</v>
      </c>
      <c r="E20" s="3">
        <v>0</v>
      </c>
      <c r="F20" s="3">
        <v>0</v>
      </c>
      <c r="G20" s="3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/>
    </row>
    <row r="21" spans="2:72" hidden="1" outlineLevel="1" x14ac:dyDescent="0.3">
      <c r="B21" t="s">
        <v>1476</v>
      </c>
      <c r="C21" t="s">
        <v>1547</v>
      </c>
      <c r="E21" s="3">
        <v>0</v>
      </c>
      <c r="F21" s="3">
        <v>0</v>
      </c>
      <c r="G21" s="3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S21" s="42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/>
    </row>
    <row r="22" spans="2:72" hidden="1" outlineLevel="1" x14ac:dyDescent="0.3">
      <c r="B22" t="s">
        <v>1476</v>
      </c>
      <c r="C22" t="s">
        <v>1548</v>
      </c>
      <c r="E22" s="3">
        <v>0</v>
      </c>
      <c r="F22" s="3">
        <v>0</v>
      </c>
      <c r="G22" s="3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v>0</v>
      </c>
      <c r="Q22" s="42">
        <v>0</v>
      </c>
      <c r="R22" s="42">
        <v>0</v>
      </c>
      <c r="S22" s="42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/>
    </row>
    <row r="23" spans="2:72" hidden="1" outlineLevel="1" x14ac:dyDescent="0.3">
      <c r="B23" t="s">
        <v>1476</v>
      </c>
      <c r="C23" t="s">
        <v>1549</v>
      </c>
      <c r="E23" s="3">
        <v>0</v>
      </c>
      <c r="F23" s="3">
        <v>0</v>
      </c>
      <c r="G23" s="3">
        <v>0</v>
      </c>
      <c r="H23" s="42">
        <v>0</v>
      </c>
      <c r="I23" s="42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/>
    </row>
    <row r="24" spans="2:72" collapsed="1" x14ac:dyDescent="0.3">
      <c r="E24" s="3"/>
      <c r="F24" s="3"/>
      <c r="G24" s="3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</row>
    <row r="25" spans="2:72" x14ac:dyDescent="0.3">
      <c r="E25" s="43"/>
      <c r="F25" s="3"/>
      <c r="G25" s="3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</row>
    <row r="26" spans="2:72" x14ac:dyDescent="0.3">
      <c r="B26" t="s">
        <v>1551</v>
      </c>
      <c r="E26" s="3">
        <f>-SUM($E19:E23)+SUM($E13:E17)</f>
        <v>0</v>
      </c>
      <c r="F26" s="3">
        <f>-SUM($E19:F23)+SUM($E13:F17)</f>
        <v>0</v>
      </c>
      <c r="G26" s="3">
        <f>-SUM($E19:G23)+SUM($E13:G17)</f>
        <v>0</v>
      </c>
      <c r="H26" s="42">
        <f>-SUM($E19:H23)+SUM($E13:H17)</f>
        <v>0</v>
      </c>
      <c r="I26" s="42">
        <f>-SUM($E19:I23)+SUM($E13:I17)</f>
        <v>0</v>
      </c>
      <c r="J26" s="42">
        <f>-SUM($E19:J23)+SUM($E13:J17)</f>
        <v>0</v>
      </c>
      <c r="K26" s="42">
        <f>-SUM($E19:K23)+SUM($E13:K17)</f>
        <v>0</v>
      </c>
      <c r="L26" s="42">
        <f>-SUM($E19:L23)+SUM($E13:L17)</f>
        <v>0</v>
      </c>
      <c r="M26" s="42">
        <f>-SUM($E19:M23)+SUM($E13:M17)</f>
        <v>0</v>
      </c>
      <c r="N26" s="42">
        <f>-SUM($E19:N23)+SUM($E13:N17)</f>
        <v>0</v>
      </c>
      <c r="O26" s="42">
        <f>-SUM($E19:O23)+SUM($E13:O17)</f>
        <v>0</v>
      </c>
      <c r="P26" s="42">
        <f>-SUM($E19:P23)+SUM($E13:P17)</f>
        <v>0</v>
      </c>
      <c r="Q26" s="42">
        <f>-SUM($E19:Q23)+SUM($E13:Q17)</f>
        <v>0</v>
      </c>
      <c r="R26" s="42">
        <f>-SUM($E19:R23)+SUM($E13:R17)</f>
        <v>0</v>
      </c>
      <c r="S26" s="42">
        <f>-SUM($E19:S23)+SUM($E13:S17)</f>
        <v>0</v>
      </c>
      <c r="T26" s="3">
        <f>-SUM($E19:T23)+SUM($E13:T17)</f>
        <v>0</v>
      </c>
      <c r="U26" s="3">
        <f>-SUM($E19:U23)+SUM($E13:U17)</f>
        <v>0</v>
      </c>
      <c r="V26" s="3">
        <f>-SUM($E19:V23)+SUM($E13:V17)</f>
        <v>0</v>
      </c>
      <c r="W26" s="3">
        <f>-SUM($E19:W23)+SUM($E13:W17)</f>
        <v>0</v>
      </c>
      <c r="X26" s="3">
        <f>-SUM($E19:X23)+SUM($E13:X17)</f>
        <v>0</v>
      </c>
      <c r="Y26" s="3">
        <f>-SUM($E19:Y23)+SUM($E13:Y17)</f>
        <v>0</v>
      </c>
      <c r="Z26" s="3">
        <f>-SUM($E19:Z23)+SUM($E13:Z17)</f>
        <v>0</v>
      </c>
      <c r="AA26" s="3">
        <f>-SUM($E19:AA23)+SUM($E13:AA17)</f>
        <v>0</v>
      </c>
      <c r="AB26" s="3">
        <f>-SUM($E19:AB23)+SUM($E13:AB17)</f>
        <v>0</v>
      </c>
      <c r="AC26" s="3">
        <f>-SUM($E19:AC23)+SUM($E13:AC17)</f>
        <v>0</v>
      </c>
      <c r="AD26" s="3">
        <f>-SUM($E19:AD23)+SUM($E13:AD17)</f>
        <v>0</v>
      </c>
      <c r="AE26" s="3">
        <f>-SUM($E19:AE23)+SUM($E13:AE17)</f>
        <v>0</v>
      </c>
      <c r="AF26" s="3">
        <f>-SUM($E19:AF23)+SUM($E13:AF17)</f>
        <v>0</v>
      </c>
      <c r="AG26" s="3">
        <f>-SUM($E19:AG23)+SUM($E13:AG17)</f>
        <v>0</v>
      </c>
      <c r="AH26" s="3">
        <f>-SUM($E19:AH23)+SUM($E13:AH17)</f>
        <v>0</v>
      </c>
      <c r="AI26" s="3">
        <f>-SUM($E19:AI23)+SUM($E13:AI17)</f>
        <v>0</v>
      </c>
      <c r="AJ26" s="3">
        <f>-SUM($E19:AJ23)+SUM($E13:AJ17)</f>
        <v>0</v>
      </c>
      <c r="AK26" s="3">
        <f>-SUM($E19:AK23)+SUM($E13:AK17)</f>
        <v>0</v>
      </c>
      <c r="AL26" s="3">
        <f>-SUM($E19:AL23)+SUM($E13:AL17)</f>
        <v>0</v>
      </c>
      <c r="AM26" s="3">
        <f>-SUM($E19:AM23)+SUM($E13:AM17)</f>
        <v>0</v>
      </c>
      <c r="AN26" s="3">
        <f>-SUM($E19:AN23)+SUM($E13:AN17)</f>
        <v>0</v>
      </c>
      <c r="AO26" s="3">
        <f>-SUM($E19:AO23)+SUM($E13:AO17)</f>
        <v>0</v>
      </c>
      <c r="AP26" s="3">
        <f>-SUM($E19:AP23)+SUM($E13:AP17)</f>
        <v>0</v>
      </c>
      <c r="AQ26" s="3">
        <f>-SUM($E19:AQ23)+SUM($E13:AQ17)</f>
        <v>0</v>
      </c>
      <c r="AR26" s="3">
        <f>-SUM($E19:AR23)+SUM($E13:AR17)</f>
        <v>0</v>
      </c>
      <c r="AS26" s="3">
        <f>-SUM($E19:AS23)+SUM($E13:AS17)</f>
        <v>0</v>
      </c>
      <c r="AT26" s="3">
        <f>-SUM($E19:AT23)+SUM($E13:AT17)</f>
        <v>0</v>
      </c>
      <c r="AU26" s="3">
        <f>-SUM($E19:AU23)+SUM($E13:AU17)</f>
        <v>0</v>
      </c>
      <c r="AV26" s="3">
        <f>-SUM($E19:AV23)+SUM($E13:AV17)</f>
        <v>0</v>
      </c>
      <c r="AW26" s="3">
        <f>-SUM($E19:AW23)+SUM($E13:AW17)</f>
        <v>0</v>
      </c>
      <c r="AX26" s="3">
        <f>-SUM($E19:AX23)+SUM($E13:AX17)</f>
        <v>0</v>
      </c>
      <c r="AY26" s="3">
        <f>-SUM($E19:AY23)+SUM($E13:AY17)</f>
        <v>0</v>
      </c>
      <c r="AZ26" s="3">
        <f>-SUM($E19:AZ23)+SUM($E13:AZ17)</f>
        <v>0</v>
      </c>
      <c r="BA26" s="3">
        <f>-SUM($E19:BA23)+SUM($E13:BA17)</f>
        <v>0</v>
      </c>
      <c r="BB26" s="3">
        <f>-SUM($E19:BB23)+SUM($E13:BB17)</f>
        <v>0</v>
      </c>
      <c r="BC26" s="3">
        <f>-SUM($E19:BC23)+SUM($E13:BC17)</f>
        <v>0</v>
      </c>
      <c r="BD26" s="3"/>
    </row>
    <row r="27" spans="2:72" x14ac:dyDescent="0.3">
      <c r="B27" t="s">
        <v>1552</v>
      </c>
      <c r="E27" s="3">
        <v>3091</v>
      </c>
      <c r="F27" s="3">
        <v>3061</v>
      </c>
      <c r="G27" s="3">
        <v>3023</v>
      </c>
      <c r="H27" s="42">
        <v>2988</v>
      </c>
      <c r="I27" s="42">
        <v>2961</v>
      </c>
      <c r="J27" s="42">
        <v>2936</v>
      </c>
      <c r="K27" s="42">
        <v>2879</v>
      </c>
      <c r="L27" s="42">
        <v>2847</v>
      </c>
      <c r="M27" s="42">
        <v>2822</v>
      </c>
      <c r="N27" s="42">
        <v>2786</v>
      </c>
      <c r="O27" s="42">
        <v>2710</v>
      </c>
      <c r="P27" s="42">
        <v>2671</v>
      </c>
      <c r="Q27" s="42">
        <v>2610</v>
      </c>
      <c r="R27" s="42">
        <v>2604</v>
      </c>
      <c r="S27" s="42">
        <v>2595</v>
      </c>
      <c r="T27" s="3">
        <v>2567</v>
      </c>
      <c r="U27" s="3">
        <v>2534</v>
      </c>
      <c r="V27" s="3">
        <v>2509</v>
      </c>
      <c r="W27" s="3">
        <v>2471</v>
      </c>
      <c r="X27" s="3">
        <v>2397</v>
      </c>
      <c r="Y27" s="3">
        <v>2353</v>
      </c>
      <c r="Z27" s="3">
        <v>2326</v>
      </c>
      <c r="AA27" s="3">
        <v>2274</v>
      </c>
      <c r="AB27" s="3">
        <v>2087</v>
      </c>
      <c r="AC27" s="3">
        <v>1782</v>
      </c>
      <c r="AD27" s="3">
        <v>1604</v>
      </c>
      <c r="AE27" s="3">
        <v>1481</v>
      </c>
      <c r="AF27" s="3">
        <v>1433</v>
      </c>
      <c r="AG27" s="3">
        <v>1420</v>
      </c>
      <c r="AH27" s="3">
        <v>1411</v>
      </c>
      <c r="AI27" s="3">
        <v>1399</v>
      </c>
      <c r="AJ27" s="3">
        <v>1383</v>
      </c>
      <c r="AK27" s="3">
        <v>1171</v>
      </c>
      <c r="AL27" s="3">
        <v>816</v>
      </c>
      <c r="AM27" s="3">
        <v>793</v>
      </c>
      <c r="AN27" s="3">
        <v>787</v>
      </c>
      <c r="AO27" s="3">
        <v>755</v>
      </c>
      <c r="AP27" s="3">
        <v>668</v>
      </c>
      <c r="AQ27" s="3">
        <v>138</v>
      </c>
      <c r="AR27" s="3">
        <v>84</v>
      </c>
      <c r="AS27" s="3">
        <v>79</v>
      </c>
      <c r="AT27" s="3">
        <v>78</v>
      </c>
      <c r="AU27" s="3">
        <v>77</v>
      </c>
      <c r="AV27" s="3">
        <v>77</v>
      </c>
      <c r="AW27" s="3">
        <v>75</v>
      </c>
      <c r="AX27" s="3">
        <v>73</v>
      </c>
      <c r="AY27" s="3">
        <v>67</v>
      </c>
      <c r="AZ27" s="3">
        <v>65</v>
      </c>
      <c r="BA27" s="3">
        <v>2</v>
      </c>
      <c r="BB27" s="3">
        <v>2</v>
      </c>
      <c r="BC27" s="3">
        <v>1</v>
      </c>
      <c r="BD27" s="3"/>
    </row>
    <row r="28" spans="2:72" x14ac:dyDescent="0.3">
      <c r="E28" s="3"/>
      <c r="F28" s="3"/>
      <c r="G28" s="3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</row>
    <row r="29" spans="2:72" x14ac:dyDescent="0.3">
      <c r="B29" t="s">
        <v>1390</v>
      </c>
      <c r="C29" t="s">
        <v>1545</v>
      </c>
      <c r="E29" s="8">
        <v>0</v>
      </c>
      <c r="F29" s="8">
        <v>0</v>
      </c>
      <c r="G29" s="8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0</v>
      </c>
      <c r="R29" s="44">
        <v>0</v>
      </c>
      <c r="S29" s="44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I29" s="8">
        <v>0</v>
      </c>
      <c r="AJ29" s="8">
        <v>0</v>
      </c>
      <c r="AK29" s="8">
        <v>0</v>
      </c>
      <c r="AL29" s="8">
        <v>0</v>
      </c>
      <c r="AM29" s="8">
        <v>0</v>
      </c>
      <c r="AN29" s="8">
        <v>0</v>
      </c>
      <c r="AO29" s="8">
        <v>0</v>
      </c>
      <c r="AP29" s="8">
        <v>0</v>
      </c>
      <c r="AQ29" s="8">
        <v>0</v>
      </c>
      <c r="AR29" s="8">
        <v>0</v>
      </c>
      <c r="AS29" s="8">
        <v>0</v>
      </c>
      <c r="AT29" s="8">
        <v>0</v>
      </c>
      <c r="AU29" s="8">
        <v>0</v>
      </c>
      <c r="AV29" s="8">
        <v>0</v>
      </c>
      <c r="AW29" s="8">
        <v>0</v>
      </c>
      <c r="AX29" s="8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/>
      <c r="BF29" s="8"/>
      <c r="BG29" s="8"/>
      <c r="BH29" s="8"/>
      <c r="BI29" s="8">
        <f>SUM($H29:H29)</f>
        <v>0</v>
      </c>
      <c r="BJ29" s="8">
        <f>SUM($H29:I29)</f>
        <v>0</v>
      </c>
      <c r="BK29" s="8">
        <f>SUM($H29:J29)</f>
        <v>0</v>
      </c>
      <c r="BL29" s="8">
        <f>SUM($H29:K29)</f>
        <v>0</v>
      </c>
      <c r="BM29" s="8">
        <f>SUM($H29:L29)</f>
        <v>0</v>
      </c>
      <c r="BN29" s="8">
        <f>SUM($H29:M29)</f>
        <v>0</v>
      </c>
      <c r="BO29" s="8">
        <f>SUM($H29:N29)</f>
        <v>0</v>
      </c>
      <c r="BP29" s="8">
        <f>SUM($H29:O29)</f>
        <v>0</v>
      </c>
      <c r="BQ29" s="8">
        <f>SUM($H29:P29)</f>
        <v>0</v>
      </c>
      <c r="BR29" s="8">
        <f>SUM($H29:Q29)</f>
        <v>0</v>
      </c>
      <c r="BS29" s="8">
        <f>SUM($H29:R29)</f>
        <v>0</v>
      </c>
      <c r="BT29" s="8">
        <f>SUM($H29:S29)</f>
        <v>0</v>
      </c>
    </row>
    <row r="30" spans="2:72" x14ac:dyDescent="0.3">
      <c r="B30" t="s">
        <v>1390</v>
      </c>
      <c r="C30" t="s">
        <v>1546</v>
      </c>
      <c r="E30" s="8">
        <v>0</v>
      </c>
      <c r="F30" s="8">
        <v>0</v>
      </c>
      <c r="G30" s="8">
        <v>0</v>
      </c>
      <c r="H30" s="44">
        <v>0</v>
      </c>
      <c r="I30" s="44">
        <v>0</v>
      </c>
      <c r="J30" s="44">
        <v>0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0</v>
      </c>
      <c r="R30" s="44">
        <v>0</v>
      </c>
      <c r="S30" s="44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/>
      <c r="BF30" s="8"/>
      <c r="BG30" s="8"/>
      <c r="BH30" s="8"/>
      <c r="BI30" s="8">
        <f>SUM($H30:H30)</f>
        <v>0</v>
      </c>
      <c r="BJ30" s="8">
        <f>SUM($H30:I30)</f>
        <v>0</v>
      </c>
      <c r="BK30" s="8">
        <f>SUM($H30:J30)</f>
        <v>0</v>
      </c>
      <c r="BL30" s="8">
        <f>SUM($H30:K30)</f>
        <v>0</v>
      </c>
      <c r="BM30" s="8">
        <f>SUM($H30:L30)</f>
        <v>0</v>
      </c>
      <c r="BN30" s="8">
        <f>SUM($H30:M30)</f>
        <v>0</v>
      </c>
      <c r="BO30" s="8">
        <f>SUM($H30:N30)</f>
        <v>0</v>
      </c>
      <c r="BP30" s="8">
        <f>SUM($H30:O30)</f>
        <v>0</v>
      </c>
      <c r="BQ30" s="8">
        <f>SUM($H30:P30)</f>
        <v>0</v>
      </c>
      <c r="BR30" s="8">
        <f>SUM($H30:Q30)</f>
        <v>0</v>
      </c>
      <c r="BS30" s="8">
        <f>SUM($H30:R30)</f>
        <v>0</v>
      </c>
      <c r="BT30" s="8">
        <f>SUM($H30:S30)</f>
        <v>0</v>
      </c>
    </row>
    <row r="31" spans="2:72" x14ac:dyDescent="0.3">
      <c r="B31" t="s">
        <v>1390</v>
      </c>
      <c r="C31" t="s">
        <v>1547</v>
      </c>
      <c r="E31" s="8">
        <v>0</v>
      </c>
      <c r="F31" s="8">
        <v>0</v>
      </c>
      <c r="G31" s="8">
        <v>0</v>
      </c>
      <c r="H31" s="44">
        <v>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0</v>
      </c>
      <c r="R31" s="44">
        <v>0</v>
      </c>
      <c r="S31" s="44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I31" s="8">
        <v>0</v>
      </c>
      <c r="AJ31" s="8">
        <v>0</v>
      </c>
      <c r="AK31" s="8">
        <v>0</v>
      </c>
      <c r="AL31" s="8">
        <v>0</v>
      </c>
      <c r="AM31" s="8">
        <v>0</v>
      </c>
      <c r="AN31" s="8">
        <v>0</v>
      </c>
      <c r="AO31" s="8">
        <v>0</v>
      </c>
      <c r="AP31" s="8">
        <v>0</v>
      </c>
      <c r="AQ31" s="8">
        <v>0</v>
      </c>
      <c r="AR31" s="8">
        <v>0</v>
      </c>
      <c r="AS31" s="8">
        <v>0</v>
      </c>
      <c r="AT31" s="8">
        <v>0</v>
      </c>
      <c r="AU31" s="8">
        <v>0</v>
      </c>
      <c r="AV31" s="8">
        <v>0</v>
      </c>
      <c r="AW31" s="8">
        <v>0</v>
      </c>
      <c r="AX31" s="8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/>
      <c r="BF31" s="8"/>
      <c r="BG31" s="8"/>
      <c r="BH31" s="8"/>
      <c r="BI31" s="8">
        <f>SUM($H31:H31)</f>
        <v>0</v>
      </c>
      <c r="BJ31" s="8">
        <f>SUM($H31:I31)</f>
        <v>0</v>
      </c>
      <c r="BK31" s="8">
        <f>SUM($H31:J31)</f>
        <v>0</v>
      </c>
      <c r="BL31" s="8">
        <f>SUM($H31:K31)</f>
        <v>0</v>
      </c>
      <c r="BM31" s="8">
        <f>SUM($H31:L31)</f>
        <v>0</v>
      </c>
      <c r="BN31" s="8">
        <f>SUM($H31:M31)</f>
        <v>0</v>
      </c>
      <c r="BO31" s="8">
        <f>SUM($H31:N31)</f>
        <v>0</v>
      </c>
      <c r="BP31" s="8">
        <f>SUM($H31:O31)</f>
        <v>0</v>
      </c>
      <c r="BQ31" s="8">
        <f>SUM($H31:P31)</f>
        <v>0</v>
      </c>
      <c r="BR31" s="8">
        <f>SUM($H31:Q31)</f>
        <v>0</v>
      </c>
      <c r="BS31" s="8">
        <f>SUM($H31:R31)</f>
        <v>0</v>
      </c>
      <c r="BT31" s="8">
        <f>SUM($H31:S31)</f>
        <v>0</v>
      </c>
    </row>
    <row r="32" spans="2:72" x14ac:dyDescent="0.3">
      <c r="B32" t="s">
        <v>1390</v>
      </c>
      <c r="C32" t="s">
        <v>1548</v>
      </c>
      <c r="E32" s="8">
        <v>0</v>
      </c>
      <c r="F32" s="8">
        <v>0</v>
      </c>
      <c r="G32" s="8">
        <v>0</v>
      </c>
      <c r="H32" s="44">
        <v>0</v>
      </c>
      <c r="I32" s="44">
        <v>0</v>
      </c>
      <c r="J32" s="44">
        <v>0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0</v>
      </c>
      <c r="R32" s="44">
        <v>0</v>
      </c>
      <c r="S32" s="44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0</v>
      </c>
      <c r="AJ32" s="8">
        <v>0</v>
      </c>
      <c r="AK32" s="8">
        <v>0</v>
      </c>
      <c r="AL32" s="8">
        <v>0</v>
      </c>
      <c r="AM32" s="8">
        <v>0</v>
      </c>
      <c r="AN32" s="8">
        <v>0</v>
      </c>
      <c r="AO32" s="8">
        <v>0</v>
      </c>
      <c r="AP32" s="8">
        <v>0</v>
      </c>
      <c r="AQ32" s="8">
        <v>0</v>
      </c>
      <c r="AR32" s="8">
        <v>0</v>
      </c>
      <c r="AS32" s="8">
        <v>0</v>
      </c>
      <c r="AT32" s="8">
        <v>0</v>
      </c>
      <c r="AU32" s="8">
        <v>0</v>
      </c>
      <c r="AV32" s="8">
        <v>0</v>
      </c>
      <c r="AW32" s="8">
        <v>0</v>
      </c>
      <c r="AX32" s="8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/>
      <c r="BF32" s="8"/>
      <c r="BG32" s="8"/>
      <c r="BH32" s="8"/>
      <c r="BI32" s="8">
        <f>SUM($H32:H32)</f>
        <v>0</v>
      </c>
      <c r="BJ32" s="8">
        <f>SUM($H32:I32)</f>
        <v>0</v>
      </c>
      <c r="BK32" s="8">
        <f>SUM($H32:J32)</f>
        <v>0</v>
      </c>
      <c r="BL32" s="8">
        <f>SUM($H32:K32)</f>
        <v>0</v>
      </c>
      <c r="BM32" s="8">
        <f>SUM($H32:L32)</f>
        <v>0</v>
      </c>
      <c r="BN32" s="8">
        <f>SUM($H32:M32)</f>
        <v>0</v>
      </c>
      <c r="BO32" s="8">
        <f>SUM($H32:N32)</f>
        <v>0</v>
      </c>
      <c r="BP32" s="8">
        <f>SUM($H32:O32)</f>
        <v>0</v>
      </c>
      <c r="BQ32" s="8">
        <f>SUM($H32:P32)</f>
        <v>0</v>
      </c>
      <c r="BR32" s="8">
        <f>SUM($H32:Q32)</f>
        <v>0</v>
      </c>
      <c r="BS32" s="8">
        <f>SUM($H32:R32)</f>
        <v>0</v>
      </c>
      <c r="BT32" s="8">
        <f>SUM($H32:S32)</f>
        <v>0</v>
      </c>
    </row>
    <row r="33" spans="2:72" x14ac:dyDescent="0.3">
      <c r="B33" t="s">
        <v>1390</v>
      </c>
      <c r="C33" t="s">
        <v>1548</v>
      </c>
      <c r="E33" s="8">
        <v>0</v>
      </c>
      <c r="F33" s="8">
        <v>0</v>
      </c>
      <c r="G33" s="8">
        <v>0</v>
      </c>
      <c r="H33" s="44">
        <v>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0</v>
      </c>
      <c r="R33" s="44">
        <v>0</v>
      </c>
      <c r="S33" s="44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/>
      <c r="BF33" s="8"/>
      <c r="BG33" s="8"/>
      <c r="BH33" s="8"/>
      <c r="BI33" s="8">
        <f>SUM($H33:H33)</f>
        <v>0</v>
      </c>
      <c r="BJ33" s="8">
        <f>SUM($H33:I33)</f>
        <v>0</v>
      </c>
      <c r="BK33" s="8">
        <f>SUM($H33:J33)</f>
        <v>0</v>
      </c>
      <c r="BL33" s="8">
        <f>SUM($H33:K33)</f>
        <v>0</v>
      </c>
      <c r="BM33" s="8">
        <f>SUM($H33:L33)</f>
        <v>0</v>
      </c>
      <c r="BN33" s="8">
        <f>SUM($H33:M33)</f>
        <v>0</v>
      </c>
      <c r="BO33" s="8">
        <f>SUM($H33:N33)</f>
        <v>0</v>
      </c>
      <c r="BP33" s="8">
        <f>SUM($H33:O33)</f>
        <v>0</v>
      </c>
      <c r="BQ33" s="8">
        <f>SUM($H33:P33)</f>
        <v>0</v>
      </c>
      <c r="BR33" s="8">
        <f>SUM($H33:Q33)</f>
        <v>0</v>
      </c>
      <c r="BS33" s="8">
        <f>SUM($H33:R33)</f>
        <v>0</v>
      </c>
      <c r="BT33" s="8">
        <f>SUM($H33:S33)</f>
        <v>0</v>
      </c>
    </row>
    <row r="34" spans="2:72" x14ac:dyDescent="0.3">
      <c r="E34" s="8"/>
      <c r="F34" s="8"/>
      <c r="G34" s="8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3"/>
      <c r="AZ34" s="3"/>
      <c r="BA34" s="3"/>
      <c r="BB34" s="3"/>
      <c r="BC34" s="3"/>
      <c r="BD34" s="3"/>
      <c r="BF34" s="8"/>
      <c r="BG34" s="8"/>
      <c r="BH34" s="8"/>
      <c r="BI34" s="8">
        <f>SUM($H34:H34)</f>
        <v>0</v>
      </c>
      <c r="BJ34" s="8">
        <f>SUM($H34:I34)</f>
        <v>0</v>
      </c>
      <c r="BK34" s="8">
        <f>SUM($H34:J34)</f>
        <v>0</v>
      </c>
      <c r="BL34" s="8">
        <f>SUM($H34:K34)</f>
        <v>0</v>
      </c>
      <c r="BM34" s="8">
        <f>SUM($H34:L34)</f>
        <v>0</v>
      </c>
      <c r="BN34" s="8">
        <f>SUM($H34:M34)</f>
        <v>0</v>
      </c>
      <c r="BO34" s="8">
        <f>SUM($H34:N34)</f>
        <v>0</v>
      </c>
      <c r="BP34" s="8">
        <f>SUM($H34:O34)</f>
        <v>0</v>
      </c>
      <c r="BQ34" s="8">
        <f>SUM($H34:P34)</f>
        <v>0</v>
      </c>
      <c r="BR34" s="8">
        <f>SUM($H34:Q34)</f>
        <v>0</v>
      </c>
      <c r="BS34" s="8">
        <f>SUM($H34:R34)</f>
        <v>0</v>
      </c>
      <c r="BT34" s="8">
        <f>SUM($H34:S34)</f>
        <v>0</v>
      </c>
    </row>
    <row r="35" spans="2:72" x14ac:dyDescent="0.3">
      <c r="B35" t="s">
        <v>1553</v>
      </c>
      <c r="C35" t="s">
        <v>1554</v>
      </c>
      <c r="E35" s="8">
        <v>1500000</v>
      </c>
      <c r="F35" s="8">
        <v>1500000</v>
      </c>
      <c r="G35" s="8">
        <v>1500000</v>
      </c>
      <c r="H35" s="44">
        <v>1500000</v>
      </c>
      <c r="I35" s="44">
        <v>1500000</v>
      </c>
      <c r="J35" s="44">
        <v>1500000</v>
      </c>
      <c r="K35" s="44">
        <v>1500000</v>
      </c>
      <c r="L35" s="44">
        <v>1500000</v>
      </c>
      <c r="M35" s="44">
        <v>1500000</v>
      </c>
      <c r="N35" s="44">
        <v>1500000</v>
      </c>
      <c r="O35" s="44">
        <v>1500000</v>
      </c>
      <c r="P35" s="44">
        <v>1500000</v>
      </c>
      <c r="Q35" s="44">
        <v>1500000</v>
      </c>
      <c r="R35" s="44">
        <v>1500000</v>
      </c>
      <c r="S35" s="44">
        <v>1500000</v>
      </c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3"/>
      <c r="AZ35" s="3"/>
      <c r="BA35" s="3"/>
      <c r="BB35" s="3"/>
      <c r="BC35" s="3"/>
      <c r="BD35" s="3"/>
      <c r="BF35" s="8"/>
      <c r="BG35" s="8"/>
      <c r="BH35" s="8"/>
      <c r="BI35" s="8">
        <f>SUM($H35:H35)</f>
        <v>1500000</v>
      </c>
      <c r="BJ35" s="8">
        <f>SUM($H35:I35)</f>
        <v>3000000</v>
      </c>
      <c r="BK35" s="8">
        <f>SUM($H35:J35)</f>
        <v>4500000</v>
      </c>
      <c r="BL35" s="8">
        <f>SUM($H35:K35)</f>
        <v>6000000</v>
      </c>
      <c r="BM35" s="8">
        <f>SUM($H35:L35)</f>
        <v>7500000</v>
      </c>
      <c r="BN35" s="8">
        <f>SUM($H35:M35)</f>
        <v>9000000</v>
      </c>
      <c r="BO35" s="8">
        <f>SUM($H35:N35)</f>
        <v>10500000</v>
      </c>
      <c r="BP35" s="8">
        <f>SUM($H35:O35)</f>
        <v>12000000</v>
      </c>
      <c r="BQ35" s="8">
        <f>SUM($H35:P35)</f>
        <v>13500000</v>
      </c>
      <c r="BR35" s="8">
        <f>SUM($H35:Q35)</f>
        <v>15000000</v>
      </c>
      <c r="BS35" s="8">
        <f>SUM($H35:R35)</f>
        <v>16500000</v>
      </c>
      <c r="BT35" s="8">
        <f>SUM($H35:S35)</f>
        <v>18000000</v>
      </c>
    </row>
    <row r="36" spans="2:72" x14ac:dyDescent="0.3">
      <c r="B36" t="s">
        <v>1553</v>
      </c>
      <c r="C36" t="s">
        <v>1488</v>
      </c>
      <c r="E36" s="8">
        <v>103268705</v>
      </c>
      <c r="F36" s="8">
        <v>98240277</v>
      </c>
      <c r="G36" s="8">
        <v>97067157</v>
      </c>
      <c r="H36" s="44">
        <v>95357740</v>
      </c>
      <c r="I36" s="44">
        <v>94553833</v>
      </c>
      <c r="J36" s="44">
        <v>93183946</v>
      </c>
      <c r="K36" s="44">
        <v>90952343</v>
      </c>
      <c r="L36" s="44">
        <v>90051892</v>
      </c>
      <c r="M36" s="44">
        <v>89084617</v>
      </c>
      <c r="N36" s="44">
        <v>87936375</v>
      </c>
      <c r="O36" s="44">
        <v>86076758</v>
      </c>
      <c r="P36" s="44">
        <v>83798619</v>
      </c>
      <c r="Q36" s="44">
        <v>82618673</v>
      </c>
      <c r="R36" s="44">
        <v>82374179</v>
      </c>
      <c r="S36" s="44">
        <v>81807737</v>
      </c>
      <c r="T36" s="8">
        <v>80886806</v>
      </c>
      <c r="U36" s="8">
        <v>79585085</v>
      </c>
      <c r="V36" s="8">
        <v>78767304</v>
      </c>
      <c r="W36" s="8">
        <v>77783075</v>
      </c>
      <c r="X36" s="8">
        <v>76194573</v>
      </c>
      <c r="Y36" s="8">
        <v>75400768</v>
      </c>
      <c r="Z36" s="8">
        <v>73996532</v>
      </c>
      <c r="AA36" s="8">
        <v>70093582</v>
      </c>
      <c r="AB36" s="8">
        <v>64593490</v>
      </c>
      <c r="AC36" s="8">
        <v>58276009</v>
      </c>
      <c r="AD36" s="8">
        <v>52654947</v>
      </c>
      <c r="AE36" s="8">
        <v>50780873</v>
      </c>
      <c r="AF36" s="8">
        <v>49852147</v>
      </c>
      <c r="AG36" s="8">
        <v>49583992</v>
      </c>
      <c r="AH36" s="8">
        <v>49125223</v>
      </c>
      <c r="AI36" s="8">
        <v>48794200</v>
      </c>
      <c r="AJ36" s="8">
        <v>46514068</v>
      </c>
      <c r="AK36" s="8">
        <v>36709632</v>
      </c>
      <c r="AL36" s="8">
        <v>32439305</v>
      </c>
      <c r="AM36" s="8">
        <v>31667463</v>
      </c>
      <c r="AN36" s="8">
        <v>31013876</v>
      </c>
      <c r="AO36" s="8">
        <v>28975491</v>
      </c>
      <c r="AP36" s="8">
        <v>15871278</v>
      </c>
      <c r="AQ36" s="8">
        <v>4356153</v>
      </c>
      <c r="AR36" s="8">
        <v>3872414</v>
      </c>
      <c r="AS36" s="8">
        <v>3719924</v>
      </c>
      <c r="AT36" s="8">
        <v>3647365</v>
      </c>
      <c r="AU36" s="8">
        <v>3639775</v>
      </c>
      <c r="AV36" s="8">
        <v>3621138</v>
      </c>
      <c r="AW36" s="8">
        <v>3489859</v>
      </c>
      <c r="AX36" s="8">
        <v>3229906</v>
      </c>
      <c r="AY36" s="8">
        <v>2830147</v>
      </c>
      <c r="AZ36" s="8">
        <v>1592171</v>
      </c>
      <c r="BA36" s="8">
        <v>185877</v>
      </c>
      <c r="BB36" s="8">
        <v>142998</v>
      </c>
      <c r="BC36" s="8">
        <v>93523</v>
      </c>
      <c r="BD36" s="3"/>
      <c r="BF36" s="8"/>
      <c r="BG36" s="8"/>
      <c r="BH36" s="8"/>
      <c r="BI36" s="8">
        <f>SUM($H36:H36)</f>
        <v>95357740</v>
      </c>
      <c r="BJ36" s="8">
        <f>SUM($H36:I36)</f>
        <v>189911573</v>
      </c>
      <c r="BK36" s="8">
        <f>SUM($H36:J36)</f>
        <v>283095519</v>
      </c>
      <c r="BL36" s="8">
        <f>SUM($H36:K36)</f>
        <v>374047862</v>
      </c>
      <c r="BM36" s="8">
        <f>SUM($H36:L36)</f>
        <v>464099754</v>
      </c>
      <c r="BN36" s="8">
        <f>SUM($H36:M36)</f>
        <v>553184371</v>
      </c>
      <c r="BO36" s="8">
        <f>SUM($H36:N36)</f>
        <v>641120746</v>
      </c>
      <c r="BP36" s="8">
        <f>SUM($H36:O36)</f>
        <v>727197504</v>
      </c>
      <c r="BQ36" s="8">
        <f>SUM($H36:P36)</f>
        <v>810996123</v>
      </c>
      <c r="BR36" s="8">
        <f>SUM($H36:Q36)</f>
        <v>893614796</v>
      </c>
      <c r="BS36" s="8">
        <f>SUM($H36:R36)</f>
        <v>975988975</v>
      </c>
      <c r="BT36" s="8">
        <f>SUM($H36:S36)</f>
        <v>1057796712</v>
      </c>
    </row>
    <row r="37" spans="2:72" x14ac:dyDescent="0.3">
      <c r="E37" s="8"/>
      <c r="F37" s="8"/>
      <c r="G37" s="8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3"/>
      <c r="AZ37" s="3"/>
      <c r="BA37" s="3"/>
      <c r="BB37" s="3"/>
      <c r="BC37" s="3"/>
      <c r="BD37" s="3"/>
      <c r="BF37" s="8"/>
      <c r="BG37" s="8"/>
      <c r="BH37" s="8"/>
      <c r="BI37" s="8">
        <f>SUM($H37:H37)</f>
        <v>0</v>
      </c>
      <c r="BJ37" s="8">
        <f>SUM($H37:I37)</f>
        <v>0</v>
      </c>
      <c r="BK37" s="8">
        <f>SUM($H37:J37)</f>
        <v>0</v>
      </c>
      <c r="BL37" s="8">
        <f>SUM($H37:K37)</f>
        <v>0</v>
      </c>
      <c r="BM37" s="8">
        <f>SUM($H37:L37)</f>
        <v>0</v>
      </c>
      <c r="BN37" s="8">
        <f>SUM($H37:M37)</f>
        <v>0</v>
      </c>
      <c r="BO37" s="8">
        <f>SUM($H37:N37)</f>
        <v>0</v>
      </c>
      <c r="BP37" s="8">
        <f>SUM($H37:O37)</f>
        <v>0</v>
      </c>
      <c r="BQ37" s="8">
        <f>SUM($H37:P37)</f>
        <v>0</v>
      </c>
      <c r="BR37" s="8">
        <f>SUM($H37:Q37)</f>
        <v>0</v>
      </c>
      <c r="BS37" s="8">
        <f>SUM($H37:R37)</f>
        <v>0</v>
      </c>
      <c r="BT37" s="8">
        <f>SUM($H37:S37)</f>
        <v>0</v>
      </c>
    </row>
    <row r="38" spans="2:72" x14ac:dyDescent="0.3">
      <c r="B38" t="s">
        <v>1399</v>
      </c>
      <c r="C38" t="s">
        <v>1545</v>
      </c>
      <c r="E38" s="8">
        <v>0</v>
      </c>
      <c r="F38" s="8">
        <v>0</v>
      </c>
      <c r="G38" s="8">
        <v>0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0</v>
      </c>
      <c r="R38" s="44">
        <v>0</v>
      </c>
      <c r="S38" s="44">
        <v>0</v>
      </c>
      <c r="T38" s="8">
        <v>0</v>
      </c>
      <c r="U38" s="8">
        <v>0</v>
      </c>
      <c r="V38" s="8">
        <v>0</v>
      </c>
      <c r="W38" s="8">
        <v>0</v>
      </c>
      <c r="X38" s="8">
        <v>0</v>
      </c>
      <c r="Y38" s="8">
        <v>0</v>
      </c>
      <c r="Z38" s="8">
        <v>0</v>
      </c>
      <c r="AA38" s="8">
        <v>0</v>
      </c>
      <c r="AB38" s="8">
        <v>0</v>
      </c>
      <c r="AC38" s="8">
        <v>0</v>
      </c>
      <c r="AD38" s="8">
        <v>0</v>
      </c>
      <c r="AE38" s="8">
        <v>0</v>
      </c>
      <c r="AF38" s="8">
        <v>0</v>
      </c>
      <c r="AG38" s="8">
        <v>0</v>
      </c>
      <c r="AH38" s="8">
        <v>0</v>
      </c>
      <c r="AI38" s="8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8">
        <v>0</v>
      </c>
      <c r="AS38" s="8">
        <v>0</v>
      </c>
      <c r="AT38" s="8">
        <v>0</v>
      </c>
      <c r="AU38" s="8">
        <v>0</v>
      </c>
      <c r="AV38" s="8">
        <v>0</v>
      </c>
      <c r="AW38" s="8">
        <v>0</v>
      </c>
      <c r="AX38" s="8">
        <v>0</v>
      </c>
      <c r="AY38" s="8">
        <v>0</v>
      </c>
      <c r="AZ38" s="8">
        <v>0</v>
      </c>
      <c r="BA38" s="8">
        <v>0</v>
      </c>
      <c r="BB38" s="8">
        <v>0</v>
      </c>
      <c r="BC38" s="8">
        <v>0</v>
      </c>
      <c r="BD38" s="8"/>
      <c r="BF38" s="8"/>
      <c r="BG38" s="8"/>
      <c r="BH38" s="8"/>
      <c r="BI38" s="8">
        <f>SUM($H38:H38)</f>
        <v>0</v>
      </c>
      <c r="BJ38" s="8">
        <f>SUM($H38:I38)</f>
        <v>0</v>
      </c>
      <c r="BK38" s="8">
        <f>SUM($H38:J38)</f>
        <v>0</v>
      </c>
      <c r="BL38" s="8">
        <f>SUM($H38:K38)</f>
        <v>0</v>
      </c>
      <c r="BM38" s="8">
        <f>SUM($H38:L38)</f>
        <v>0</v>
      </c>
      <c r="BN38" s="8">
        <f>SUM($H38:M38)</f>
        <v>0</v>
      </c>
      <c r="BO38" s="8">
        <f>SUM($H38:N38)</f>
        <v>0</v>
      </c>
      <c r="BP38" s="8">
        <f>SUM($H38:O38)</f>
        <v>0</v>
      </c>
      <c r="BQ38" s="8">
        <f>SUM($H38:P38)</f>
        <v>0</v>
      </c>
      <c r="BR38" s="8">
        <f>SUM($H38:Q38)</f>
        <v>0</v>
      </c>
      <c r="BS38" s="8">
        <f>SUM($H38:R38)</f>
        <v>0</v>
      </c>
      <c r="BT38" s="8">
        <f>SUM($H38:S38)</f>
        <v>0</v>
      </c>
    </row>
    <row r="39" spans="2:72" x14ac:dyDescent="0.3">
      <c r="B39" t="s">
        <v>1399</v>
      </c>
      <c r="C39" t="s">
        <v>1546</v>
      </c>
      <c r="E39" s="8">
        <v>0</v>
      </c>
      <c r="F39" s="8">
        <v>0</v>
      </c>
      <c r="G39" s="8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0</v>
      </c>
      <c r="R39" s="44">
        <v>0</v>
      </c>
      <c r="S39" s="44">
        <v>0</v>
      </c>
      <c r="T39" s="8"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8">
        <v>0</v>
      </c>
      <c r="AA39" s="8">
        <v>0</v>
      </c>
      <c r="AB39" s="8">
        <v>0</v>
      </c>
      <c r="AC39" s="8">
        <v>0</v>
      </c>
      <c r="AD39" s="8">
        <v>0</v>
      </c>
      <c r="AE39" s="8">
        <v>0</v>
      </c>
      <c r="AF39" s="8">
        <v>0</v>
      </c>
      <c r="AG39" s="8">
        <v>0</v>
      </c>
      <c r="AH39" s="8">
        <v>0</v>
      </c>
      <c r="AI39" s="8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8">
        <v>0</v>
      </c>
      <c r="AS39" s="8">
        <v>0</v>
      </c>
      <c r="AT39" s="8">
        <v>0</v>
      </c>
      <c r="AU39" s="8">
        <v>0</v>
      </c>
      <c r="AV39" s="8">
        <v>0</v>
      </c>
      <c r="AW39" s="8">
        <v>0</v>
      </c>
      <c r="AX39" s="8">
        <v>0</v>
      </c>
      <c r="AY39" s="8">
        <v>0</v>
      </c>
      <c r="AZ39" s="8">
        <v>0</v>
      </c>
      <c r="BA39" s="8">
        <v>0</v>
      </c>
      <c r="BB39" s="8">
        <v>0</v>
      </c>
      <c r="BC39" s="8">
        <v>0</v>
      </c>
      <c r="BD39" s="8"/>
      <c r="BF39" s="8"/>
      <c r="BG39" s="8"/>
      <c r="BH39" s="8"/>
      <c r="BI39" s="8">
        <f>SUM($H39:H39)</f>
        <v>0</v>
      </c>
      <c r="BJ39" s="8">
        <f>SUM($H39:I39)</f>
        <v>0</v>
      </c>
      <c r="BK39" s="8">
        <f>SUM($H39:J39)</f>
        <v>0</v>
      </c>
      <c r="BL39" s="8">
        <f>SUM($H39:K39)</f>
        <v>0</v>
      </c>
      <c r="BM39" s="8">
        <f>SUM($H39:L39)</f>
        <v>0</v>
      </c>
      <c r="BN39" s="8">
        <f>SUM($H39:M39)</f>
        <v>0</v>
      </c>
      <c r="BO39" s="8">
        <f>SUM($H39:N39)</f>
        <v>0</v>
      </c>
      <c r="BP39" s="8">
        <f>SUM($H39:O39)</f>
        <v>0</v>
      </c>
      <c r="BQ39" s="8">
        <f>SUM($H39:P39)</f>
        <v>0</v>
      </c>
      <c r="BR39" s="8">
        <f>SUM($H39:Q39)</f>
        <v>0</v>
      </c>
      <c r="BS39" s="8">
        <f>SUM($H39:R39)</f>
        <v>0</v>
      </c>
      <c r="BT39" s="8">
        <f>SUM($H39:S39)</f>
        <v>0</v>
      </c>
    </row>
    <row r="40" spans="2:72" x14ac:dyDescent="0.3">
      <c r="B40" t="s">
        <v>1399</v>
      </c>
      <c r="C40" t="s">
        <v>1547</v>
      </c>
      <c r="E40" s="8">
        <v>0</v>
      </c>
      <c r="F40" s="8">
        <v>0</v>
      </c>
      <c r="G40" s="8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0</v>
      </c>
      <c r="R40" s="44">
        <v>0</v>
      </c>
      <c r="S40" s="44">
        <v>0</v>
      </c>
      <c r="T40" s="8"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8">
        <v>0</v>
      </c>
      <c r="AC40" s="8">
        <v>0</v>
      </c>
      <c r="AD40" s="8">
        <v>0</v>
      </c>
      <c r="AE40" s="8">
        <v>0</v>
      </c>
      <c r="AF40" s="8">
        <v>0</v>
      </c>
      <c r="AG40" s="8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8">
        <v>0</v>
      </c>
      <c r="AS40" s="8">
        <v>0</v>
      </c>
      <c r="AT40" s="8">
        <v>0</v>
      </c>
      <c r="AU40" s="8">
        <v>0</v>
      </c>
      <c r="AV40" s="8">
        <v>0</v>
      </c>
      <c r="AW40" s="8">
        <v>0</v>
      </c>
      <c r="AX40" s="8">
        <v>0</v>
      </c>
      <c r="AY40" s="8">
        <v>0</v>
      </c>
      <c r="AZ40" s="8">
        <v>0</v>
      </c>
      <c r="BA40" s="8">
        <v>0</v>
      </c>
      <c r="BB40" s="8">
        <v>0</v>
      </c>
      <c r="BC40" s="8">
        <v>0</v>
      </c>
      <c r="BD40" s="8"/>
      <c r="BF40" s="8"/>
      <c r="BG40" s="8"/>
      <c r="BH40" s="8"/>
      <c r="BI40" s="8">
        <f>SUM($H40:H40)</f>
        <v>0</v>
      </c>
      <c r="BJ40" s="8">
        <f>SUM($H40:I40)</f>
        <v>0</v>
      </c>
      <c r="BK40" s="8">
        <f>SUM($H40:J40)</f>
        <v>0</v>
      </c>
      <c r="BL40" s="8">
        <f>SUM($H40:K40)</f>
        <v>0</v>
      </c>
      <c r="BM40" s="8">
        <f>SUM($H40:L40)</f>
        <v>0</v>
      </c>
      <c r="BN40" s="8">
        <f>SUM($H40:M40)</f>
        <v>0</v>
      </c>
      <c r="BO40" s="8">
        <f>SUM($H40:N40)</f>
        <v>0</v>
      </c>
      <c r="BP40" s="8">
        <f>SUM($H40:O40)</f>
        <v>0</v>
      </c>
      <c r="BQ40" s="8">
        <f>SUM($H40:P40)</f>
        <v>0</v>
      </c>
      <c r="BR40" s="8">
        <f>SUM($H40:Q40)</f>
        <v>0</v>
      </c>
      <c r="BS40" s="8">
        <f>SUM($H40:R40)</f>
        <v>0</v>
      </c>
      <c r="BT40" s="8">
        <f>SUM($H40:S40)</f>
        <v>0</v>
      </c>
    </row>
    <row r="41" spans="2:72" x14ac:dyDescent="0.3">
      <c r="B41" t="s">
        <v>1399</v>
      </c>
      <c r="C41" t="s">
        <v>1548</v>
      </c>
      <c r="E41" s="8">
        <v>0</v>
      </c>
      <c r="F41" s="8">
        <v>0</v>
      </c>
      <c r="G41" s="8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0</v>
      </c>
      <c r="R41" s="44">
        <v>0</v>
      </c>
      <c r="S41" s="44">
        <v>0</v>
      </c>
      <c r="T41" s="8"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8">
        <v>0</v>
      </c>
      <c r="AS41" s="8">
        <v>0</v>
      </c>
      <c r="AT41" s="8">
        <v>0</v>
      </c>
      <c r="AU41" s="8">
        <v>0</v>
      </c>
      <c r="AV41" s="8">
        <v>0</v>
      </c>
      <c r="AW41" s="8">
        <v>0</v>
      </c>
      <c r="AX41" s="8">
        <v>0</v>
      </c>
      <c r="AY41" s="8">
        <v>0</v>
      </c>
      <c r="AZ41" s="8">
        <v>0</v>
      </c>
      <c r="BA41" s="8">
        <v>0</v>
      </c>
      <c r="BB41" s="8">
        <v>0</v>
      </c>
      <c r="BC41" s="8">
        <v>0</v>
      </c>
      <c r="BD41" s="8"/>
      <c r="BF41" s="8"/>
      <c r="BG41" s="8"/>
      <c r="BH41" s="8"/>
      <c r="BI41" s="8">
        <f>SUM($H41:H41)</f>
        <v>0</v>
      </c>
      <c r="BJ41" s="8">
        <f>SUM($H41:I41)</f>
        <v>0</v>
      </c>
      <c r="BK41" s="8">
        <f>SUM($H41:J41)</f>
        <v>0</v>
      </c>
      <c r="BL41" s="8">
        <f>SUM($H41:K41)</f>
        <v>0</v>
      </c>
      <c r="BM41" s="8">
        <f>SUM($H41:L41)</f>
        <v>0</v>
      </c>
      <c r="BN41" s="8">
        <f>SUM($H41:M41)</f>
        <v>0</v>
      </c>
      <c r="BO41" s="8">
        <f>SUM($H41:N41)</f>
        <v>0</v>
      </c>
      <c r="BP41" s="8">
        <f>SUM($H41:O41)</f>
        <v>0</v>
      </c>
      <c r="BQ41" s="8">
        <f>SUM($H41:P41)</f>
        <v>0</v>
      </c>
      <c r="BR41" s="8">
        <f>SUM($H41:Q41)</f>
        <v>0</v>
      </c>
      <c r="BS41" s="8">
        <f>SUM($H41:R41)</f>
        <v>0</v>
      </c>
      <c r="BT41" s="8">
        <f>SUM($H41:S41)</f>
        <v>0</v>
      </c>
    </row>
    <row r="42" spans="2:72" x14ac:dyDescent="0.3">
      <c r="B42" t="s">
        <v>1399</v>
      </c>
      <c r="C42" t="s">
        <v>1549</v>
      </c>
      <c r="E42" s="8">
        <v>0</v>
      </c>
      <c r="F42" s="8">
        <v>0</v>
      </c>
      <c r="G42" s="8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0</v>
      </c>
      <c r="R42" s="44">
        <v>0</v>
      </c>
      <c r="S42" s="44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8">
        <v>0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8">
        <v>0</v>
      </c>
      <c r="AS42" s="8">
        <v>0</v>
      </c>
      <c r="AT42" s="8">
        <v>0</v>
      </c>
      <c r="AU42" s="8">
        <v>0</v>
      </c>
      <c r="AV42" s="8">
        <v>0</v>
      </c>
      <c r="AW42" s="8">
        <v>0</v>
      </c>
      <c r="AX42" s="8">
        <v>0</v>
      </c>
      <c r="AY42" s="8">
        <v>0</v>
      </c>
      <c r="AZ42" s="8">
        <v>0</v>
      </c>
      <c r="BA42" s="8">
        <v>0</v>
      </c>
      <c r="BB42" s="8">
        <v>0</v>
      </c>
      <c r="BC42" s="8">
        <v>0</v>
      </c>
      <c r="BD42" s="8"/>
      <c r="BF42" s="8"/>
      <c r="BG42" s="8"/>
      <c r="BH42" s="8"/>
      <c r="BI42" s="8">
        <f>SUM($H42:H42)</f>
        <v>0</v>
      </c>
      <c r="BJ42" s="8">
        <f>SUM($H42:I42)</f>
        <v>0</v>
      </c>
      <c r="BK42" s="8">
        <f>SUM($H42:J42)</f>
        <v>0</v>
      </c>
      <c r="BL42" s="8">
        <f>SUM($H42:K42)</f>
        <v>0</v>
      </c>
      <c r="BM42" s="8">
        <f>SUM($H42:L42)</f>
        <v>0</v>
      </c>
      <c r="BN42" s="8">
        <f>SUM($H42:M42)</f>
        <v>0</v>
      </c>
      <c r="BO42" s="8">
        <f>SUM($H42:N42)</f>
        <v>0</v>
      </c>
      <c r="BP42" s="8">
        <f>SUM($H42:O42)</f>
        <v>0</v>
      </c>
      <c r="BQ42" s="8">
        <f>SUM($H42:P42)</f>
        <v>0</v>
      </c>
      <c r="BR42" s="8">
        <f>SUM($H42:Q42)</f>
        <v>0</v>
      </c>
      <c r="BS42" s="8">
        <f>SUM($H42:R42)</f>
        <v>0</v>
      </c>
      <c r="BT42" s="8">
        <f>SUM($H42:S42)</f>
        <v>0</v>
      </c>
    </row>
    <row r="43" spans="2:72" x14ac:dyDescent="0.3">
      <c r="E43" s="8"/>
      <c r="F43" s="8"/>
      <c r="G43" s="8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3"/>
      <c r="AZ43" s="3"/>
      <c r="BA43" s="3"/>
      <c r="BB43" s="3"/>
      <c r="BC43" s="3"/>
      <c r="BD43" s="3"/>
      <c r="BF43" s="8"/>
      <c r="BG43" s="8"/>
      <c r="BH43" s="8"/>
      <c r="BI43" s="8">
        <f>SUM($H43:H43)</f>
        <v>0</v>
      </c>
      <c r="BJ43" s="8">
        <f>SUM($H43:I43)</f>
        <v>0</v>
      </c>
      <c r="BK43" s="8">
        <f>SUM($H43:J43)</f>
        <v>0</v>
      </c>
      <c r="BL43" s="8">
        <f>SUM($H43:K43)</f>
        <v>0</v>
      </c>
      <c r="BM43" s="8">
        <f>SUM($H43:L43)</f>
        <v>0</v>
      </c>
      <c r="BN43" s="8">
        <f>SUM($H43:M43)</f>
        <v>0</v>
      </c>
      <c r="BO43" s="8">
        <f>SUM($H43:N43)</f>
        <v>0</v>
      </c>
      <c r="BP43" s="8">
        <f>SUM($H43:O43)</f>
        <v>0</v>
      </c>
      <c r="BQ43" s="8">
        <f>SUM($H43:P43)</f>
        <v>0</v>
      </c>
      <c r="BR43" s="8">
        <f>SUM($H43:Q43)</f>
        <v>0</v>
      </c>
      <c r="BS43" s="8">
        <f>SUM($H43:R43)</f>
        <v>0</v>
      </c>
      <c r="BT43" s="8">
        <f>SUM($H43:S43)</f>
        <v>0</v>
      </c>
    </row>
    <row r="44" spans="2:72" x14ac:dyDescent="0.3">
      <c r="B44" t="s">
        <v>1555</v>
      </c>
      <c r="E44" s="8">
        <v>-24746848.745701164</v>
      </c>
      <c r="F44" s="8">
        <v>-22049128.078653015</v>
      </c>
      <c r="G44" s="8">
        <v>-24240571.225900982</v>
      </c>
      <c r="H44" s="44">
        <v>-23156097.382407259</v>
      </c>
      <c r="I44" s="44">
        <v>-23652743.840561461</v>
      </c>
      <c r="J44" s="44">
        <v>-22398750.906541772</v>
      </c>
      <c r="K44" s="44">
        <v>-22606531.986435361</v>
      </c>
      <c r="L44" s="44">
        <v>-22392453.028508153</v>
      </c>
      <c r="M44" s="44">
        <v>-21417465.54229461</v>
      </c>
      <c r="N44" s="44">
        <v>-21749216.822594218</v>
      </c>
      <c r="O44" s="44">
        <v>-20526654.376632981</v>
      </c>
      <c r="P44" s="44">
        <v>-20494102.193731796</v>
      </c>
      <c r="Q44" s="44">
        <v>-20037346.782994259</v>
      </c>
      <c r="R44" s="44">
        <v>-18606280.151124984</v>
      </c>
      <c r="S44" s="44">
        <v>-19639382.994374141</v>
      </c>
      <c r="T44" s="8">
        <v>-18618781.263809413</v>
      </c>
      <c r="U44" s="8">
        <v>-18650532.183920704</v>
      </c>
      <c r="V44" s="8">
        <v>-17703795.289528649</v>
      </c>
      <c r="W44" s="8">
        <v>-17946166.975936972</v>
      </c>
      <c r="X44" s="8">
        <v>-17391175.541876487</v>
      </c>
      <c r="Y44" s="8">
        <v>-16401560.040277041</v>
      </c>
      <c r="Z44" s="8">
        <v>-16327691.7067251</v>
      </c>
      <c r="AA44" s="8">
        <v>-14059994.537772305</v>
      </c>
      <c r="AB44" s="8">
        <v>-12085640.234478185</v>
      </c>
      <c r="AC44" s="8">
        <v>-9914854.8411431815</v>
      </c>
      <c r="AD44" s="8">
        <v>-8081851.8771713311</v>
      </c>
      <c r="AE44" s="8">
        <v>-8401263.3482760899</v>
      </c>
      <c r="AF44" s="8">
        <v>-7738437.2327884426</v>
      </c>
      <c r="AG44" s="8">
        <v>-7863314.7334176479</v>
      </c>
      <c r="AH44" s="8">
        <v>-7437859.3137747115</v>
      </c>
      <c r="AI44" s="8">
        <v>-7536285.1973902863</v>
      </c>
      <c r="AJ44" s="8">
        <v>-6993675.7603538241</v>
      </c>
      <c r="AK44" s="8">
        <v>-4842047.9169687415</v>
      </c>
      <c r="AL44" s="8">
        <v>-3989840.2520249467</v>
      </c>
      <c r="AM44" s="8">
        <v>-3569543.9418254569</v>
      </c>
      <c r="AN44" s="8">
        <v>-3465539.7560988422</v>
      </c>
      <c r="AO44" s="8">
        <v>-3167460.7096599331</v>
      </c>
      <c r="AP44" s="8">
        <v>-1588084.6298428748</v>
      </c>
      <c r="AQ44" s="8">
        <v>-520744.03268733778</v>
      </c>
      <c r="AR44" s="8">
        <v>-423174.25823404558</v>
      </c>
      <c r="AS44" s="8">
        <v>-378832.81594144751</v>
      </c>
      <c r="AT44" s="8">
        <v>-333900.35829260712</v>
      </c>
      <c r="AU44" s="8">
        <v>-341443.93917980365</v>
      </c>
      <c r="AV44" s="8">
        <v>-334888.0915195297</v>
      </c>
      <c r="AW44" s="8">
        <v>-283814.23963722691</v>
      </c>
      <c r="AX44" s="8">
        <v>-213174.95057294521</v>
      </c>
      <c r="AY44" s="8">
        <v>-61017.290065410954</v>
      </c>
      <c r="AZ44" s="8">
        <v>-49943.988805479457</v>
      </c>
      <c r="BA44" s="8">
        <v>-25086.125753424658</v>
      </c>
      <c r="BB44" s="8">
        <v>-12138.447945205478</v>
      </c>
      <c r="BC44" s="8">
        <v>0</v>
      </c>
      <c r="BD44" s="3"/>
      <c r="BF44" s="8"/>
      <c r="BG44" s="8"/>
      <c r="BH44" s="8"/>
      <c r="BI44" s="8">
        <f>SUM($H44:H44)</f>
        <v>-23156097.382407259</v>
      </c>
      <c r="BJ44" s="8">
        <f>SUM($H44:I44)</f>
        <v>-46808841.22296872</v>
      </c>
      <c r="BK44" s="8">
        <f>SUM($H44:J44)</f>
        <v>-69207592.129510492</v>
      </c>
      <c r="BL44" s="8">
        <f>SUM($H44:K44)</f>
        <v>-91814124.115945846</v>
      </c>
      <c r="BM44" s="8">
        <f>SUM($H44:L44)</f>
        <v>-114206577.144454</v>
      </c>
      <c r="BN44" s="8">
        <f>SUM($H44:M44)</f>
        <v>-135624042.68674862</v>
      </c>
      <c r="BO44" s="8">
        <f>SUM($H44:N44)</f>
        <v>-157373259.50934285</v>
      </c>
      <c r="BP44" s="8">
        <f>SUM($H44:O44)</f>
        <v>-177899913.88597584</v>
      </c>
      <c r="BQ44" s="8">
        <f>SUM($H44:P44)</f>
        <v>-198394016.07970762</v>
      </c>
      <c r="BR44" s="8">
        <f>SUM($H44:Q44)</f>
        <v>-218431362.86270189</v>
      </c>
      <c r="BS44" s="8">
        <f>SUM($H44:R44)</f>
        <v>-237037643.01382688</v>
      </c>
      <c r="BT44" s="8">
        <f>SUM($H44:S44)</f>
        <v>-256677026.008201</v>
      </c>
    </row>
    <row r="45" spans="2:72" x14ac:dyDescent="0.3">
      <c r="E45" s="8"/>
      <c r="F45" s="8"/>
      <c r="G45" s="8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3"/>
      <c r="AZ45" s="3"/>
      <c r="BA45" s="3"/>
      <c r="BB45" s="3"/>
      <c r="BC45" s="3"/>
      <c r="BD45" s="3"/>
      <c r="BF45" s="8"/>
      <c r="BG45" s="8"/>
      <c r="BH45" s="8"/>
      <c r="BI45" s="8">
        <f>SUM($H45:H45)</f>
        <v>0</v>
      </c>
      <c r="BJ45" s="8">
        <f>SUM($H45:I45)</f>
        <v>0</v>
      </c>
      <c r="BK45" s="8">
        <f>SUM($H45:J45)</f>
        <v>0</v>
      </c>
      <c r="BL45" s="8">
        <f>SUM($H45:K45)</f>
        <v>0</v>
      </c>
      <c r="BM45" s="8">
        <f>SUM($H45:L45)</f>
        <v>0</v>
      </c>
      <c r="BN45" s="8">
        <f>SUM($H45:M45)</f>
        <v>0</v>
      </c>
      <c r="BO45" s="8">
        <f>SUM($H45:N45)</f>
        <v>0</v>
      </c>
      <c r="BP45" s="8">
        <f>SUM($H45:O45)</f>
        <v>0</v>
      </c>
      <c r="BQ45" s="8">
        <f>SUM($H45:P45)</f>
        <v>0</v>
      </c>
      <c r="BR45" s="8">
        <f>SUM($H45:Q45)</f>
        <v>0</v>
      </c>
      <c r="BS45" s="8">
        <f>SUM($H45:R45)</f>
        <v>0</v>
      </c>
      <c r="BT45" s="8">
        <f>SUM($H45:S45)</f>
        <v>0</v>
      </c>
    </row>
    <row r="46" spans="2:72" x14ac:dyDescent="0.3">
      <c r="B46" t="s">
        <v>1556</v>
      </c>
      <c r="C46" t="s">
        <v>1545</v>
      </c>
      <c r="E46" s="8">
        <v>0</v>
      </c>
      <c r="F46" s="8">
        <v>0</v>
      </c>
      <c r="G46" s="8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0</v>
      </c>
      <c r="AA46" s="8">
        <v>0</v>
      </c>
      <c r="AB46" s="8">
        <v>0</v>
      </c>
      <c r="AC46" s="8">
        <v>0</v>
      </c>
      <c r="AD46" s="8">
        <v>0</v>
      </c>
      <c r="AE46" s="8">
        <v>0</v>
      </c>
      <c r="AF46" s="8">
        <v>0</v>
      </c>
      <c r="AG46" s="8">
        <v>0</v>
      </c>
      <c r="AH46" s="8">
        <v>0</v>
      </c>
      <c r="AI46" s="8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8">
        <v>0</v>
      </c>
      <c r="AS46" s="8">
        <v>0</v>
      </c>
      <c r="AT46" s="8">
        <v>0</v>
      </c>
      <c r="AU46" s="8">
        <v>0</v>
      </c>
      <c r="AV46" s="8">
        <v>0</v>
      </c>
      <c r="AW46" s="8">
        <v>0</v>
      </c>
      <c r="AX46" s="8">
        <v>0</v>
      </c>
      <c r="AY46" s="8">
        <v>0</v>
      </c>
      <c r="AZ46" s="8">
        <v>0</v>
      </c>
      <c r="BA46" s="8">
        <v>0</v>
      </c>
      <c r="BB46" s="8">
        <v>0</v>
      </c>
      <c r="BC46" s="8">
        <v>0</v>
      </c>
      <c r="BD46" s="8"/>
      <c r="BF46" s="8"/>
      <c r="BG46" s="8"/>
      <c r="BH46" s="8"/>
      <c r="BI46" s="8">
        <f>SUM($H46:H46)</f>
        <v>0</v>
      </c>
      <c r="BJ46" s="8">
        <f>SUM($H46:I46)</f>
        <v>0</v>
      </c>
      <c r="BK46" s="8">
        <f>SUM($H46:J46)</f>
        <v>0</v>
      </c>
      <c r="BL46" s="8">
        <f>SUM($H46:K46)</f>
        <v>0</v>
      </c>
      <c r="BM46" s="8">
        <f>SUM($H46:L46)</f>
        <v>0</v>
      </c>
      <c r="BN46" s="8">
        <f>SUM($H46:M46)</f>
        <v>0</v>
      </c>
      <c r="BO46" s="8">
        <f>SUM($H46:N46)</f>
        <v>0</v>
      </c>
      <c r="BP46" s="8">
        <f>SUM($H46:O46)</f>
        <v>0</v>
      </c>
      <c r="BQ46" s="8">
        <f>SUM($H46:P46)</f>
        <v>0</v>
      </c>
      <c r="BR46" s="8">
        <f>SUM($H46:Q46)</f>
        <v>0</v>
      </c>
      <c r="BS46" s="8">
        <f>SUM($H46:R46)</f>
        <v>0</v>
      </c>
      <c r="BT46" s="8">
        <f>SUM($H46:S46)</f>
        <v>0</v>
      </c>
    </row>
    <row r="47" spans="2:72" x14ac:dyDescent="0.3">
      <c r="B47" t="s">
        <v>1556</v>
      </c>
      <c r="C47" t="s">
        <v>1546</v>
      </c>
      <c r="E47" s="8">
        <v>0</v>
      </c>
      <c r="F47" s="8">
        <v>0</v>
      </c>
      <c r="G47" s="8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</v>
      </c>
      <c r="R47" s="44">
        <v>0</v>
      </c>
      <c r="S47" s="44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8">
        <v>0</v>
      </c>
      <c r="AC47" s="8">
        <v>0</v>
      </c>
      <c r="AD47" s="8">
        <v>0</v>
      </c>
      <c r="AE47" s="8">
        <v>0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8">
        <v>0</v>
      </c>
      <c r="AS47" s="8">
        <v>0</v>
      </c>
      <c r="AT47" s="8">
        <v>0</v>
      </c>
      <c r="AU47" s="8">
        <v>0</v>
      </c>
      <c r="AV47" s="8">
        <v>0</v>
      </c>
      <c r="AW47" s="8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/>
      <c r="BF47" s="8"/>
      <c r="BG47" s="8"/>
      <c r="BH47" s="8"/>
      <c r="BI47" s="8">
        <f>SUM($H47:H47)</f>
        <v>0</v>
      </c>
      <c r="BJ47" s="8">
        <f>SUM($H47:I47)</f>
        <v>0</v>
      </c>
      <c r="BK47" s="8">
        <f>SUM($H47:J47)</f>
        <v>0</v>
      </c>
      <c r="BL47" s="8">
        <f>SUM($H47:K47)</f>
        <v>0</v>
      </c>
      <c r="BM47" s="8">
        <f>SUM($H47:L47)</f>
        <v>0</v>
      </c>
      <c r="BN47" s="8">
        <f>SUM($H47:M47)</f>
        <v>0</v>
      </c>
      <c r="BO47" s="8">
        <f>SUM($H47:N47)</f>
        <v>0</v>
      </c>
      <c r="BP47" s="8">
        <f>SUM($H47:O47)</f>
        <v>0</v>
      </c>
      <c r="BQ47" s="8">
        <f>SUM($H47:P47)</f>
        <v>0</v>
      </c>
      <c r="BR47" s="8">
        <f>SUM($H47:Q47)</f>
        <v>0</v>
      </c>
      <c r="BS47" s="8">
        <f>SUM($H47:R47)</f>
        <v>0</v>
      </c>
      <c r="BT47" s="8">
        <f>SUM($H47:S47)</f>
        <v>0</v>
      </c>
    </row>
    <row r="48" spans="2:72" x14ac:dyDescent="0.3">
      <c r="B48" t="s">
        <v>1556</v>
      </c>
      <c r="C48" t="s">
        <v>1547</v>
      </c>
      <c r="E48" s="8">
        <v>0</v>
      </c>
      <c r="F48" s="8">
        <v>0</v>
      </c>
      <c r="G48" s="8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0</v>
      </c>
      <c r="T48" s="8"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8">
        <v>0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8">
        <v>0</v>
      </c>
      <c r="AT48" s="8">
        <v>0</v>
      </c>
      <c r="AU48" s="8">
        <v>0</v>
      </c>
      <c r="AV48" s="8">
        <v>0</v>
      </c>
      <c r="AW48" s="8">
        <v>0</v>
      </c>
      <c r="AX48" s="8">
        <v>0</v>
      </c>
      <c r="AY48" s="8">
        <v>0</v>
      </c>
      <c r="AZ48" s="8">
        <v>0</v>
      </c>
      <c r="BA48" s="8">
        <v>0</v>
      </c>
      <c r="BB48" s="8">
        <v>0</v>
      </c>
      <c r="BC48" s="8">
        <v>0</v>
      </c>
      <c r="BD48" s="8"/>
      <c r="BF48" s="8"/>
      <c r="BG48" s="8"/>
      <c r="BH48" s="8"/>
      <c r="BI48" s="8">
        <f>SUM($H48:H48)</f>
        <v>0</v>
      </c>
      <c r="BJ48" s="8">
        <f>SUM($H48:I48)</f>
        <v>0</v>
      </c>
      <c r="BK48" s="8">
        <f>SUM($H48:J48)</f>
        <v>0</v>
      </c>
      <c r="BL48" s="8">
        <f>SUM($H48:K48)</f>
        <v>0</v>
      </c>
      <c r="BM48" s="8">
        <f>SUM($H48:L48)</f>
        <v>0</v>
      </c>
      <c r="BN48" s="8">
        <f>SUM($H48:M48)</f>
        <v>0</v>
      </c>
      <c r="BO48" s="8">
        <f>SUM($H48:N48)</f>
        <v>0</v>
      </c>
      <c r="BP48" s="8">
        <f>SUM($H48:O48)</f>
        <v>0</v>
      </c>
      <c r="BQ48" s="8">
        <f>SUM($H48:P48)</f>
        <v>0</v>
      </c>
      <c r="BR48" s="8">
        <f>SUM($H48:Q48)</f>
        <v>0</v>
      </c>
      <c r="BS48" s="8">
        <f>SUM($H48:R48)</f>
        <v>0</v>
      </c>
      <c r="BT48" s="8">
        <f>SUM($H48:S48)</f>
        <v>0</v>
      </c>
    </row>
    <row r="49" spans="2:72" x14ac:dyDescent="0.3">
      <c r="B49" t="s">
        <v>1556</v>
      </c>
      <c r="C49" t="s">
        <v>1548</v>
      </c>
      <c r="E49" s="8">
        <v>0</v>
      </c>
      <c r="F49" s="8">
        <v>0</v>
      </c>
      <c r="G49" s="8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0</v>
      </c>
      <c r="R49" s="44">
        <v>0</v>
      </c>
      <c r="S49" s="44">
        <v>0</v>
      </c>
      <c r="T49" s="8"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8">
        <v>0</v>
      </c>
      <c r="AA49" s="8">
        <v>0</v>
      </c>
      <c r="AB49" s="8">
        <v>0</v>
      </c>
      <c r="AC49" s="8">
        <v>0</v>
      </c>
      <c r="AD49" s="8">
        <v>0</v>
      </c>
      <c r="AE49" s="8">
        <v>0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8">
        <v>0</v>
      </c>
      <c r="AS49" s="8">
        <v>0</v>
      </c>
      <c r="AT49" s="8">
        <v>0</v>
      </c>
      <c r="AU49" s="8">
        <v>0</v>
      </c>
      <c r="AV49" s="8">
        <v>0</v>
      </c>
      <c r="AW49" s="8">
        <v>0</v>
      </c>
      <c r="AX49" s="8">
        <v>0</v>
      </c>
      <c r="AY49" s="8">
        <v>0</v>
      </c>
      <c r="AZ49" s="8">
        <v>0</v>
      </c>
      <c r="BA49" s="8">
        <v>0</v>
      </c>
      <c r="BB49" s="8">
        <v>0</v>
      </c>
      <c r="BC49" s="8">
        <v>0</v>
      </c>
      <c r="BD49" s="8"/>
      <c r="BF49" s="8"/>
      <c r="BG49" s="8"/>
      <c r="BH49" s="8"/>
      <c r="BI49" s="8">
        <f>SUM($H49:H49)</f>
        <v>0</v>
      </c>
      <c r="BJ49" s="8">
        <f>SUM($H49:I49)</f>
        <v>0</v>
      </c>
      <c r="BK49" s="8">
        <f>SUM($H49:J49)</f>
        <v>0</v>
      </c>
      <c r="BL49" s="8">
        <f>SUM($H49:K49)</f>
        <v>0</v>
      </c>
      <c r="BM49" s="8">
        <f>SUM($H49:L49)</f>
        <v>0</v>
      </c>
      <c r="BN49" s="8">
        <f>SUM($H49:M49)</f>
        <v>0</v>
      </c>
      <c r="BO49" s="8">
        <f>SUM($H49:N49)</f>
        <v>0</v>
      </c>
      <c r="BP49" s="8">
        <f>SUM($H49:O49)</f>
        <v>0</v>
      </c>
      <c r="BQ49" s="8">
        <f>SUM($H49:P49)</f>
        <v>0</v>
      </c>
      <c r="BR49" s="8">
        <f>SUM($H49:Q49)</f>
        <v>0</v>
      </c>
      <c r="BS49" s="8">
        <f>SUM($H49:R49)</f>
        <v>0</v>
      </c>
      <c r="BT49" s="8">
        <f>SUM($H49:S49)</f>
        <v>0</v>
      </c>
    </row>
    <row r="50" spans="2:72" x14ac:dyDescent="0.3">
      <c r="B50" t="s">
        <v>1556</v>
      </c>
      <c r="C50" t="s">
        <v>1549</v>
      </c>
      <c r="E50" s="8">
        <v>0</v>
      </c>
      <c r="F50" s="8">
        <v>0</v>
      </c>
      <c r="G50" s="8">
        <v>0</v>
      </c>
      <c r="H50" s="44">
        <v>0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0</v>
      </c>
      <c r="R50" s="44">
        <v>0</v>
      </c>
      <c r="S50" s="44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/>
      <c r="BF50" s="8"/>
      <c r="BG50" s="8"/>
      <c r="BH50" s="8"/>
      <c r="BI50" s="8">
        <f>SUM($H50:H50)</f>
        <v>0</v>
      </c>
      <c r="BJ50" s="8">
        <f>SUM($H50:I50)</f>
        <v>0</v>
      </c>
      <c r="BK50" s="8">
        <f>SUM($H50:J50)</f>
        <v>0</v>
      </c>
      <c r="BL50" s="8">
        <f>SUM($H50:K50)</f>
        <v>0</v>
      </c>
      <c r="BM50" s="8">
        <f>SUM($H50:L50)</f>
        <v>0</v>
      </c>
      <c r="BN50" s="8">
        <f>SUM($H50:M50)</f>
        <v>0</v>
      </c>
      <c r="BO50" s="8">
        <f>SUM($H50:N50)</f>
        <v>0</v>
      </c>
      <c r="BP50" s="8">
        <f>SUM($H50:O50)</f>
        <v>0</v>
      </c>
      <c r="BQ50" s="8">
        <f>SUM($H50:P50)</f>
        <v>0</v>
      </c>
      <c r="BR50" s="8">
        <f>SUM($H50:Q50)</f>
        <v>0</v>
      </c>
      <c r="BS50" s="8">
        <f>SUM($H50:R50)</f>
        <v>0</v>
      </c>
      <c r="BT50" s="8">
        <f>SUM($H50:S50)</f>
        <v>0</v>
      </c>
    </row>
    <row r="51" spans="2:72" x14ac:dyDescent="0.3">
      <c r="E51" s="8"/>
      <c r="F51" s="8"/>
      <c r="G51" s="8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3"/>
      <c r="AZ51" s="3"/>
      <c r="BA51" s="3"/>
      <c r="BB51" s="3"/>
      <c r="BC51" s="3"/>
      <c r="BD51" s="3"/>
      <c r="BF51" s="8"/>
      <c r="BG51" s="8"/>
      <c r="BH51" s="8"/>
      <c r="BI51" s="8">
        <f>SUM($H51:H51)</f>
        <v>0</v>
      </c>
      <c r="BJ51" s="8">
        <f>SUM($H51:I51)</f>
        <v>0</v>
      </c>
      <c r="BK51" s="8">
        <f>SUM($H51:J51)</f>
        <v>0</v>
      </c>
      <c r="BL51" s="8">
        <f>SUM($H51:K51)</f>
        <v>0</v>
      </c>
      <c r="BM51" s="8">
        <f>SUM($H51:L51)</f>
        <v>0</v>
      </c>
      <c r="BN51" s="8">
        <f>SUM($H51:M51)</f>
        <v>0</v>
      </c>
      <c r="BO51" s="8">
        <f>SUM($H51:N51)</f>
        <v>0</v>
      </c>
      <c r="BP51" s="8">
        <f>SUM($H51:O51)</f>
        <v>0</v>
      </c>
      <c r="BQ51" s="8">
        <f>SUM($H51:P51)</f>
        <v>0</v>
      </c>
      <c r="BR51" s="8">
        <f>SUM($H51:Q51)</f>
        <v>0</v>
      </c>
      <c r="BS51" s="8">
        <f>SUM($H51:R51)</f>
        <v>0</v>
      </c>
      <c r="BT51" s="8">
        <f>SUM($H51:S51)</f>
        <v>0</v>
      </c>
    </row>
    <row r="52" spans="2:72" x14ac:dyDescent="0.3">
      <c r="B52" t="s">
        <v>1557</v>
      </c>
      <c r="C52" t="s">
        <v>1488</v>
      </c>
      <c r="E52" s="8">
        <v>-29040492.113558773</v>
      </c>
      <c r="F52" s="8">
        <v>-24210883.125960007</v>
      </c>
      <c r="G52" s="8">
        <v>-26078326.281821106</v>
      </c>
      <c r="H52" s="44">
        <v>-24821578.958934367</v>
      </c>
      <c r="I52" s="44">
        <v>-25257052.78984436</v>
      </c>
      <c r="J52" s="44">
        <v>-23827885.059232011</v>
      </c>
      <c r="K52" s="44">
        <v>-24136746.759504195</v>
      </c>
      <c r="L52" s="44">
        <v>-23567085.641444031</v>
      </c>
      <c r="M52" s="44">
        <v>-22327253.906860907</v>
      </c>
      <c r="N52" s="44">
        <v>-22759341.203648873</v>
      </c>
      <c r="O52" s="44">
        <v>-21623836.980677802</v>
      </c>
      <c r="P52" s="44">
        <v>-21516029.020588599</v>
      </c>
      <c r="Q52" s="44">
        <v>-20801936.957795925</v>
      </c>
      <c r="R52" s="44">
        <v>-18932667.993560527</v>
      </c>
      <c r="S52" s="44">
        <v>-19772241.767757837</v>
      </c>
      <c r="T52" s="8">
        <v>-18650729.958506797</v>
      </c>
      <c r="U52" s="8">
        <v>-18665684.864660323</v>
      </c>
      <c r="V52" s="8">
        <v>-17425154.507200234</v>
      </c>
      <c r="W52" s="8">
        <v>-17495409.289290994</v>
      </c>
      <c r="X52" s="8">
        <v>-16768271.566764213</v>
      </c>
      <c r="Y52" s="8">
        <v>-15747085.905147895</v>
      </c>
      <c r="Z52" s="8">
        <v>-15896988.283725917</v>
      </c>
      <c r="AA52" s="8">
        <v>-14025713.26152109</v>
      </c>
      <c r="AB52" s="8">
        <v>-12494819.459497802</v>
      </c>
      <c r="AC52" s="8">
        <v>-10673591.917436436</v>
      </c>
      <c r="AD52" s="8">
        <v>-8530902.7296748534</v>
      </c>
      <c r="AE52" s="8">
        <v>-8806687.0854604375</v>
      </c>
      <c r="AF52" s="8">
        <v>-8287098.5185030121</v>
      </c>
      <c r="AG52" s="8">
        <v>-8217697.3949445952</v>
      </c>
      <c r="AH52" s="8">
        <v>-7705442.1749018077</v>
      </c>
      <c r="AI52" s="8">
        <v>-7786681.8020890411</v>
      </c>
      <c r="AJ52" s="8">
        <v>-6475251.1204980845</v>
      </c>
      <c r="AK52" s="8">
        <v>-3745296.5113150701</v>
      </c>
      <c r="AL52" s="8">
        <v>-3756416.4406876699</v>
      </c>
      <c r="AM52" s="8">
        <v>-3396827.9610411013</v>
      </c>
      <c r="AN52" s="8">
        <v>-3359381.2832904113</v>
      </c>
      <c r="AO52" s="8">
        <v>-2972882.21292328</v>
      </c>
      <c r="AP52" s="8">
        <v>-329648.30383561598</v>
      </c>
      <c r="AQ52" s="8">
        <v>0</v>
      </c>
      <c r="AR52" s="8">
        <v>0</v>
      </c>
      <c r="AS52" s="8">
        <v>0</v>
      </c>
      <c r="AT52" s="8">
        <v>0</v>
      </c>
      <c r="AU52" s="8">
        <v>0</v>
      </c>
      <c r="AV52" s="8">
        <v>0</v>
      </c>
      <c r="AW52" s="8">
        <v>0</v>
      </c>
      <c r="AX52" s="8">
        <v>0</v>
      </c>
      <c r="AY52" s="8">
        <v>0</v>
      </c>
      <c r="AZ52" s="8">
        <v>0</v>
      </c>
      <c r="BA52" s="8">
        <v>0</v>
      </c>
      <c r="BB52" s="8">
        <v>0</v>
      </c>
      <c r="BC52" s="8">
        <v>0</v>
      </c>
      <c r="BD52" s="3"/>
      <c r="BF52" s="8"/>
      <c r="BG52" s="8"/>
      <c r="BH52" s="8"/>
      <c r="BI52" s="8">
        <f>SUM($H52:H52)</f>
        <v>-24821578.958934367</v>
      </c>
      <c r="BJ52" s="8">
        <f>SUM($H52:I52)</f>
        <v>-50078631.748778731</v>
      </c>
      <c r="BK52" s="8">
        <f>SUM($H52:J52)</f>
        <v>-73906516.808010742</v>
      </c>
      <c r="BL52" s="8">
        <f>SUM($H52:K52)</f>
        <v>-98043263.567514941</v>
      </c>
      <c r="BM52" s="8">
        <f>SUM($H52:L52)</f>
        <v>-121610349.20895897</v>
      </c>
      <c r="BN52" s="8">
        <f>SUM($H52:M52)</f>
        <v>-143937603.11581987</v>
      </c>
      <c r="BO52" s="8">
        <f>SUM($H52:N52)</f>
        <v>-166696944.31946874</v>
      </c>
      <c r="BP52" s="8">
        <f>SUM($H52:O52)</f>
        <v>-188320781.30014655</v>
      </c>
      <c r="BQ52" s="8">
        <f>SUM($H52:P52)</f>
        <v>-209836810.32073516</v>
      </c>
      <c r="BR52" s="8">
        <f>SUM($H52:Q52)</f>
        <v>-230638747.27853107</v>
      </c>
      <c r="BS52" s="8">
        <f>SUM($H52:R52)</f>
        <v>-249571415.2720916</v>
      </c>
      <c r="BT52" s="8">
        <f>SUM($H52:S52)</f>
        <v>-269343657.03984946</v>
      </c>
    </row>
    <row r="53" spans="2:72" x14ac:dyDescent="0.3">
      <c r="B53" t="s">
        <v>1558</v>
      </c>
      <c r="C53" t="s">
        <v>1488</v>
      </c>
      <c r="E53" s="8">
        <v>-3286721.3925183285</v>
      </c>
      <c r="F53" s="8">
        <v>-3664893.0430099638</v>
      </c>
      <c r="G53" s="8">
        <v>-3500781.7784862081</v>
      </c>
      <c r="H53" s="44">
        <v>-3571012.223864926</v>
      </c>
      <c r="I53" s="44">
        <v>-3710222.6000782684</v>
      </c>
      <c r="J53" s="44">
        <v>-3954520.6869553146</v>
      </c>
      <c r="K53" s="44">
        <v>-4023295.2274187827</v>
      </c>
      <c r="L53" s="44">
        <v>-4314673.5970652867</v>
      </c>
      <c r="M53" s="44">
        <v>-4283683.4981820323</v>
      </c>
      <c r="N53" s="44">
        <v>-4275367.8831711113</v>
      </c>
      <c r="O53" s="44">
        <v>-4356848.7054426568</v>
      </c>
      <c r="P53" s="44">
        <v>-4325439.4492563121</v>
      </c>
      <c r="Q53" s="44">
        <v>-4460099.8535679849</v>
      </c>
      <c r="R53" s="44">
        <v>-4460099.8535679849</v>
      </c>
      <c r="S53" s="44">
        <v>-4639521.2155909985</v>
      </c>
      <c r="T53" s="44">
        <v>-4639521.2155909985</v>
      </c>
      <c r="U53" s="44">
        <v>-4639521.2155909985</v>
      </c>
      <c r="V53" s="44">
        <v>-4639521.2155909985</v>
      </c>
      <c r="W53" s="44">
        <v>-4639521.2155909985</v>
      </c>
      <c r="X53" s="44">
        <v>-4639521.2155909985</v>
      </c>
      <c r="Y53" s="44">
        <v>-4639521.2155909985</v>
      </c>
      <c r="Z53" s="44">
        <v>-4639521.2155909985</v>
      </c>
      <c r="AA53" s="44">
        <v>-4639521.2155909985</v>
      </c>
      <c r="AB53" s="44">
        <v>-4639521.2155909985</v>
      </c>
      <c r="AC53" s="44">
        <v>-4639521.2155909985</v>
      </c>
      <c r="AD53" s="44">
        <v>-4639521.2155909985</v>
      </c>
      <c r="AE53" s="44">
        <v>-4639521.2155909985</v>
      </c>
      <c r="AF53" s="44">
        <v>-4639521.2155909985</v>
      </c>
      <c r="AG53" s="44">
        <v>-4639521.2155909985</v>
      </c>
      <c r="AH53" s="44">
        <v>-4639521.2155909985</v>
      </c>
      <c r="AI53" s="44">
        <v>-4639521.2155909985</v>
      </c>
      <c r="AJ53" s="44">
        <v>-4639521.2155909985</v>
      </c>
      <c r="AK53" s="44">
        <v>-4639521.2155909985</v>
      </c>
      <c r="AL53" s="44">
        <v>-4639521.2155909985</v>
      </c>
      <c r="AM53" s="44">
        <v>-4639521.2155909985</v>
      </c>
      <c r="AN53" s="44">
        <v>-4639521.2155909985</v>
      </c>
      <c r="AO53" s="44">
        <v>-4639521.2155909985</v>
      </c>
      <c r="AP53" s="44">
        <v>-4639521.2155909985</v>
      </c>
      <c r="AQ53" s="44">
        <v>-4639521.2155909985</v>
      </c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3"/>
      <c r="BF53" s="8"/>
      <c r="BG53" s="8"/>
      <c r="BH53" s="8"/>
      <c r="BI53" s="8">
        <f>SUM($H53:H53)</f>
        <v>-3571012.223864926</v>
      </c>
      <c r="BJ53" s="8">
        <f>SUM($H53:I53)</f>
        <v>-7281234.823943194</v>
      </c>
      <c r="BK53" s="8">
        <f>SUM($H53:J53)</f>
        <v>-11235755.510898508</v>
      </c>
      <c r="BL53" s="8">
        <f>SUM($H53:K53)</f>
        <v>-15259050.73831729</v>
      </c>
      <c r="BM53" s="8">
        <f>SUM($H53:L53)</f>
        <v>-19573724.335382577</v>
      </c>
      <c r="BN53" s="8">
        <f>SUM($H53:M53)</f>
        <v>-23857407.833564609</v>
      </c>
      <c r="BO53" s="8">
        <f>SUM($H53:N53)</f>
        <v>-28132775.716735721</v>
      </c>
      <c r="BP53" s="8">
        <f>SUM($H53:O53)</f>
        <v>-32489624.422178376</v>
      </c>
      <c r="BQ53" s="8">
        <f>SUM($H53:P53)</f>
        <v>-36815063.871434689</v>
      </c>
      <c r="BR53" s="8">
        <f>SUM($H53:Q53)</f>
        <v>-41275163.725002676</v>
      </c>
      <c r="BS53" s="8">
        <f>SUM($H53:R53)</f>
        <v>-45735263.578570664</v>
      </c>
      <c r="BT53" s="8">
        <f>SUM($H53:S53)</f>
        <v>-50374784.794161662</v>
      </c>
    </row>
    <row r="54" spans="2:72" x14ac:dyDescent="0.3">
      <c r="E54" s="8"/>
      <c r="F54" s="8"/>
      <c r="G54" s="8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3"/>
      <c r="AZ54" s="3"/>
      <c r="BA54" s="3"/>
      <c r="BB54" s="3"/>
      <c r="BC54" s="3"/>
      <c r="BD54" s="3"/>
      <c r="BF54" s="8"/>
      <c r="BG54" s="8"/>
      <c r="BH54" s="8"/>
      <c r="BI54" s="8">
        <f>SUM($H54:H54)</f>
        <v>0</v>
      </c>
      <c r="BJ54" s="8">
        <f>SUM($H54:I54)</f>
        <v>0</v>
      </c>
      <c r="BK54" s="8">
        <f>SUM($H54:J54)</f>
        <v>0</v>
      </c>
      <c r="BL54" s="8">
        <f>SUM($H54:K54)</f>
        <v>0</v>
      </c>
      <c r="BM54" s="8">
        <f>SUM($H54:L54)</f>
        <v>0</v>
      </c>
      <c r="BN54" s="8">
        <f>SUM($H54:M54)</f>
        <v>0</v>
      </c>
      <c r="BO54" s="8">
        <f>SUM($H54:N54)</f>
        <v>0</v>
      </c>
      <c r="BP54" s="8">
        <f>SUM($H54:O54)</f>
        <v>0</v>
      </c>
      <c r="BQ54" s="8">
        <f>SUM($H54:P54)</f>
        <v>0</v>
      </c>
      <c r="BR54" s="8">
        <f>SUM($H54:Q54)</f>
        <v>0</v>
      </c>
      <c r="BS54" s="8">
        <f>SUM($H54:R54)</f>
        <v>0</v>
      </c>
      <c r="BT54" s="8">
        <f>SUM($H54:S54)</f>
        <v>0</v>
      </c>
    </row>
    <row r="55" spans="2:72" x14ac:dyDescent="0.3">
      <c r="B55" t="s">
        <v>1559</v>
      </c>
      <c r="C55" t="s">
        <v>1560</v>
      </c>
      <c r="E55" s="8">
        <v>0</v>
      </c>
      <c r="F55" s="8">
        <v>0</v>
      </c>
      <c r="G55" s="8">
        <v>0</v>
      </c>
      <c r="H55" s="44">
        <v>0</v>
      </c>
      <c r="I55" s="44">
        <v>0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0</v>
      </c>
      <c r="R55" s="44">
        <v>0</v>
      </c>
      <c r="S55" s="44">
        <v>0</v>
      </c>
      <c r="T55" s="8">
        <v>0</v>
      </c>
      <c r="U55" s="8">
        <v>0</v>
      </c>
      <c r="V55" s="8">
        <v>0</v>
      </c>
      <c r="W55" s="8">
        <v>0</v>
      </c>
      <c r="X55" s="8">
        <v>0</v>
      </c>
      <c r="Y55" s="8">
        <v>0</v>
      </c>
      <c r="Z55" s="8">
        <v>0</v>
      </c>
      <c r="AA55" s="8">
        <v>0</v>
      </c>
      <c r="AB55" s="8">
        <v>0</v>
      </c>
      <c r="AC55" s="8">
        <v>0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8">
        <v>0</v>
      </c>
      <c r="AS55" s="8">
        <v>0</v>
      </c>
      <c r="AT55" s="8">
        <v>0</v>
      </c>
      <c r="AU55" s="8">
        <v>0</v>
      </c>
      <c r="AV55" s="8">
        <v>0</v>
      </c>
      <c r="AW55" s="8">
        <v>0</v>
      </c>
      <c r="AX55" s="8">
        <v>0</v>
      </c>
      <c r="AY55" s="8">
        <v>0</v>
      </c>
      <c r="AZ55" s="8">
        <v>0</v>
      </c>
      <c r="BA55" s="8">
        <v>0</v>
      </c>
      <c r="BB55" s="8">
        <v>0</v>
      </c>
      <c r="BC55" s="8">
        <v>0</v>
      </c>
      <c r="BD55" s="8"/>
      <c r="BF55" s="8"/>
      <c r="BG55" s="8"/>
      <c r="BH55" s="8"/>
      <c r="BI55" s="8">
        <f>SUM($H55:H55)</f>
        <v>0</v>
      </c>
      <c r="BJ55" s="8">
        <f>SUM($H55:I55)</f>
        <v>0</v>
      </c>
      <c r="BK55" s="8">
        <f>SUM($H55:J55)</f>
        <v>0</v>
      </c>
      <c r="BL55" s="8">
        <f>SUM($H55:K55)</f>
        <v>0</v>
      </c>
      <c r="BM55" s="8">
        <f>SUM($H55:L55)</f>
        <v>0</v>
      </c>
      <c r="BN55" s="8">
        <f>SUM($H55:M55)</f>
        <v>0</v>
      </c>
      <c r="BO55" s="8">
        <f>SUM($H55:N55)</f>
        <v>0</v>
      </c>
      <c r="BP55" s="8">
        <f>SUM($H55:O55)</f>
        <v>0</v>
      </c>
      <c r="BQ55" s="8">
        <f>SUM($H55:P55)</f>
        <v>0</v>
      </c>
      <c r="BR55" s="8">
        <f>SUM($H55:Q55)</f>
        <v>0</v>
      </c>
      <c r="BS55" s="8">
        <f>SUM($H55:R55)</f>
        <v>0</v>
      </c>
      <c r="BT55" s="8">
        <f>SUM($H55:S55)</f>
        <v>0</v>
      </c>
    </row>
    <row r="56" spans="2:72" x14ac:dyDescent="0.3">
      <c r="B56" t="s">
        <v>1561</v>
      </c>
      <c r="C56" t="s">
        <v>1488</v>
      </c>
      <c r="E56" s="8">
        <v>-3257920.0641666669</v>
      </c>
      <c r="F56" s="8">
        <v>-3206780.8912499999</v>
      </c>
      <c r="G56" s="8">
        <v>-3131019.0154166669</v>
      </c>
      <c r="H56" s="44">
        <v>-3084122.7304166667</v>
      </c>
      <c r="I56" s="44">
        <v>-3021197.8149999999</v>
      </c>
      <c r="J56" s="44">
        <v>-2947302.8766666669</v>
      </c>
      <c r="K56" s="44">
        <v>-2889443.8541666665</v>
      </c>
      <c r="L56" s="44">
        <v>-2821250.6524999999</v>
      </c>
      <c r="M56" s="44">
        <v>-2759667.6508333334</v>
      </c>
      <c r="N56" s="44">
        <v>-2721144.4408333334</v>
      </c>
      <c r="O56" s="44">
        <v>-2652321.9624999999</v>
      </c>
      <c r="P56" s="44">
        <v>-2562765.4216666669</v>
      </c>
      <c r="Q56" s="44">
        <v>-2486034.6125000003</v>
      </c>
      <c r="R56" s="44">
        <v>-2422541.4641666668</v>
      </c>
      <c r="S56" s="44">
        <v>-2372200.8675000002</v>
      </c>
      <c r="T56" s="8">
        <v>-2302013.23875</v>
      </c>
      <c r="U56" s="8">
        <v>-2222177.5175000001</v>
      </c>
      <c r="V56" s="8">
        <v>-2156067.7045833333</v>
      </c>
      <c r="W56" s="8">
        <v>-2076559.1441666665</v>
      </c>
      <c r="X56" s="8">
        <v>-1987539.7345833336</v>
      </c>
      <c r="Y56" s="8">
        <v>-1927839.7270833335</v>
      </c>
      <c r="Z56" s="8">
        <v>-1883001.0120833332</v>
      </c>
      <c r="AA56" s="8">
        <v>-1711356.4262500003</v>
      </c>
      <c r="AB56" s="8">
        <v>-1429666.8966666667</v>
      </c>
      <c r="AC56" s="8">
        <v>-1234785.6008333333</v>
      </c>
      <c r="AD56" s="8">
        <v>-1097873.0887500001</v>
      </c>
      <c r="AE56" s="8">
        <v>-1007250.8583333334</v>
      </c>
      <c r="AF56" s="8">
        <v>-979124.42833333346</v>
      </c>
      <c r="AG56" s="8">
        <v>-943488.30666666664</v>
      </c>
      <c r="AH56" s="8">
        <v>-912236.58499999996</v>
      </c>
      <c r="AI56" s="8">
        <v>-888901.53</v>
      </c>
      <c r="AJ56" s="8">
        <v>-629422.98666666658</v>
      </c>
      <c r="AK56" s="8">
        <v>-373881.79750000004</v>
      </c>
      <c r="AL56" s="8">
        <v>-362840.13083333336</v>
      </c>
      <c r="AM56" s="8">
        <v>-343465.13083333336</v>
      </c>
      <c r="AN56" s="8">
        <v>-324090.13083333336</v>
      </c>
      <c r="AO56" s="8">
        <v>0</v>
      </c>
      <c r="AP56" s="8">
        <v>0</v>
      </c>
      <c r="AQ56" s="8">
        <v>0</v>
      </c>
      <c r="AR56" s="8">
        <v>0</v>
      </c>
      <c r="AS56" s="8">
        <v>0</v>
      </c>
      <c r="AT56" s="8">
        <v>0</v>
      </c>
      <c r="AU56" s="8">
        <v>0</v>
      </c>
      <c r="AV56" s="8">
        <v>0</v>
      </c>
      <c r="AW56" s="8">
        <v>0</v>
      </c>
      <c r="AX56" s="8">
        <v>0</v>
      </c>
      <c r="AY56" s="8">
        <v>0</v>
      </c>
      <c r="AZ56" s="8">
        <v>0</v>
      </c>
      <c r="BA56" s="8">
        <v>0</v>
      </c>
      <c r="BB56" s="8">
        <v>0</v>
      </c>
      <c r="BC56" s="8">
        <v>0</v>
      </c>
      <c r="BD56" s="8"/>
      <c r="BF56" s="8"/>
      <c r="BG56" s="8"/>
      <c r="BH56" s="8"/>
      <c r="BI56" s="8">
        <f>SUM($H56:H56)</f>
        <v>-3084122.7304166667</v>
      </c>
      <c r="BJ56" s="8">
        <f>SUM($H56:I56)</f>
        <v>-6105320.5454166662</v>
      </c>
      <c r="BK56" s="8">
        <f>SUM($H56:J56)</f>
        <v>-9052623.4220833331</v>
      </c>
      <c r="BL56" s="8">
        <f>SUM($H56:K56)</f>
        <v>-11942067.276249999</v>
      </c>
      <c r="BM56" s="8">
        <f>SUM($H56:L56)</f>
        <v>-14763317.928749999</v>
      </c>
      <c r="BN56" s="8">
        <f>SUM($H56:M56)</f>
        <v>-17522985.579583332</v>
      </c>
      <c r="BO56" s="8">
        <f>SUM($H56:N56)</f>
        <v>-20244130.020416666</v>
      </c>
      <c r="BP56" s="8">
        <f>SUM($H56:O56)</f>
        <v>-22896451.982916664</v>
      </c>
      <c r="BQ56" s="8">
        <f>SUM($H56:P56)</f>
        <v>-25459217.404583331</v>
      </c>
      <c r="BR56" s="8">
        <f>SUM($H56:Q56)</f>
        <v>-27945252.017083332</v>
      </c>
      <c r="BS56" s="8">
        <f>SUM($H56:R56)</f>
        <v>-30367793.481249999</v>
      </c>
      <c r="BT56" s="8">
        <f>SUM($H56:S56)</f>
        <v>-32739994.348749999</v>
      </c>
    </row>
    <row r="57" spans="2:72" x14ac:dyDescent="0.3">
      <c r="E57" s="8"/>
      <c r="F57" s="8"/>
      <c r="G57" s="8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3"/>
      <c r="AZ57" s="3"/>
      <c r="BA57" s="3"/>
      <c r="BB57" s="3"/>
      <c r="BC57" s="3"/>
      <c r="BD57" s="3"/>
      <c r="BF57" s="8"/>
      <c r="BG57" s="8"/>
      <c r="BH57" s="8"/>
      <c r="BI57" s="8">
        <f>SUM($H57:H57)</f>
        <v>0</v>
      </c>
      <c r="BJ57" s="8">
        <f>SUM($H57:I57)</f>
        <v>0</v>
      </c>
      <c r="BK57" s="8">
        <f>SUM($H57:J57)</f>
        <v>0</v>
      </c>
      <c r="BL57" s="8">
        <f>SUM($H57:K57)</f>
        <v>0</v>
      </c>
      <c r="BM57" s="8">
        <f>SUM($H57:L57)</f>
        <v>0</v>
      </c>
      <c r="BN57" s="8">
        <f>SUM($H57:M57)</f>
        <v>0</v>
      </c>
      <c r="BO57" s="8">
        <f>SUM($H57:N57)</f>
        <v>0</v>
      </c>
      <c r="BP57" s="8">
        <f>SUM($H57:O57)</f>
        <v>0</v>
      </c>
      <c r="BQ57" s="8">
        <f>SUM($H57:P57)</f>
        <v>0</v>
      </c>
      <c r="BR57" s="8">
        <f>SUM($H57:Q57)</f>
        <v>0</v>
      </c>
      <c r="BS57" s="8">
        <f>SUM($H57:R57)</f>
        <v>0</v>
      </c>
      <c r="BT57" s="8">
        <f>SUM($H57:S57)</f>
        <v>0</v>
      </c>
    </row>
    <row r="58" spans="2:72" x14ac:dyDescent="0.3">
      <c r="B58" t="s">
        <v>1562</v>
      </c>
      <c r="C58" t="s">
        <v>1545</v>
      </c>
      <c r="E58" s="8">
        <v>0</v>
      </c>
      <c r="F58" s="8">
        <v>0</v>
      </c>
      <c r="G58" s="8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8">
        <v>0</v>
      </c>
      <c r="AC58" s="8">
        <v>0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8">
        <v>0</v>
      </c>
      <c r="AS58" s="8">
        <v>0</v>
      </c>
      <c r="AT58" s="8">
        <v>0</v>
      </c>
      <c r="AU58" s="8">
        <v>0</v>
      </c>
      <c r="AV58" s="8">
        <v>0</v>
      </c>
      <c r="AW58" s="8">
        <v>0</v>
      </c>
      <c r="AX58" s="8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/>
      <c r="BF58" s="8"/>
      <c r="BG58" s="8"/>
      <c r="BH58" s="8"/>
      <c r="BI58" s="8">
        <f>SUM($H58:H58)</f>
        <v>0</v>
      </c>
      <c r="BJ58" s="8">
        <f>SUM($H58:I58)</f>
        <v>0</v>
      </c>
      <c r="BK58" s="8">
        <f>SUM($H58:J58)</f>
        <v>0</v>
      </c>
      <c r="BL58" s="8">
        <f>SUM($H58:K58)</f>
        <v>0</v>
      </c>
      <c r="BM58" s="8">
        <f>SUM($H58:L58)</f>
        <v>0</v>
      </c>
      <c r="BN58" s="8">
        <f>SUM($H58:M58)</f>
        <v>0</v>
      </c>
      <c r="BO58" s="8">
        <f>SUM($H58:N58)</f>
        <v>0</v>
      </c>
      <c r="BP58" s="8">
        <f>SUM($H58:O58)</f>
        <v>0</v>
      </c>
      <c r="BQ58" s="8">
        <f>SUM($H58:P58)</f>
        <v>0</v>
      </c>
      <c r="BR58" s="8">
        <f>SUM($H58:Q58)</f>
        <v>0</v>
      </c>
      <c r="BS58" s="8">
        <f>SUM($H58:R58)</f>
        <v>0</v>
      </c>
      <c r="BT58" s="8">
        <f>SUM($H58:S58)</f>
        <v>0</v>
      </c>
    </row>
    <row r="59" spans="2:72" x14ac:dyDescent="0.3">
      <c r="B59" t="s">
        <v>1562</v>
      </c>
      <c r="C59" t="s">
        <v>1546</v>
      </c>
      <c r="E59" s="8">
        <v>0</v>
      </c>
      <c r="F59" s="8">
        <v>0</v>
      </c>
      <c r="G59" s="8">
        <v>0</v>
      </c>
      <c r="H59" s="44">
        <v>0</v>
      </c>
      <c r="I59" s="44">
        <v>0</v>
      </c>
      <c r="J59" s="44">
        <v>0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0</v>
      </c>
      <c r="R59" s="44">
        <v>0</v>
      </c>
      <c r="S59" s="44">
        <v>0</v>
      </c>
      <c r="T59" s="8">
        <v>0</v>
      </c>
      <c r="U59" s="8">
        <v>0</v>
      </c>
      <c r="V59" s="8">
        <v>0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D59" s="8">
        <v>0</v>
      </c>
      <c r="AE59" s="8">
        <v>0</v>
      </c>
      <c r="AF59" s="8">
        <v>0</v>
      </c>
      <c r="AG59" s="8">
        <v>0</v>
      </c>
      <c r="AH59" s="8">
        <v>0</v>
      </c>
      <c r="AI59" s="8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8">
        <v>0</v>
      </c>
      <c r="AS59" s="8">
        <v>0</v>
      </c>
      <c r="AT59" s="8">
        <v>0</v>
      </c>
      <c r="AU59" s="8">
        <v>0</v>
      </c>
      <c r="AV59" s="8">
        <v>0</v>
      </c>
      <c r="AW59" s="8">
        <v>0</v>
      </c>
      <c r="AX59" s="8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/>
      <c r="BF59" s="8"/>
      <c r="BG59" s="8"/>
      <c r="BH59" s="8"/>
      <c r="BI59" s="8">
        <f>SUM($H59:H59)</f>
        <v>0</v>
      </c>
      <c r="BJ59" s="8">
        <f>SUM($H59:I59)</f>
        <v>0</v>
      </c>
      <c r="BK59" s="8">
        <f>SUM($H59:J59)</f>
        <v>0</v>
      </c>
      <c r="BL59" s="8">
        <f>SUM($H59:K59)</f>
        <v>0</v>
      </c>
      <c r="BM59" s="8">
        <f>SUM($H59:L59)</f>
        <v>0</v>
      </c>
      <c r="BN59" s="8">
        <f>SUM($H59:M59)</f>
        <v>0</v>
      </c>
      <c r="BO59" s="8">
        <f>SUM($H59:N59)</f>
        <v>0</v>
      </c>
      <c r="BP59" s="8">
        <f>SUM($H59:O59)</f>
        <v>0</v>
      </c>
      <c r="BQ59" s="8">
        <f>SUM($H59:P59)</f>
        <v>0</v>
      </c>
      <c r="BR59" s="8">
        <f>SUM($H59:Q59)</f>
        <v>0</v>
      </c>
      <c r="BS59" s="8">
        <f>SUM($H59:R59)</f>
        <v>0</v>
      </c>
      <c r="BT59" s="8">
        <f>SUM($H59:S59)</f>
        <v>0</v>
      </c>
    </row>
    <row r="60" spans="2:72" x14ac:dyDescent="0.3">
      <c r="B60" t="s">
        <v>1562</v>
      </c>
      <c r="C60" t="s">
        <v>1547</v>
      </c>
      <c r="E60" s="8">
        <v>0</v>
      </c>
      <c r="F60" s="8">
        <v>0</v>
      </c>
      <c r="G60" s="8">
        <v>0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0</v>
      </c>
      <c r="R60" s="44">
        <v>0</v>
      </c>
      <c r="S60" s="44">
        <v>0</v>
      </c>
      <c r="T60" s="8">
        <v>0</v>
      </c>
      <c r="U60" s="8">
        <v>0</v>
      </c>
      <c r="V60" s="8">
        <v>0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8">
        <v>0</v>
      </c>
      <c r="AC60" s="8">
        <v>0</v>
      </c>
      <c r="AD60" s="8">
        <v>0</v>
      </c>
      <c r="AE60" s="8">
        <v>0</v>
      </c>
      <c r="AF60" s="8">
        <v>0</v>
      </c>
      <c r="AG60" s="8">
        <v>0</v>
      </c>
      <c r="AH60" s="8">
        <v>0</v>
      </c>
      <c r="AI60" s="8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8">
        <v>0</v>
      </c>
      <c r="AS60" s="8">
        <v>0</v>
      </c>
      <c r="AT60" s="8">
        <v>0</v>
      </c>
      <c r="AU60" s="8">
        <v>0</v>
      </c>
      <c r="AV60" s="8">
        <v>0</v>
      </c>
      <c r="AW60" s="8">
        <v>0</v>
      </c>
      <c r="AX60" s="8">
        <v>0</v>
      </c>
      <c r="AY60" s="3">
        <v>0</v>
      </c>
      <c r="AZ60" s="3">
        <v>0</v>
      </c>
      <c r="BA60" s="3">
        <v>0</v>
      </c>
      <c r="BB60" s="3">
        <v>0</v>
      </c>
      <c r="BC60" s="3">
        <v>0</v>
      </c>
      <c r="BD60" s="3"/>
      <c r="BF60" s="8"/>
      <c r="BG60" s="8"/>
      <c r="BH60" s="8"/>
      <c r="BI60" s="8">
        <f>SUM($H60:H60)</f>
        <v>0</v>
      </c>
      <c r="BJ60" s="8">
        <f>SUM($H60:I60)</f>
        <v>0</v>
      </c>
      <c r="BK60" s="8">
        <f>SUM($H60:J60)</f>
        <v>0</v>
      </c>
      <c r="BL60" s="8">
        <f>SUM($H60:K60)</f>
        <v>0</v>
      </c>
      <c r="BM60" s="8">
        <f>SUM($H60:L60)</f>
        <v>0</v>
      </c>
      <c r="BN60" s="8">
        <f>SUM($H60:M60)</f>
        <v>0</v>
      </c>
      <c r="BO60" s="8">
        <f>SUM($H60:N60)</f>
        <v>0</v>
      </c>
      <c r="BP60" s="8">
        <f>SUM($H60:O60)</f>
        <v>0</v>
      </c>
      <c r="BQ60" s="8">
        <f>SUM($H60:P60)</f>
        <v>0</v>
      </c>
      <c r="BR60" s="8">
        <f>SUM($H60:Q60)</f>
        <v>0</v>
      </c>
      <c r="BS60" s="8">
        <f>SUM($H60:R60)</f>
        <v>0</v>
      </c>
      <c r="BT60" s="8">
        <f>SUM($H60:S60)</f>
        <v>0</v>
      </c>
    </row>
    <row r="61" spans="2:72" x14ac:dyDescent="0.3">
      <c r="B61" t="s">
        <v>1562</v>
      </c>
      <c r="C61" t="s">
        <v>1548</v>
      </c>
      <c r="E61" s="8">
        <v>0</v>
      </c>
      <c r="F61" s="8">
        <v>0</v>
      </c>
      <c r="G61" s="8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>
        <v>0</v>
      </c>
      <c r="AE61" s="8">
        <v>0</v>
      </c>
      <c r="AF61" s="8">
        <v>0</v>
      </c>
      <c r="AG61" s="8">
        <v>0</v>
      </c>
      <c r="AH61" s="8">
        <v>0</v>
      </c>
      <c r="AI61" s="8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8">
        <v>0</v>
      </c>
      <c r="AS61" s="8">
        <v>0</v>
      </c>
      <c r="AT61" s="8">
        <v>0</v>
      </c>
      <c r="AU61" s="8">
        <v>0</v>
      </c>
      <c r="AV61" s="8">
        <v>0</v>
      </c>
      <c r="AW61" s="8">
        <v>0</v>
      </c>
      <c r="AX61" s="8">
        <v>0</v>
      </c>
      <c r="AY61" s="3">
        <v>0</v>
      </c>
      <c r="AZ61" s="3">
        <v>0</v>
      </c>
      <c r="BA61" s="3">
        <v>0</v>
      </c>
      <c r="BB61" s="3">
        <v>0</v>
      </c>
      <c r="BC61" s="3">
        <v>0</v>
      </c>
      <c r="BD61" s="3"/>
      <c r="BF61" s="8"/>
      <c r="BG61" s="8"/>
      <c r="BH61" s="8"/>
      <c r="BI61" s="8">
        <f>SUM($H61:H61)</f>
        <v>0</v>
      </c>
      <c r="BJ61" s="8">
        <f>SUM($H61:I61)</f>
        <v>0</v>
      </c>
      <c r="BK61" s="8">
        <f>SUM($H61:J61)</f>
        <v>0</v>
      </c>
      <c r="BL61" s="8">
        <f>SUM($H61:K61)</f>
        <v>0</v>
      </c>
      <c r="BM61" s="8">
        <f>SUM($H61:L61)</f>
        <v>0</v>
      </c>
      <c r="BN61" s="8">
        <f>SUM($H61:M61)</f>
        <v>0</v>
      </c>
      <c r="BO61" s="8">
        <f>SUM($H61:N61)</f>
        <v>0</v>
      </c>
      <c r="BP61" s="8">
        <f>SUM($H61:O61)</f>
        <v>0</v>
      </c>
      <c r="BQ61" s="8">
        <f>SUM($H61:P61)</f>
        <v>0</v>
      </c>
      <c r="BR61" s="8">
        <f>SUM($H61:Q61)</f>
        <v>0</v>
      </c>
      <c r="BS61" s="8">
        <f>SUM($H61:R61)</f>
        <v>0</v>
      </c>
      <c r="BT61" s="8">
        <f>SUM($H61:S61)</f>
        <v>0</v>
      </c>
    </row>
    <row r="62" spans="2:72" x14ac:dyDescent="0.3">
      <c r="B62" t="s">
        <v>1562</v>
      </c>
      <c r="C62" t="s">
        <v>1549</v>
      </c>
      <c r="E62" s="8">
        <v>0</v>
      </c>
      <c r="F62" s="8">
        <v>0</v>
      </c>
      <c r="G62" s="8">
        <v>0</v>
      </c>
      <c r="H62" s="44">
        <v>0</v>
      </c>
      <c r="I62" s="44">
        <v>0</v>
      </c>
      <c r="J62" s="44">
        <v>0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0</v>
      </c>
      <c r="R62" s="44">
        <v>0</v>
      </c>
      <c r="S62" s="44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8">
        <v>0</v>
      </c>
      <c r="AS62" s="8">
        <v>0</v>
      </c>
      <c r="AT62" s="8">
        <v>0</v>
      </c>
      <c r="AU62" s="8">
        <v>0</v>
      </c>
      <c r="AV62" s="8">
        <v>0</v>
      </c>
      <c r="AW62" s="8">
        <v>0</v>
      </c>
      <c r="AX62" s="8">
        <v>0</v>
      </c>
      <c r="AY62" s="3">
        <v>0</v>
      </c>
      <c r="AZ62" s="3">
        <v>0</v>
      </c>
      <c r="BA62" s="3">
        <v>0</v>
      </c>
      <c r="BB62" s="3">
        <v>0</v>
      </c>
      <c r="BC62" s="3">
        <v>0</v>
      </c>
      <c r="BD62" s="3"/>
      <c r="BF62" s="8"/>
      <c r="BG62" s="8"/>
      <c r="BH62" s="8"/>
      <c r="BI62" s="8">
        <f>SUM($H62:H62)</f>
        <v>0</v>
      </c>
      <c r="BJ62" s="8">
        <f>SUM($H62:I62)</f>
        <v>0</v>
      </c>
      <c r="BK62" s="8">
        <f>SUM($H62:J62)</f>
        <v>0</v>
      </c>
      <c r="BL62" s="8">
        <f>SUM($H62:K62)</f>
        <v>0</v>
      </c>
      <c r="BM62" s="8">
        <f>SUM($H62:L62)</f>
        <v>0</v>
      </c>
      <c r="BN62" s="8">
        <f>SUM($H62:M62)</f>
        <v>0</v>
      </c>
      <c r="BO62" s="8">
        <f>SUM($H62:N62)</f>
        <v>0</v>
      </c>
      <c r="BP62" s="8">
        <f>SUM($H62:O62)</f>
        <v>0</v>
      </c>
      <c r="BQ62" s="8">
        <f>SUM($H62:P62)</f>
        <v>0</v>
      </c>
      <c r="BR62" s="8">
        <f>SUM($H62:Q62)</f>
        <v>0</v>
      </c>
      <c r="BS62" s="8">
        <f>SUM($H62:R62)</f>
        <v>0</v>
      </c>
      <c r="BT62" s="8">
        <f>SUM($H62:S62)</f>
        <v>0</v>
      </c>
    </row>
    <row r="63" spans="2:72" x14ac:dyDescent="0.3">
      <c r="E63" s="8"/>
      <c r="F63" s="8"/>
      <c r="G63" s="8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3"/>
      <c r="AZ63" s="3"/>
      <c r="BA63" s="3"/>
      <c r="BB63" s="3"/>
      <c r="BC63" s="3"/>
      <c r="BD63" s="3"/>
      <c r="BF63" s="8"/>
      <c r="BG63" s="8"/>
      <c r="BH63" s="8"/>
      <c r="BI63" s="8">
        <f>SUM($H63:H63)</f>
        <v>0</v>
      </c>
      <c r="BJ63" s="8">
        <f>SUM($H63:I63)</f>
        <v>0</v>
      </c>
      <c r="BK63" s="8">
        <f>SUM($H63:J63)</f>
        <v>0</v>
      </c>
      <c r="BL63" s="8">
        <f>SUM($H63:K63)</f>
        <v>0</v>
      </c>
      <c r="BM63" s="8">
        <f>SUM($H63:L63)</f>
        <v>0</v>
      </c>
      <c r="BN63" s="8">
        <f>SUM($H63:M63)</f>
        <v>0</v>
      </c>
      <c r="BO63" s="8">
        <f>SUM($H63:N63)</f>
        <v>0</v>
      </c>
      <c r="BP63" s="8">
        <f>SUM($H63:O63)</f>
        <v>0</v>
      </c>
      <c r="BQ63" s="8">
        <f>SUM($H63:P63)</f>
        <v>0</v>
      </c>
      <c r="BR63" s="8">
        <f>SUM($H63:Q63)</f>
        <v>0</v>
      </c>
      <c r="BS63" s="8">
        <f>SUM($H63:R63)</f>
        <v>0</v>
      </c>
      <c r="BT63" s="8">
        <f>SUM($H63:S63)</f>
        <v>0</v>
      </c>
    </row>
    <row r="64" spans="2:72" x14ac:dyDescent="0.3">
      <c r="B64" s="45" t="s">
        <v>1563</v>
      </c>
      <c r="C64" t="s">
        <v>1488</v>
      </c>
      <c r="E64" s="8">
        <v>-14064050</v>
      </c>
      <c r="F64" s="8">
        <v>-13927550</v>
      </c>
      <c r="G64" s="8">
        <v>-13754650</v>
      </c>
      <c r="H64" s="44">
        <v>-13595400</v>
      </c>
      <c r="I64" s="44">
        <v>-13472550</v>
      </c>
      <c r="J64" s="44">
        <v>-13358800</v>
      </c>
      <c r="K64" s="44">
        <v>-13099450</v>
      </c>
      <c r="L64" s="44">
        <v>-12953850</v>
      </c>
      <c r="M64" s="44">
        <v>-12840100</v>
      </c>
      <c r="N64" s="44">
        <v>-12676300</v>
      </c>
      <c r="O64" s="44">
        <v>-12330500</v>
      </c>
      <c r="P64" s="44">
        <v>-12153050</v>
      </c>
      <c r="Q64" s="44">
        <v>-13634640</v>
      </c>
      <c r="R64" s="44">
        <v>-13603296</v>
      </c>
      <c r="S64" s="44">
        <v>-13556280</v>
      </c>
      <c r="T64" s="8">
        <v>-13410008</v>
      </c>
      <c r="U64" s="8">
        <v>-13237616</v>
      </c>
      <c r="V64" s="8">
        <v>-13107016</v>
      </c>
      <c r="W64" s="8">
        <v>-12908504</v>
      </c>
      <c r="X64" s="8">
        <v>-12521928</v>
      </c>
      <c r="Y64" s="8">
        <v>-12292072</v>
      </c>
      <c r="Z64" s="8">
        <v>-12151024</v>
      </c>
      <c r="AA64" s="8">
        <v>-11879376</v>
      </c>
      <c r="AB64" s="8">
        <v>-10902488</v>
      </c>
      <c r="AC64" s="8">
        <v>-8108100</v>
      </c>
      <c r="AD64" s="8">
        <v>-7298200</v>
      </c>
      <c r="AE64" s="8">
        <v>-6738550</v>
      </c>
      <c r="AF64" s="8">
        <v>-6520150</v>
      </c>
      <c r="AG64" s="8">
        <v>-6461000</v>
      </c>
      <c r="AH64" s="8">
        <v>-6420050</v>
      </c>
      <c r="AI64" s="8">
        <v>-6365450</v>
      </c>
      <c r="AJ64" s="8">
        <v>-6292650</v>
      </c>
      <c r="AK64" s="8">
        <v>-5328050</v>
      </c>
      <c r="AL64" s="8">
        <v>-3712800</v>
      </c>
      <c r="AM64" s="8">
        <v>-3608150</v>
      </c>
      <c r="AN64" s="8">
        <v>-3580850</v>
      </c>
      <c r="AO64" s="8">
        <v>-3435250</v>
      </c>
      <c r="AP64" s="8">
        <v>-3039400</v>
      </c>
      <c r="AQ64" s="8">
        <v>-627900</v>
      </c>
      <c r="AR64" s="8">
        <v>-382200</v>
      </c>
      <c r="AS64" s="8">
        <v>-359450</v>
      </c>
      <c r="AT64" s="8">
        <v>-354900</v>
      </c>
      <c r="AU64" s="8">
        <v>-350350</v>
      </c>
      <c r="AV64" s="8">
        <v>-350350</v>
      </c>
      <c r="AW64" s="8">
        <v>-341250</v>
      </c>
      <c r="AX64" s="8">
        <v>-332150</v>
      </c>
      <c r="AY64" s="8">
        <v>-304850</v>
      </c>
      <c r="AZ64" s="8">
        <v>-295750</v>
      </c>
      <c r="BA64" s="8">
        <v>-9100</v>
      </c>
      <c r="BB64" s="8">
        <v>-9100</v>
      </c>
      <c r="BC64" s="8">
        <v>-4550</v>
      </c>
      <c r="BD64" s="3"/>
      <c r="BF64" s="8"/>
      <c r="BG64" s="8"/>
      <c r="BH64" s="8"/>
      <c r="BI64" s="8">
        <f>SUM($H64:H64)</f>
        <v>-13595400</v>
      </c>
      <c r="BJ64" s="8">
        <f>SUM($H64:I64)</f>
        <v>-27067950</v>
      </c>
      <c r="BK64" s="8">
        <f>SUM($H64:J64)</f>
        <v>-40426750</v>
      </c>
      <c r="BL64" s="8">
        <f>SUM($H64:K64)</f>
        <v>-53526200</v>
      </c>
      <c r="BM64" s="8">
        <f>SUM($H64:L64)</f>
        <v>-66480050</v>
      </c>
      <c r="BN64" s="8">
        <f>SUM($H64:M64)</f>
        <v>-79320150</v>
      </c>
      <c r="BO64" s="8">
        <f>SUM($H64:N64)</f>
        <v>-91996450</v>
      </c>
      <c r="BP64" s="8">
        <f>SUM($H64:O64)</f>
        <v>-104326950</v>
      </c>
      <c r="BQ64" s="8">
        <f>SUM($H64:P64)</f>
        <v>-116480000</v>
      </c>
      <c r="BR64" s="8">
        <f>SUM($H64:Q64)</f>
        <v>-130114640</v>
      </c>
      <c r="BS64" s="8">
        <f>SUM($H64:R64)</f>
        <v>-143717936</v>
      </c>
      <c r="BT64" s="8">
        <f>SUM($H64:S64)</f>
        <v>-157274216</v>
      </c>
    </row>
    <row r="65" spans="2:72" x14ac:dyDescent="0.3">
      <c r="E65" s="8"/>
      <c r="F65" s="8"/>
      <c r="G65" s="8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3"/>
      <c r="AZ65" s="3"/>
      <c r="BA65" s="3"/>
      <c r="BB65" s="3"/>
      <c r="BC65" s="3"/>
      <c r="BD65" s="3"/>
      <c r="BF65" s="8"/>
      <c r="BG65" s="8"/>
      <c r="BH65" s="8"/>
      <c r="BI65" s="8">
        <f>SUM($H65:H65)</f>
        <v>0</v>
      </c>
      <c r="BJ65" s="8">
        <f>SUM($H65:I65)</f>
        <v>0</v>
      </c>
      <c r="BK65" s="8">
        <f>SUM($H65:J65)</f>
        <v>0</v>
      </c>
      <c r="BL65" s="8">
        <f>SUM($H65:K65)</f>
        <v>0</v>
      </c>
      <c r="BM65" s="8">
        <f>SUM($H65:L65)</f>
        <v>0</v>
      </c>
      <c r="BN65" s="8">
        <f>SUM($H65:M65)</f>
        <v>0</v>
      </c>
      <c r="BO65" s="8">
        <f>SUM($H65:N65)</f>
        <v>0</v>
      </c>
      <c r="BP65" s="8">
        <f>SUM($H65:O65)</f>
        <v>0</v>
      </c>
      <c r="BQ65" s="8">
        <f>SUM($H65:P65)</f>
        <v>0</v>
      </c>
      <c r="BR65" s="8">
        <f>SUM($H65:Q65)</f>
        <v>0</v>
      </c>
      <c r="BS65" s="8">
        <f>SUM($H65:R65)</f>
        <v>0</v>
      </c>
      <c r="BT65" s="8">
        <f>SUM($H65:S65)</f>
        <v>0</v>
      </c>
    </row>
    <row r="66" spans="2:72" x14ac:dyDescent="0.3">
      <c r="B66" t="s">
        <v>1564</v>
      </c>
      <c r="C66" t="s">
        <v>1545</v>
      </c>
      <c r="E66" s="8">
        <v>0</v>
      </c>
      <c r="F66" s="8">
        <v>0</v>
      </c>
      <c r="G66" s="8">
        <v>0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>
        <v>0</v>
      </c>
      <c r="AE66" s="8">
        <v>0</v>
      </c>
      <c r="AF66" s="8">
        <v>0</v>
      </c>
      <c r="AG66" s="8">
        <v>0</v>
      </c>
      <c r="AH66" s="8">
        <v>0</v>
      </c>
      <c r="AI66" s="8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8">
        <v>0</v>
      </c>
      <c r="AS66" s="8">
        <v>0</v>
      </c>
      <c r="AT66" s="8">
        <v>0</v>
      </c>
      <c r="AU66" s="8">
        <v>0</v>
      </c>
      <c r="AV66" s="8">
        <v>0</v>
      </c>
      <c r="AW66" s="8">
        <v>0</v>
      </c>
      <c r="AX66" s="8">
        <v>0</v>
      </c>
      <c r="AY66" s="3">
        <v>0</v>
      </c>
      <c r="AZ66" s="3">
        <v>0</v>
      </c>
      <c r="BA66" s="3">
        <v>0</v>
      </c>
      <c r="BB66" s="3">
        <v>0</v>
      </c>
      <c r="BC66" s="3">
        <v>0</v>
      </c>
      <c r="BD66" s="3"/>
      <c r="BF66" s="8"/>
      <c r="BG66" s="8"/>
      <c r="BH66" s="8"/>
      <c r="BI66" s="8">
        <f>SUM($H66:H66)</f>
        <v>0</v>
      </c>
      <c r="BJ66" s="8">
        <f>SUM($H66:I66)</f>
        <v>0</v>
      </c>
      <c r="BK66" s="8">
        <f>SUM($H66:J66)</f>
        <v>0</v>
      </c>
      <c r="BL66" s="8">
        <f>SUM($H66:K66)</f>
        <v>0</v>
      </c>
      <c r="BM66" s="8">
        <f>SUM($H66:L66)</f>
        <v>0</v>
      </c>
      <c r="BN66" s="8">
        <f>SUM($H66:M66)</f>
        <v>0</v>
      </c>
      <c r="BO66" s="8">
        <f>SUM($H66:N66)</f>
        <v>0</v>
      </c>
      <c r="BP66" s="8">
        <f>SUM($H66:O66)</f>
        <v>0</v>
      </c>
      <c r="BQ66" s="8">
        <f>SUM($H66:P66)</f>
        <v>0</v>
      </c>
      <c r="BR66" s="8">
        <f>SUM($H66:Q66)</f>
        <v>0</v>
      </c>
      <c r="BS66" s="8">
        <f>SUM($H66:R66)</f>
        <v>0</v>
      </c>
      <c r="BT66" s="8">
        <f>SUM($H66:S66)</f>
        <v>0</v>
      </c>
    </row>
    <row r="67" spans="2:72" x14ac:dyDescent="0.3">
      <c r="B67" t="s">
        <v>1564</v>
      </c>
      <c r="C67" t="s">
        <v>1546</v>
      </c>
      <c r="E67" s="8">
        <v>0</v>
      </c>
      <c r="F67" s="8">
        <v>0</v>
      </c>
      <c r="G67" s="8">
        <v>0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>
        <v>0</v>
      </c>
      <c r="AE67" s="8">
        <v>0</v>
      </c>
      <c r="AF67" s="8">
        <v>0</v>
      </c>
      <c r="AG67" s="8">
        <v>0</v>
      </c>
      <c r="AH67" s="8">
        <v>0</v>
      </c>
      <c r="AI67" s="8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8">
        <v>0</v>
      </c>
      <c r="AS67" s="8">
        <v>0</v>
      </c>
      <c r="AT67" s="8">
        <v>0</v>
      </c>
      <c r="AU67" s="8">
        <v>0</v>
      </c>
      <c r="AV67" s="8">
        <v>0</v>
      </c>
      <c r="AW67" s="8">
        <v>0</v>
      </c>
      <c r="AX67" s="8">
        <v>0</v>
      </c>
      <c r="AY67" s="3">
        <v>0</v>
      </c>
      <c r="AZ67" s="3">
        <v>0</v>
      </c>
      <c r="BA67" s="3">
        <v>0</v>
      </c>
      <c r="BB67" s="3">
        <v>0</v>
      </c>
      <c r="BC67" s="3">
        <v>0</v>
      </c>
      <c r="BD67" s="3"/>
      <c r="BF67" s="8"/>
      <c r="BG67" s="8"/>
      <c r="BH67" s="8"/>
      <c r="BI67" s="8">
        <f>SUM($H67:H67)</f>
        <v>0</v>
      </c>
      <c r="BJ67" s="8">
        <f>SUM($H67:I67)</f>
        <v>0</v>
      </c>
      <c r="BK67" s="8">
        <f>SUM($H67:J67)</f>
        <v>0</v>
      </c>
      <c r="BL67" s="8">
        <f>SUM($H67:K67)</f>
        <v>0</v>
      </c>
      <c r="BM67" s="8">
        <f>SUM($H67:L67)</f>
        <v>0</v>
      </c>
      <c r="BN67" s="8">
        <f>SUM($H67:M67)</f>
        <v>0</v>
      </c>
      <c r="BO67" s="8">
        <f>SUM($H67:N67)</f>
        <v>0</v>
      </c>
      <c r="BP67" s="8">
        <f>SUM($H67:O67)</f>
        <v>0</v>
      </c>
      <c r="BQ67" s="8">
        <f>SUM($H67:P67)</f>
        <v>0</v>
      </c>
      <c r="BR67" s="8">
        <f>SUM($H67:Q67)</f>
        <v>0</v>
      </c>
      <c r="BS67" s="8">
        <f>SUM($H67:R67)</f>
        <v>0</v>
      </c>
      <c r="BT67" s="8">
        <f>SUM($H67:S67)</f>
        <v>0</v>
      </c>
    </row>
    <row r="68" spans="2:72" x14ac:dyDescent="0.3">
      <c r="B68" t="s">
        <v>1564</v>
      </c>
      <c r="C68" t="s">
        <v>1547</v>
      </c>
      <c r="E68" s="8">
        <v>0</v>
      </c>
      <c r="F68" s="8">
        <v>0</v>
      </c>
      <c r="G68" s="8">
        <v>0</v>
      </c>
      <c r="H68" s="44">
        <v>0</v>
      </c>
      <c r="I68" s="44">
        <v>0</v>
      </c>
      <c r="J68" s="44">
        <v>0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0</v>
      </c>
      <c r="R68" s="44">
        <v>0</v>
      </c>
      <c r="S68" s="44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>
        <v>0</v>
      </c>
      <c r="AE68" s="8">
        <v>0</v>
      </c>
      <c r="AF68" s="8">
        <v>0</v>
      </c>
      <c r="AG68" s="8">
        <v>0</v>
      </c>
      <c r="AH68" s="8">
        <v>0</v>
      </c>
      <c r="AI68" s="8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8">
        <v>0</v>
      </c>
      <c r="AS68" s="8">
        <v>0</v>
      </c>
      <c r="AT68" s="8">
        <v>0</v>
      </c>
      <c r="AU68" s="8">
        <v>0</v>
      </c>
      <c r="AV68" s="8">
        <v>0</v>
      </c>
      <c r="AW68" s="8">
        <v>0</v>
      </c>
      <c r="AX68" s="8">
        <v>0</v>
      </c>
      <c r="AY68" s="3">
        <v>0</v>
      </c>
      <c r="AZ68" s="3">
        <v>0</v>
      </c>
      <c r="BA68" s="3">
        <v>0</v>
      </c>
      <c r="BB68" s="3">
        <v>0</v>
      </c>
      <c r="BC68" s="3">
        <v>0</v>
      </c>
      <c r="BD68" s="3"/>
      <c r="BF68" s="8"/>
      <c r="BG68" s="8"/>
      <c r="BH68" s="8"/>
      <c r="BI68" s="8">
        <f>SUM($H68:H68)</f>
        <v>0</v>
      </c>
      <c r="BJ68" s="8">
        <f>SUM($H68:I68)</f>
        <v>0</v>
      </c>
      <c r="BK68" s="8">
        <f>SUM($H68:J68)</f>
        <v>0</v>
      </c>
      <c r="BL68" s="8">
        <f>SUM($H68:K68)</f>
        <v>0</v>
      </c>
      <c r="BM68" s="8">
        <f>SUM($H68:L68)</f>
        <v>0</v>
      </c>
      <c r="BN68" s="8">
        <f>SUM($H68:M68)</f>
        <v>0</v>
      </c>
      <c r="BO68" s="8">
        <f>SUM($H68:N68)</f>
        <v>0</v>
      </c>
      <c r="BP68" s="8">
        <f>SUM($H68:O68)</f>
        <v>0</v>
      </c>
      <c r="BQ68" s="8">
        <f>SUM($H68:P68)</f>
        <v>0</v>
      </c>
      <c r="BR68" s="8">
        <f>SUM($H68:Q68)</f>
        <v>0</v>
      </c>
      <c r="BS68" s="8">
        <f>SUM($H68:R68)</f>
        <v>0</v>
      </c>
      <c r="BT68" s="8">
        <f>SUM($H68:S68)</f>
        <v>0</v>
      </c>
    </row>
    <row r="69" spans="2:72" x14ac:dyDescent="0.3">
      <c r="B69" t="s">
        <v>1564</v>
      </c>
      <c r="C69" t="s">
        <v>1548</v>
      </c>
      <c r="E69" s="8">
        <v>0</v>
      </c>
      <c r="F69" s="8">
        <v>0</v>
      </c>
      <c r="G69" s="8">
        <v>0</v>
      </c>
      <c r="H69" s="44">
        <v>0</v>
      </c>
      <c r="I69" s="44">
        <v>0</v>
      </c>
      <c r="J69" s="44">
        <v>0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0</v>
      </c>
      <c r="R69" s="44">
        <v>0</v>
      </c>
      <c r="S69" s="44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0</v>
      </c>
      <c r="Z69" s="8">
        <v>0</v>
      </c>
      <c r="AA69" s="8">
        <v>0</v>
      </c>
      <c r="AB69" s="8">
        <v>0</v>
      </c>
      <c r="AC69" s="8">
        <v>0</v>
      </c>
      <c r="AD69" s="8">
        <v>0</v>
      </c>
      <c r="AE69" s="8">
        <v>0</v>
      </c>
      <c r="AF69" s="8">
        <v>0</v>
      </c>
      <c r="AG69" s="8">
        <v>0</v>
      </c>
      <c r="AH69" s="8">
        <v>0</v>
      </c>
      <c r="AI69" s="8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8">
        <v>0</v>
      </c>
      <c r="AS69" s="8">
        <v>0</v>
      </c>
      <c r="AT69" s="8">
        <v>0</v>
      </c>
      <c r="AU69" s="8">
        <v>0</v>
      </c>
      <c r="AV69" s="8">
        <v>0</v>
      </c>
      <c r="AW69" s="8">
        <v>0</v>
      </c>
      <c r="AX69" s="8">
        <v>0</v>
      </c>
      <c r="AY69" s="3">
        <v>0</v>
      </c>
      <c r="AZ69" s="3">
        <v>0</v>
      </c>
      <c r="BA69" s="3">
        <v>0</v>
      </c>
      <c r="BB69" s="3">
        <v>0</v>
      </c>
      <c r="BC69" s="3">
        <v>0</v>
      </c>
      <c r="BD69" s="3"/>
      <c r="BF69" s="8"/>
      <c r="BG69" s="8"/>
      <c r="BH69" s="8"/>
      <c r="BI69" s="8">
        <f>SUM($H69:H69)</f>
        <v>0</v>
      </c>
      <c r="BJ69" s="8">
        <f>SUM($H69:I69)</f>
        <v>0</v>
      </c>
      <c r="BK69" s="8">
        <f>SUM($H69:J69)</f>
        <v>0</v>
      </c>
      <c r="BL69" s="8">
        <f>SUM($H69:K69)</f>
        <v>0</v>
      </c>
      <c r="BM69" s="8">
        <f>SUM($H69:L69)</f>
        <v>0</v>
      </c>
      <c r="BN69" s="8">
        <f>SUM($H69:M69)</f>
        <v>0</v>
      </c>
      <c r="BO69" s="8">
        <f>SUM($H69:N69)</f>
        <v>0</v>
      </c>
      <c r="BP69" s="8">
        <f>SUM($H69:O69)</f>
        <v>0</v>
      </c>
      <c r="BQ69" s="8">
        <f>SUM($H69:P69)</f>
        <v>0</v>
      </c>
      <c r="BR69" s="8">
        <f>SUM($H69:Q69)</f>
        <v>0</v>
      </c>
      <c r="BS69" s="8">
        <f>SUM($H69:R69)</f>
        <v>0</v>
      </c>
      <c r="BT69" s="8">
        <f>SUM($H69:S69)</f>
        <v>0</v>
      </c>
    </row>
    <row r="70" spans="2:72" x14ac:dyDescent="0.3">
      <c r="B70" t="s">
        <v>1564</v>
      </c>
      <c r="C70" t="s">
        <v>1549</v>
      </c>
      <c r="E70" s="8">
        <v>0</v>
      </c>
      <c r="F70" s="8">
        <v>0</v>
      </c>
      <c r="G70" s="8">
        <v>0</v>
      </c>
      <c r="H70" s="44">
        <v>0</v>
      </c>
      <c r="I70" s="44">
        <v>0</v>
      </c>
      <c r="J70" s="44">
        <v>0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0</v>
      </c>
      <c r="R70" s="44">
        <v>0</v>
      </c>
      <c r="S70" s="44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0</v>
      </c>
      <c r="Z70" s="8">
        <v>0</v>
      </c>
      <c r="AA70" s="8">
        <v>0</v>
      </c>
      <c r="AB70" s="8">
        <v>0</v>
      </c>
      <c r="AC70" s="8">
        <v>0</v>
      </c>
      <c r="AD70" s="8">
        <v>0</v>
      </c>
      <c r="AE70" s="8">
        <v>0</v>
      </c>
      <c r="AF70" s="8">
        <v>0</v>
      </c>
      <c r="AG70" s="8">
        <v>0</v>
      </c>
      <c r="AH70" s="8">
        <v>0</v>
      </c>
      <c r="AI70" s="8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8">
        <v>0</v>
      </c>
      <c r="AS70" s="8">
        <v>0</v>
      </c>
      <c r="AT70" s="8">
        <v>0</v>
      </c>
      <c r="AU70" s="8">
        <v>0</v>
      </c>
      <c r="AV70" s="8">
        <v>0</v>
      </c>
      <c r="AW70" s="8">
        <v>0</v>
      </c>
      <c r="AX70" s="8">
        <v>0</v>
      </c>
      <c r="AY70" s="3">
        <v>0</v>
      </c>
      <c r="AZ70" s="3">
        <v>0</v>
      </c>
      <c r="BA70" s="3">
        <v>0</v>
      </c>
      <c r="BB70" s="3">
        <v>0</v>
      </c>
      <c r="BC70" s="3">
        <v>0</v>
      </c>
      <c r="BD70" s="3"/>
      <c r="BF70" s="8"/>
      <c r="BG70" s="8"/>
      <c r="BH70" s="8"/>
      <c r="BI70" s="8">
        <f>SUM($H70:H70)</f>
        <v>0</v>
      </c>
      <c r="BJ70" s="8">
        <f>SUM($H70:I70)</f>
        <v>0</v>
      </c>
      <c r="BK70" s="8">
        <f>SUM($H70:J70)</f>
        <v>0</v>
      </c>
      <c r="BL70" s="8">
        <f>SUM($H70:K70)</f>
        <v>0</v>
      </c>
      <c r="BM70" s="8">
        <f>SUM($H70:L70)</f>
        <v>0</v>
      </c>
      <c r="BN70" s="8">
        <f>SUM($H70:M70)</f>
        <v>0</v>
      </c>
      <c r="BO70" s="8">
        <f>SUM($H70:N70)</f>
        <v>0</v>
      </c>
      <c r="BP70" s="8">
        <f>SUM($H70:O70)</f>
        <v>0</v>
      </c>
      <c r="BQ70" s="8">
        <f>SUM($H70:P70)</f>
        <v>0</v>
      </c>
      <c r="BR70" s="8">
        <f>SUM($H70:Q70)</f>
        <v>0</v>
      </c>
      <c r="BS70" s="8">
        <f>SUM($H70:R70)</f>
        <v>0</v>
      </c>
      <c r="BT70" s="8">
        <f>SUM($H70:S70)</f>
        <v>0</v>
      </c>
    </row>
    <row r="71" spans="2:72" x14ac:dyDescent="0.3">
      <c r="E71" s="8"/>
      <c r="F71" s="8"/>
      <c r="G71" s="8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3"/>
      <c r="AZ71" s="3"/>
      <c r="BA71" s="3"/>
      <c r="BB71" s="3"/>
      <c r="BC71" s="3"/>
      <c r="BD71" s="3"/>
      <c r="BF71" s="8"/>
      <c r="BG71" s="8"/>
      <c r="BH71" s="8"/>
      <c r="BI71" s="8">
        <f>SUM($H71:H71)</f>
        <v>0</v>
      </c>
      <c r="BJ71" s="8">
        <f>SUM($H71:I71)</f>
        <v>0</v>
      </c>
      <c r="BK71" s="8">
        <f>SUM($H71:J71)</f>
        <v>0</v>
      </c>
      <c r="BL71" s="8">
        <f>SUM($H71:K71)</f>
        <v>0</v>
      </c>
      <c r="BM71" s="8">
        <f>SUM($H71:L71)</f>
        <v>0</v>
      </c>
      <c r="BN71" s="8">
        <f>SUM($H71:M71)</f>
        <v>0</v>
      </c>
      <c r="BO71" s="8">
        <f>SUM($H71:N71)</f>
        <v>0</v>
      </c>
      <c r="BP71" s="8">
        <f>SUM($H71:O71)</f>
        <v>0</v>
      </c>
      <c r="BQ71" s="8">
        <f>SUM($H71:P71)</f>
        <v>0</v>
      </c>
      <c r="BR71" s="8">
        <f>SUM($H71:Q71)</f>
        <v>0</v>
      </c>
      <c r="BS71" s="8">
        <f>SUM($H71:R71)</f>
        <v>0</v>
      </c>
      <c r="BT71" s="8">
        <f>SUM($H71:S71)</f>
        <v>0</v>
      </c>
    </row>
    <row r="72" spans="2:72" x14ac:dyDescent="0.3">
      <c r="B72" t="s">
        <v>1565</v>
      </c>
      <c r="C72" t="s">
        <v>1488</v>
      </c>
      <c r="E72" s="8">
        <v>-12982200</v>
      </c>
      <c r="F72" s="8">
        <v>-12856200</v>
      </c>
      <c r="G72" s="8">
        <v>-12696600</v>
      </c>
      <c r="H72" s="44">
        <v>-12549600</v>
      </c>
      <c r="I72" s="44">
        <v>-12436200</v>
      </c>
      <c r="J72" s="44">
        <v>-12331200</v>
      </c>
      <c r="K72" s="44">
        <v>-12091800</v>
      </c>
      <c r="L72" s="44">
        <v>-11957400</v>
      </c>
      <c r="M72" s="44">
        <v>-11852400</v>
      </c>
      <c r="N72" s="44">
        <v>-11701200</v>
      </c>
      <c r="O72" s="44">
        <v>-11382000</v>
      </c>
      <c r="P72" s="44">
        <v>-11218200</v>
      </c>
      <c r="Q72" s="44">
        <v>-10962000</v>
      </c>
      <c r="R72" s="44">
        <v>-10936800</v>
      </c>
      <c r="S72" s="44">
        <v>-10899000</v>
      </c>
      <c r="T72" s="8">
        <v>-10781400</v>
      </c>
      <c r="U72" s="8">
        <v>-10642800</v>
      </c>
      <c r="V72" s="8">
        <v>-10537800</v>
      </c>
      <c r="W72" s="8">
        <v>-10378200</v>
      </c>
      <c r="X72" s="8">
        <v>-10067400</v>
      </c>
      <c r="Y72" s="8">
        <v>-9882600</v>
      </c>
      <c r="Z72" s="8">
        <v>-9769200</v>
      </c>
      <c r="AA72" s="8">
        <v>-9550800</v>
      </c>
      <c r="AB72" s="8">
        <v>-8765400</v>
      </c>
      <c r="AC72" s="8">
        <v>-7484400</v>
      </c>
      <c r="AD72" s="8">
        <v>-6736800</v>
      </c>
      <c r="AE72" s="8">
        <v>-6220200</v>
      </c>
      <c r="AF72" s="8">
        <v>-6018600</v>
      </c>
      <c r="AG72" s="8">
        <v>-5964000</v>
      </c>
      <c r="AH72" s="8">
        <v>-5926200</v>
      </c>
      <c r="AI72" s="8">
        <v>-5875800</v>
      </c>
      <c r="AJ72" s="8">
        <v>-5808600</v>
      </c>
      <c r="AK72" s="8">
        <v>-4918200</v>
      </c>
      <c r="AL72" s="8">
        <v>-3427200</v>
      </c>
      <c r="AM72" s="8">
        <v>-3330600</v>
      </c>
      <c r="AN72" s="8">
        <v>-3305400</v>
      </c>
      <c r="AO72" s="8">
        <v>-3171000</v>
      </c>
      <c r="AP72" s="8">
        <v>-2805600</v>
      </c>
      <c r="AQ72" s="8">
        <v>-579600</v>
      </c>
      <c r="AR72" s="8">
        <v>-352800</v>
      </c>
      <c r="AS72" s="8">
        <v>-331800</v>
      </c>
      <c r="AT72" s="8">
        <v>-327600</v>
      </c>
      <c r="AU72" s="8">
        <v>-323400</v>
      </c>
      <c r="AV72" s="8">
        <v>-323400</v>
      </c>
      <c r="AW72" s="8">
        <v>-315000</v>
      </c>
      <c r="AX72" s="8">
        <v>-306600</v>
      </c>
      <c r="AY72" s="8">
        <v>-281400</v>
      </c>
      <c r="AZ72" s="8">
        <v>-273000</v>
      </c>
      <c r="BA72" s="8">
        <v>-8400</v>
      </c>
      <c r="BB72" s="8">
        <v>-8400</v>
      </c>
      <c r="BC72" s="8">
        <v>-4200</v>
      </c>
      <c r="BD72" s="3"/>
      <c r="BF72" s="8"/>
      <c r="BG72" s="8"/>
      <c r="BH72" s="8"/>
      <c r="BI72" s="8">
        <f>SUM($H72:H72)</f>
        <v>-12549600</v>
      </c>
      <c r="BJ72" s="8">
        <f>SUM($H72:I72)</f>
        <v>-24985800</v>
      </c>
      <c r="BK72" s="8">
        <f>SUM($H72:J72)</f>
        <v>-37317000</v>
      </c>
      <c r="BL72" s="8">
        <f>SUM($H72:K72)</f>
        <v>-49408800</v>
      </c>
      <c r="BM72" s="8">
        <f>SUM($H72:L72)</f>
        <v>-61366200</v>
      </c>
      <c r="BN72" s="8">
        <f>SUM($H72:M72)</f>
        <v>-73218600</v>
      </c>
      <c r="BO72" s="8">
        <f>SUM($H72:N72)</f>
        <v>-84919800</v>
      </c>
      <c r="BP72" s="8">
        <f>SUM($H72:O72)</f>
        <v>-96301800</v>
      </c>
      <c r="BQ72" s="8">
        <f>SUM($H72:P72)</f>
        <v>-107520000</v>
      </c>
      <c r="BR72" s="8">
        <f>SUM($H72:Q72)</f>
        <v>-118482000</v>
      </c>
      <c r="BS72" s="8">
        <f>SUM($H72:R72)</f>
        <v>-129418800</v>
      </c>
      <c r="BT72" s="8">
        <f>SUM($H72:S72)</f>
        <v>-140317800</v>
      </c>
    </row>
    <row r="73" spans="2:72" x14ac:dyDescent="0.3">
      <c r="E73" s="8"/>
      <c r="F73" s="8"/>
      <c r="G73" s="8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3"/>
      <c r="AZ73" s="3" t="s">
        <v>1566</v>
      </c>
      <c r="BA73" s="3" t="s">
        <v>1566</v>
      </c>
      <c r="BB73" s="3" t="s">
        <v>1566</v>
      </c>
      <c r="BC73" s="3" t="s">
        <v>1566</v>
      </c>
      <c r="BD73" s="3"/>
      <c r="BF73" s="8"/>
      <c r="BG73" s="8"/>
      <c r="BH73" s="8"/>
      <c r="BI73" s="8">
        <f>SUM($H73:H73)</f>
        <v>0</v>
      </c>
      <c r="BJ73" s="8">
        <f>SUM($H73:I73)</f>
        <v>0</v>
      </c>
      <c r="BK73" s="8">
        <f>SUM($H73:J73)</f>
        <v>0</v>
      </c>
      <c r="BL73" s="8">
        <f>SUM($H73:K73)</f>
        <v>0</v>
      </c>
      <c r="BM73" s="8">
        <f>SUM($H73:L73)</f>
        <v>0</v>
      </c>
      <c r="BN73" s="8">
        <f>SUM($H73:M73)</f>
        <v>0</v>
      </c>
      <c r="BO73" s="8">
        <f>SUM($H73:N73)</f>
        <v>0</v>
      </c>
      <c r="BP73" s="8">
        <f>SUM($H73:O73)</f>
        <v>0</v>
      </c>
      <c r="BQ73" s="8">
        <f>SUM($H73:P73)</f>
        <v>0</v>
      </c>
      <c r="BR73" s="8">
        <f>SUM($H73:Q73)</f>
        <v>0</v>
      </c>
      <c r="BS73" s="8">
        <f>SUM($H73:R73)</f>
        <v>0</v>
      </c>
      <c r="BT73" s="8">
        <f>SUM($H73:S73)</f>
        <v>0</v>
      </c>
    </row>
    <row r="74" spans="2:72" x14ac:dyDescent="0.3">
      <c r="B74" t="s">
        <v>1567</v>
      </c>
      <c r="C74" t="s">
        <v>1545</v>
      </c>
      <c r="E74" s="8">
        <v>0</v>
      </c>
      <c r="F74" s="8">
        <v>0</v>
      </c>
      <c r="G74" s="8">
        <v>0</v>
      </c>
      <c r="H74" s="44">
        <v>0</v>
      </c>
      <c r="I74" s="44">
        <v>0</v>
      </c>
      <c r="J74" s="44">
        <v>0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0</v>
      </c>
      <c r="R74" s="44">
        <v>0</v>
      </c>
      <c r="S74" s="44">
        <v>0</v>
      </c>
      <c r="T74" s="8">
        <v>0</v>
      </c>
      <c r="U74" s="8">
        <v>0</v>
      </c>
      <c r="V74" s="8">
        <v>0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  <c r="AD74" s="8">
        <v>0</v>
      </c>
      <c r="AE74" s="8">
        <v>0</v>
      </c>
      <c r="AF74" s="8">
        <v>0</v>
      </c>
      <c r="AG74" s="8">
        <v>0</v>
      </c>
      <c r="AH74" s="8">
        <v>0</v>
      </c>
      <c r="AI74" s="8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8">
        <v>0</v>
      </c>
      <c r="AS74" s="8">
        <v>0</v>
      </c>
      <c r="AT74" s="8">
        <v>0</v>
      </c>
      <c r="AU74" s="8">
        <v>0</v>
      </c>
      <c r="AV74" s="8">
        <v>0</v>
      </c>
      <c r="AW74" s="8">
        <v>0</v>
      </c>
      <c r="AX74" s="8">
        <v>0</v>
      </c>
      <c r="AY74" s="3">
        <v>0</v>
      </c>
      <c r="AZ74" s="3">
        <v>0</v>
      </c>
      <c r="BA74" s="3">
        <v>0</v>
      </c>
      <c r="BB74" s="3">
        <v>0</v>
      </c>
      <c r="BC74" s="3">
        <v>0</v>
      </c>
      <c r="BD74" s="3"/>
      <c r="BF74" s="8"/>
      <c r="BG74" s="8"/>
      <c r="BH74" s="8"/>
      <c r="BI74" s="8">
        <f>SUM($H74:H74)</f>
        <v>0</v>
      </c>
      <c r="BJ74" s="8">
        <f>SUM($H74:I74)</f>
        <v>0</v>
      </c>
      <c r="BK74" s="8">
        <f>SUM($H74:J74)</f>
        <v>0</v>
      </c>
      <c r="BL74" s="8">
        <f>SUM($H74:K74)</f>
        <v>0</v>
      </c>
      <c r="BM74" s="8">
        <f>SUM($H74:L74)</f>
        <v>0</v>
      </c>
      <c r="BN74" s="8">
        <f>SUM($H74:M74)</f>
        <v>0</v>
      </c>
      <c r="BO74" s="8">
        <f>SUM($H74:N74)</f>
        <v>0</v>
      </c>
      <c r="BP74" s="8">
        <f>SUM($H74:O74)</f>
        <v>0</v>
      </c>
      <c r="BQ74" s="8">
        <f>SUM($H74:P74)</f>
        <v>0</v>
      </c>
      <c r="BR74" s="8">
        <f>SUM($H74:Q74)</f>
        <v>0</v>
      </c>
      <c r="BS74" s="8">
        <f>SUM($H74:R74)</f>
        <v>0</v>
      </c>
      <c r="BT74" s="8">
        <f>SUM($H74:S74)</f>
        <v>0</v>
      </c>
    </row>
    <row r="75" spans="2:72" x14ac:dyDescent="0.3">
      <c r="B75" t="s">
        <v>1567</v>
      </c>
      <c r="C75" t="s">
        <v>1546</v>
      </c>
      <c r="E75" s="8">
        <v>0</v>
      </c>
      <c r="F75" s="8">
        <v>0</v>
      </c>
      <c r="G75" s="8">
        <v>0</v>
      </c>
      <c r="H75" s="44">
        <v>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0</v>
      </c>
      <c r="R75" s="44">
        <v>0</v>
      </c>
      <c r="S75" s="44">
        <v>0</v>
      </c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  <c r="AD75" s="8">
        <v>0</v>
      </c>
      <c r="AE75" s="8">
        <v>0</v>
      </c>
      <c r="AF75" s="8">
        <v>0</v>
      </c>
      <c r="AG75" s="8">
        <v>0</v>
      </c>
      <c r="AH75" s="8">
        <v>0</v>
      </c>
      <c r="AI75" s="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8">
        <v>0</v>
      </c>
      <c r="AS75" s="8">
        <v>0</v>
      </c>
      <c r="AT75" s="8">
        <v>0</v>
      </c>
      <c r="AU75" s="8">
        <v>0</v>
      </c>
      <c r="AV75" s="8">
        <v>0</v>
      </c>
      <c r="AW75" s="8">
        <v>0</v>
      </c>
      <c r="AX75" s="8">
        <v>0</v>
      </c>
      <c r="AY75" s="3">
        <v>0</v>
      </c>
      <c r="AZ75" s="3">
        <v>0</v>
      </c>
      <c r="BA75" s="3">
        <v>0</v>
      </c>
      <c r="BB75" s="3">
        <v>0</v>
      </c>
      <c r="BC75" s="3">
        <v>0</v>
      </c>
      <c r="BD75" s="3"/>
      <c r="BF75" s="8"/>
      <c r="BG75" s="8"/>
      <c r="BH75" s="8"/>
      <c r="BI75" s="8">
        <f>SUM($H75:H75)</f>
        <v>0</v>
      </c>
      <c r="BJ75" s="8">
        <f>SUM($H75:I75)</f>
        <v>0</v>
      </c>
      <c r="BK75" s="8">
        <f>SUM($H75:J75)</f>
        <v>0</v>
      </c>
      <c r="BL75" s="8">
        <f>SUM($H75:K75)</f>
        <v>0</v>
      </c>
      <c r="BM75" s="8">
        <f>SUM($H75:L75)</f>
        <v>0</v>
      </c>
      <c r="BN75" s="8">
        <f>SUM($H75:M75)</f>
        <v>0</v>
      </c>
      <c r="BO75" s="8">
        <f>SUM($H75:N75)</f>
        <v>0</v>
      </c>
      <c r="BP75" s="8">
        <f>SUM($H75:O75)</f>
        <v>0</v>
      </c>
      <c r="BQ75" s="8">
        <f>SUM($H75:P75)</f>
        <v>0</v>
      </c>
      <c r="BR75" s="8">
        <f>SUM($H75:Q75)</f>
        <v>0</v>
      </c>
      <c r="BS75" s="8">
        <f>SUM($H75:R75)</f>
        <v>0</v>
      </c>
      <c r="BT75" s="8">
        <f>SUM($H75:S75)</f>
        <v>0</v>
      </c>
    </row>
    <row r="76" spans="2:72" x14ac:dyDescent="0.3">
      <c r="B76" t="s">
        <v>1567</v>
      </c>
      <c r="C76" t="s">
        <v>1547</v>
      </c>
      <c r="E76" s="8">
        <v>0</v>
      </c>
      <c r="F76" s="8">
        <v>0</v>
      </c>
      <c r="G76" s="8">
        <v>0</v>
      </c>
      <c r="H76" s="44">
        <v>0</v>
      </c>
      <c r="I76" s="44">
        <v>0</v>
      </c>
      <c r="J76" s="44">
        <v>0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0</v>
      </c>
      <c r="R76" s="44">
        <v>0</v>
      </c>
      <c r="S76" s="44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>
        <v>0</v>
      </c>
      <c r="AE76" s="8">
        <v>0</v>
      </c>
      <c r="AF76" s="8">
        <v>0</v>
      </c>
      <c r="AG76" s="8">
        <v>0</v>
      </c>
      <c r="AH76" s="8">
        <v>0</v>
      </c>
      <c r="AI76" s="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8">
        <v>0</v>
      </c>
      <c r="AS76" s="8">
        <v>0</v>
      </c>
      <c r="AT76" s="8">
        <v>0</v>
      </c>
      <c r="AU76" s="8">
        <v>0</v>
      </c>
      <c r="AV76" s="8">
        <v>0</v>
      </c>
      <c r="AW76" s="8">
        <v>0</v>
      </c>
      <c r="AX76" s="8">
        <v>0</v>
      </c>
      <c r="AY76" s="3">
        <v>0</v>
      </c>
      <c r="AZ76" s="3">
        <v>0</v>
      </c>
      <c r="BA76" s="3">
        <v>0</v>
      </c>
      <c r="BB76" s="3">
        <v>0</v>
      </c>
      <c r="BC76" s="3">
        <v>0</v>
      </c>
      <c r="BD76" s="3"/>
      <c r="BF76" s="8"/>
      <c r="BG76" s="8"/>
      <c r="BH76" s="8"/>
      <c r="BI76" s="8">
        <f>SUM($H76:H76)</f>
        <v>0</v>
      </c>
      <c r="BJ76" s="8">
        <f>SUM($H76:I76)</f>
        <v>0</v>
      </c>
      <c r="BK76" s="8">
        <f>SUM($H76:J76)</f>
        <v>0</v>
      </c>
      <c r="BL76" s="8">
        <f>SUM($H76:K76)</f>
        <v>0</v>
      </c>
      <c r="BM76" s="8">
        <f>SUM($H76:L76)</f>
        <v>0</v>
      </c>
      <c r="BN76" s="8">
        <f>SUM($H76:M76)</f>
        <v>0</v>
      </c>
      <c r="BO76" s="8">
        <f>SUM($H76:N76)</f>
        <v>0</v>
      </c>
      <c r="BP76" s="8">
        <f>SUM($H76:O76)</f>
        <v>0</v>
      </c>
      <c r="BQ76" s="8">
        <f>SUM($H76:P76)</f>
        <v>0</v>
      </c>
      <c r="BR76" s="8">
        <f>SUM($H76:Q76)</f>
        <v>0</v>
      </c>
      <c r="BS76" s="8">
        <f>SUM($H76:R76)</f>
        <v>0</v>
      </c>
      <c r="BT76" s="8">
        <f>SUM($H76:S76)</f>
        <v>0</v>
      </c>
    </row>
    <row r="77" spans="2:72" x14ac:dyDescent="0.3">
      <c r="B77" t="s">
        <v>1567</v>
      </c>
      <c r="C77" t="s">
        <v>1548</v>
      </c>
      <c r="E77" s="8">
        <v>0</v>
      </c>
      <c r="F77" s="8">
        <v>0</v>
      </c>
      <c r="G77" s="8">
        <v>0</v>
      </c>
      <c r="H77" s="44">
        <v>0</v>
      </c>
      <c r="I77" s="44">
        <v>0</v>
      </c>
      <c r="J77" s="44">
        <v>0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0</v>
      </c>
      <c r="R77" s="44">
        <v>0</v>
      </c>
      <c r="S77" s="44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  <c r="AD77" s="8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8">
        <v>0</v>
      </c>
      <c r="AS77" s="8">
        <v>0</v>
      </c>
      <c r="AT77" s="8">
        <v>0</v>
      </c>
      <c r="AU77" s="8">
        <v>0</v>
      </c>
      <c r="AV77" s="8">
        <v>0</v>
      </c>
      <c r="AW77" s="8">
        <v>0</v>
      </c>
      <c r="AX77" s="8">
        <v>0</v>
      </c>
      <c r="AY77" s="3">
        <v>0</v>
      </c>
      <c r="AZ77" s="3">
        <v>0</v>
      </c>
      <c r="BA77" s="3">
        <v>0</v>
      </c>
      <c r="BB77" s="3">
        <v>0</v>
      </c>
      <c r="BC77" s="3">
        <v>0</v>
      </c>
      <c r="BD77" s="3"/>
      <c r="BF77" s="8"/>
      <c r="BG77" s="8"/>
      <c r="BH77" s="8"/>
      <c r="BI77" s="8">
        <f>SUM($H77:H77)</f>
        <v>0</v>
      </c>
      <c r="BJ77" s="8">
        <f>SUM($H77:I77)</f>
        <v>0</v>
      </c>
      <c r="BK77" s="8">
        <f>SUM($H77:J77)</f>
        <v>0</v>
      </c>
      <c r="BL77" s="8">
        <f>SUM($H77:K77)</f>
        <v>0</v>
      </c>
      <c r="BM77" s="8">
        <f>SUM($H77:L77)</f>
        <v>0</v>
      </c>
      <c r="BN77" s="8">
        <f>SUM($H77:M77)</f>
        <v>0</v>
      </c>
      <c r="BO77" s="8">
        <f>SUM($H77:N77)</f>
        <v>0</v>
      </c>
      <c r="BP77" s="8">
        <f>SUM($H77:O77)</f>
        <v>0</v>
      </c>
      <c r="BQ77" s="8">
        <f>SUM($H77:P77)</f>
        <v>0</v>
      </c>
      <c r="BR77" s="8">
        <f>SUM($H77:Q77)</f>
        <v>0</v>
      </c>
      <c r="BS77" s="8">
        <f>SUM($H77:R77)</f>
        <v>0</v>
      </c>
      <c r="BT77" s="8">
        <f>SUM($H77:S77)</f>
        <v>0</v>
      </c>
    </row>
    <row r="78" spans="2:72" x14ac:dyDescent="0.3">
      <c r="B78" t="s">
        <v>1567</v>
      </c>
      <c r="C78" t="s">
        <v>1549</v>
      </c>
      <c r="E78" s="8">
        <v>0</v>
      </c>
      <c r="F78" s="8">
        <v>0</v>
      </c>
      <c r="G78" s="8">
        <v>0</v>
      </c>
      <c r="H78" s="44">
        <v>0</v>
      </c>
      <c r="I78" s="44">
        <v>0</v>
      </c>
      <c r="J78" s="44">
        <v>0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0</v>
      </c>
      <c r="R78" s="44">
        <v>0</v>
      </c>
      <c r="S78" s="44">
        <v>0</v>
      </c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  <c r="AD78" s="8">
        <v>0</v>
      </c>
      <c r="AE78" s="8">
        <v>0</v>
      </c>
      <c r="AF78" s="8">
        <v>0</v>
      </c>
      <c r="AG78" s="8">
        <v>0</v>
      </c>
      <c r="AH78" s="8">
        <v>0</v>
      </c>
      <c r="AI78" s="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8">
        <v>0</v>
      </c>
      <c r="AS78" s="8">
        <v>0</v>
      </c>
      <c r="AT78" s="8">
        <v>0</v>
      </c>
      <c r="AU78" s="8">
        <v>0</v>
      </c>
      <c r="AV78" s="8">
        <v>0</v>
      </c>
      <c r="AW78" s="8">
        <v>0</v>
      </c>
      <c r="AX78" s="8">
        <v>0</v>
      </c>
      <c r="AY78" s="3">
        <v>0</v>
      </c>
      <c r="AZ78" s="3">
        <v>0</v>
      </c>
      <c r="BA78" s="3">
        <v>0</v>
      </c>
      <c r="BB78" s="3">
        <v>0</v>
      </c>
      <c r="BC78" s="3">
        <v>0</v>
      </c>
      <c r="BD78" s="3"/>
      <c r="BF78" s="8"/>
      <c r="BG78" s="8"/>
      <c r="BH78" s="8"/>
      <c r="BI78" s="8">
        <f>SUM($H78:H78)</f>
        <v>0</v>
      </c>
      <c r="BJ78" s="8">
        <f>SUM($H78:I78)</f>
        <v>0</v>
      </c>
      <c r="BK78" s="8">
        <f>SUM($H78:J78)</f>
        <v>0</v>
      </c>
      <c r="BL78" s="8">
        <f>SUM($H78:K78)</f>
        <v>0</v>
      </c>
      <c r="BM78" s="8">
        <f>SUM($H78:L78)</f>
        <v>0</v>
      </c>
      <c r="BN78" s="8">
        <f>SUM($H78:M78)</f>
        <v>0</v>
      </c>
      <c r="BO78" s="8">
        <f>SUM($H78:N78)</f>
        <v>0</v>
      </c>
      <c r="BP78" s="8">
        <f>SUM($H78:O78)</f>
        <v>0</v>
      </c>
      <c r="BQ78" s="8">
        <f>SUM($H78:P78)</f>
        <v>0</v>
      </c>
      <c r="BR78" s="8">
        <f>SUM($H78:Q78)</f>
        <v>0</v>
      </c>
      <c r="BS78" s="8">
        <f>SUM($H78:R78)</f>
        <v>0</v>
      </c>
      <c r="BT78" s="8">
        <f>SUM($H78:S78)</f>
        <v>0</v>
      </c>
    </row>
    <row r="79" spans="2:72" x14ac:dyDescent="0.3">
      <c r="E79" s="8"/>
      <c r="F79" s="8"/>
      <c r="G79" s="8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3"/>
      <c r="AZ79" s="3"/>
      <c r="BA79" s="3"/>
      <c r="BB79" s="3"/>
      <c r="BC79" s="3"/>
      <c r="BD79" s="3"/>
      <c r="BF79" s="8"/>
      <c r="BG79" s="8"/>
      <c r="BH79" s="8"/>
      <c r="BI79" s="8">
        <f>SUM($H79:H79)</f>
        <v>0</v>
      </c>
      <c r="BJ79" s="8">
        <f>SUM($H79:I79)</f>
        <v>0</v>
      </c>
      <c r="BK79" s="8">
        <f>SUM($H79:J79)</f>
        <v>0</v>
      </c>
      <c r="BL79" s="8">
        <f>SUM($H79:K79)</f>
        <v>0</v>
      </c>
      <c r="BM79" s="8">
        <f>SUM($H79:L79)</f>
        <v>0</v>
      </c>
      <c r="BN79" s="8">
        <f>SUM($H79:M79)</f>
        <v>0</v>
      </c>
      <c r="BO79" s="8">
        <f>SUM($H79:N79)</f>
        <v>0</v>
      </c>
      <c r="BP79" s="8">
        <f>SUM($H79:O79)</f>
        <v>0</v>
      </c>
      <c r="BQ79" s="8">
        <f>SUM($H79:P79)</f>
        <v>0</v>
      </c>
      <c r="BR79" s="8">
        <f>SUM($H79:Q79)</f>
        <v>0</v>
      </c>
      <c r="BS79" s="8">
        <f>SUM($H79:R79)</f>
        <v>0</v>
      </c>
      <c r="BT79" s="8">
        <f>SUM($H79:S79)</f>
        <v>0</v>
      </c>
    </row>
    <row r="80" spans="2:72" x14ac:dyDescent="0.3">
      <c r="B80" t="s">
        <v>1568</v>
      </c>
      <c r="C80" t="s">
        <v>1488</v>
      </c>
      <c r="E80" s="8">
        <v>-1267310</v>
      </c>
      <c r="F80" s="8">
        <v>-1255010</v>
      </c>
      <c r="G80" s="8">
        <v>-1239430</v>
      </c>
      <c r="H80" s="44">
        <v>-1225080</v>
      </c>
      <c r="I80" s="44">
        <v>-1214010</v>
      </c>
      <c r="J80" s="44">
        <v>-1203760</v>
      </c>
      <c r="K80" s="44">
        <v>-1180390</v>
      </c>
      <c r="L80" s="44">
        <v>-1167270</v>
      </c>
      <c r="M80" s="44">
        <v>-1157020</v>
      </c>
      <c r="N80" s="44">
        <v>-1142260</v>
      </c>
      <c r="O80" s="44">
        <v>-1111100</v>
      </c>
      <c r="P80" s="44">
        <v>-1095110</v>
      </c>
      <c r="Q80" s="44">
        <v>-1070100</v>
      </c>
      <c r="R80" s="44">
        <v>-1067640</v>
      </c>
      <c r="S80" s="44">
        <v>-1063950</v>
      </c>
      <c r="T80" s="8">
        <v>-1052470</v>
      </c>
      <c r="U80" s="8">
        <v>-1038940</v>
      </c>
      <c r="V80" s="8">
        <v>-1028690</v>
      </c>
      <c r="W80" s="8">
        <v>-1013110</v>
      </c>
      <c r="X80" s="8">
        <v>-982770</v>
      </c>
      <c r="Y80" s="8">
        <v>-964730</v>
      </c>
      <c r="Z80" s="8">
        <v>-953660</v>
      </c>
      <c r="AA80" s="8">
        <v>-932340</v>
      </c>
      <c r="AB80" s="8">
        <v>-855670</v>
      </c>
      <c r="AC80" s="8">
        <v>-801900</v>
      </c>
      <c r="AD80" s="8">
        <v>-721800</v>
      </c>
      <c r="AE80" s="8">
        <v>-666450</v>
      </c>
      <c r="AF80" s="8">
        <v>-644850</v>
      </c>
      <c r="AG80" s="8">
        <v>-639000</v>
      </c>
      <c r="AH80" s="8">
        <v>-634950</v>
      </c>
      <c r="AI80" s="8">
        <v>-629550</v>
      </c>
      <c r="AJ80" s="8">
        <v>-622350</v>
      </c>
      <c r="AK80" s="8">
        <v>-526950</v>
      </c>
      <c r="AL80" s="8">
        <v>-367200</v>
      </c>
      <c r="AM80" s="8">
        <v>-356850</v>
      </c>
      <c r="AN80" s="8">
        <v>-354150</v>
      </c>
      <c r="AO80" s="8">
        <v>-339750</v>
      </c>
      <c r="AP80" s="8">
        <v>-300600</v>
      </c>
      <c r="AQ80" s="8">
        <v>-62100</v>
      </c>
      <c r="AR80" s="8">
        <v>-37800</v>
      </c>
      <c r="AS80" s="8">
        <v>-35550</v>
      </c>
      <c r="AT80" s="8">
        <v>-35100</v>
      </c>
      <c r="AU80" s="8">
        <v>-34650</v>
      </c>
      <c r="AV80" s="8">
        <v>-34650</v>
      </c>
      <c r="AW80" s="8">
        <v>-33750</v>
      </c>
      <c r="AX80" s="8">
        <v>-32850</v>
      </c>
      <c r="AY80" s="8">
        <v>-30150</v>
      </c>
      <c r="AZ80" s="8">
        <v>-29250</v>
      </c>
      <c r="BA80" s="8">
        <v>-900</v>
      </c>
      <c r="BB80" s="8">
        <v>-900</v>
      </c>
      <c r="BC80" s="8">
        <v>-450</v>
      </c>
      <c r="BD80" s="3"/>
      <c r="BF80" s="8"/>
      <c r="BG80" s="8"/>
      <c r="BH80" s="8"/>
      <c r="BI80" s="8">
        <f>SUM($H80:H80)</f>
        <v>-1225080</v>
      </c>
      <c r="BJ80" s="8">
        <f>SUM($H80:I80)</f>
        <v>-2439090</v>
      </c>
      <c r="BK80" s="8">
        <f>SUM($H80:J80)</f>
        <v>-3642850</v>
      </c>
      <c r="BL80" s="8">
        <f>SUM($H80:K80)</f>
        <v>-4823240</v>
      </c>
      <c r="BM80" s="8">
        <f>SUM($H80:L80)</f>
        <v>-5990510</v>
      </c>
      <c r="BN80" s="8">
        <f>SUM($H80:M80)</f>
        <v>-7147530</v>
      </c>
      <c r="BO80" s="8">
        <f>SUM($H80:N80)</f>
        <v>-8289790</v>
      </c>
      <c r="BP80" s="8">
        <f>SUM($H80:O80)</f>
        <v>-9400890</v>
      </c>
      <c r="BQ80" s="8">
        <f>SUM($H80:P80)</f>
        <v>-10496000</v>
      </c>
      <c r="BR80" s="8">
        <f>SUM($H80:Q80)</f>
        <v>-11566100</v>
      </c>
      <c r="BS80" s="8">
        <f>SUM($H80:R80)</f>
        <v>-12633740</v>
      </c>
      <c r="BT80" s="8">
        <f>SUM($H80:S80)</f>
        <v>-13697690</v>
      </c>
    </row>
    <row r="81" spans="2:72" x14ac:dyDescent="0.3">
      <c r="E81" s="8"/>
      <c r="F81" s="8"/>
      <c r="G81" s="8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3"/>
      <c r="AZ81" s="3"/>
      <c r="BA81" s="3"/>
      <c r="BB81" s="3"/>
      <c r="BC81" s="3"/>
      <c r="BD81" s="3"/>
      <c r="BF81" s="8"/>
      <c r="BG81" s="8"/>
      <c r="BH81" s="8"/>
      <c r="BI81" s="8">
        <f>SUM($H81:H81)</f>
        <v>0</v>
      </c>
      <c r="BJ81" s="8">
        <f>SUM($H81:I81)</f>
        <v>0</v>
      </c>
      <c r="BK81" s="8">
        <f>SUM($H81:J81)</f>
        <v>0</v>
      </c>
      <c r="BL81" s="8">
        <f>SUM($H81:K81)</f>
        <v>0</v>
      </c>
      <c r="BM81" s="8">
        <f>SUM($H81:L81)</f>
        <v>0</v>
      </c>
      <c r="BN81" s="8">
        <f>SUM($H81:M81)</f>
        <v>0</v>
      </c>
      <c r="BO81" s="8">
        <f>SUM($H81:N81)</f>
        <v>0</v>
      </c>
      <c r="BP81" s="8">
        <f>SUM($H81:O81)</f>
        <v>0</v>
      </c>
      <c r="BQ81" s="8">
        <f>SUM($H81:P81)</f>
        <v>0</v>
      </c>
      <c r="BR81" s="8">
        <f>SUM($H81:Q81)</f>
        <v>0</v>
      </c>
      <c r="BS81" s="8">
        <f>SUM($H81:R81)</f>
        <v>0</v>
      </c>
      <c r="BT81" s="8">
        <f>SUM($H81:S81)</f>
        <v>0</v>
      </c>
    </row>
    <row r="82" spans="2:72" x14ac:dyDescent="0.3">
      <c r="B82" t="s">
        <v>1569</v>
      </c>
      <c r="C82" t="s">
        <v>1545</v>
      </c>
      <c r="E82" s="8">
        <v>0</v>
      </c>
      <c r="F82" s="8">
        <v>0</v>
      </c>
      <c r="G82" s="8">
        <v>0</v>
      </c>
      <c r="H82" s="44">
        <v>0</v>
      </c>
      <c r="I82" s="44">
        <v>0</v>
      </c>
      <c r="J82" s="44">
        <v>0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8"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8">
        <v>0</v>
      </c>
      <c r="AA82" s="8">
        <v>0</v>
      </c>
      <c r="AB82" s="8">
        <v>0</v>
      </c>
      <c r="AC82" s="8">
        <v>0</v>
      </c>
      <c r="AD82" s="8">
        <v>0</v>
      </c>
      <c r="AE82" s="8">
        <v>0</v>
      </c>
      <c r="AF82" s="8">
        <v>0</v>
      </c>
      <c r="AG82" s="8">
        <v>0</v>
      </c>
      <c r="AH82" s="8">
        <v>0</v>
      </c>
      <c r="AI82" s="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8">
        <v>0</v>
      </c>
      <c r="AS82" s="8">
        <v>0</v>
      </c>
      <c r="AT82" s="8">
        <v>0</v>
      </c>
      <c r="AU82" s="8">
        <v>0</v>
      </c>
      <c r="AV82" s="8">
        <v>0</v>
      </c>
      <c r="AW82" s="8">
        <v>0</v>
      </c>
      <c r="AX82" s="8">
        <v>0</v>
      </c>
      <c r="AY82" s="3">
        <v>0</v>
      </c>
      <c r="AZ82" s="3">
        <v>0</v>
      </c>
      <c r="BA82" s="3">
        <v>0</v>
      </c>
      <c r="BB82" s="3">
        <v>0</v>
      </c>
      <c r="BC82" s="3">
        <v>0</v>
      </c>
      <c r="BD82" s="3"/>
      <c r="BF82" s="8"/>
      <c r="BG82" s="8"/>
      <c r="BH82" s="8"/>
      <c r="BI82" s="8">
        <f>SUM($H82:H82)</f>
        <v>0</v>
      </c>
      <c r="BJ82" s="8">
        <f>SUM($H82:I82)</f>
        <v>0</v>
      </c>
      <c r="BK82" s="8">
        <f>SUM($H82:J82)</f>
        <v>0</v>
      </c>
      <c r="BL82" s="8">
        <f>SUM($H82:K82)</f>
        <v>0</v>
      </c>
      <c r="BM82" s="8">
        <f>SUM($H82:L82)</f>
        <v>0</v>
      </c>
      <c r="BN82" s="8">
        <f>SUM($H82:M82)</f>
        <v>0</v>
      </c>
      <c r="BO82" s="8">
        <f>SUM($H82:N82)</f>
        <v>0</v>
      </c>
      <c r="BP82" s="8">
        <f>SUM($H82:O82)</f>
        <v>0</v>
      </c>
      <c r="BQ82" s="8">
        <f>SUM($H82:P82)</f>
        <v>0</v>
      </c>
      <c r="BR82" s="8">
        <f>SUM($H82:Q82)</f>
        <v>0</v>
      </c>
      <c r="BS82" s="8">
        <f>SUM($H82:R82)</f>
        <v>0</v>
      </c>
      <c r="BT82" s="8">
        <f>SUM($H82:S82)</f>
        <v>0</v>
      </c>
    </row>
    <row r="83" spans="2:72" x14ac:dyDescent="0.3">
      <c r="B83" t="s">
        <v>1569</v>
      </c>
      <c r="C83" t="s">
        <v>1546</v>
      </c>
      <c r="E83" s="8">
        <v>0</v>
      </c>
      <c r="F83" s="8">
        <v>0</v>
      </c>
      <c r="G83" s="8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8"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8">
        <v>0</v>
      </c>
      <c r="AA83" s="8">
        <v>0</v>
      </c>
      <c r="AB83" s="8">
        <v>0</v>
      </c>
      <c r="AC83" s="8">
        <v>0</v>
      </c>
      <c r="AD83" s="8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8">
        <v>0</v>
      </c>
      <c r="AS83" s="8">
        <v>0</v>
      </c>
      <c r="AT83" s="8">
        <v>0</v>
      </c>
      <c r="AU83" s="8">
        <v>0</v>
      </c>
      <c r="AV83" s="8">
        <v>0</v>
      </c>
      <c r="AW83" s="8">
        <v>0</v>
      </c>
      <c r="AX83" s="8">
        <v>0</v>
      </c>
      <c r="AY83" s="3">
        <v>0</v>
      </c>
      <c r="AZ83" s="3">
        <v>0</v>
      </c>
      <c r="BA83" s="3">
        <v>0</v>
      </c>
      <c r="BB83" s="3">
        <v>0</v>
      </c>
      <c r="BC83" s="3">
        <v>0</v>
      </c>
      <c r="BD83" s="3"/>
      <c r="BF83" s="8"/>
      <c r="BG83" s="8"/>
      <c r="BH83" s="8"/>
      <c r="BI83" s="8">
        <f>SUM($H83:H83)</f>
        <v>0</v>
      </c>
      <c r="BJ83" s="8">
        <f>SUM($H83:I83)</f>
        <v>0</v>
      </c>
      <c r="BK83" s="8">
        <f>SUM($H83:J83)</f>
        <v>0</v>
      </c>
      <c r="BL83" s="8">
        <f>SUM($H83:K83)</f>
        <v>0</v>
      </c>
      <c r="BM83" s="8">
        <f>SUM($H83:L83)</f>
        <v>0</v>
      </c>
      <c r="BN83" s="8">
        <f>SUM($H83:M83)</f>
        <v>0</v>
      </c>
      <c r="BO83" s="8">
        <f>SUM($H83:N83)</f>
        <v>0</v>
      </c>
      <c r="BP83" s="8">
        <f>SUM($H83:O83)</f>
        <v>0</v>
      </c>
      <c r="BQ83" s="8">
        <f>SUM($H83:P83)</f>
        <v>0</v>
      </c>
      <c r="BR83" s="8">
        <f>SUM($H83:Q83)</f>
        <v>0</v>
      </c>
      <c r="BS83" s="8">
        <f>SUM($H83:R83)</f>
        <v>0</v>
      </c>
      <c r="BT83" s="8">
        <f>SUM($H83:S83)</f>
        <v>0</v>
      </c>
    </row>
    <row r="84" spans="2:72" x14ac:dyDescent="0.3">
      <c r="B84" t="s">
        <v>1569</v>
      </c>
      <c r="C84" t="s">
        <v>1547</v>
      </c>
      <c r="E84" s="8">
        <v>0</v>
      </c>
      <c r="F84" s="8">
        <v>0</v>
      </c>
      <c r="G84" s="8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0</v>
      </c>
      <c r="R84" s="44">
        <v>0</v>
      </c>
      <c r="S84" s="44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>
        <v>0</v>
      </c>
      <c r="AA84" s="8">
        <v>0</v>
      </c>
      <c r="AB84" s="8">
        <v>0</v>
      </c>
      <c r="AC84" s="8">
        <v>0</v>
      </c>
      <c r="AD84" s="8">
        <v>0</v>
      </c>
      <c r="AE84" s="8">
        <v>0</v>
      </c>
      <c r="AF84" s="8">
        <v>0</v>
      </c>
      <c r="AG84" s="8">
        <v>0</v>
      </c>
      <c r="AH84" s="8">
        <v>0</v>
      </c>
      <c r="AI84" s="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8">
        <v>0</v>
      </c>
      <c r="AS84" s="8">
        <v>0</v>
      </c>
      <c r="AT84" s="8">
        <v>0</v>
      </c>
      <c r="AU84" s="8">
        <v>0</v>
      </c>
      <c r="AV84" s="8">
        <v>0</v>
      </c>
      <c r="AW84" s="8">
        <v>0</v>
      </c>
      <c r="AX84" s="8">
        <v>0</v>
      </c>
      <c r="AY84" s="3">
        <v>0</v>
      </c>
      <c r="AZ84" s="3">
        <v>0</v>
      </c>
      <c r="BA84" s="3">
        <v>0</v>
      </c>
      <c r="BB84" s="3">
        <v>0</v>
      </c>
      <c r="BC84" s="3">
        <v>0</v>
      </c>
      <c r="BD84" s="3"/>
      <c r="BF84" s="8"/>
      <c r="BG84" s="8"/>
      <c r="BH84" s="8"/>
      <c r="BI84" s="8">
        <f>SUM($H84:H84)</f>
        <v>0</v>
      </c>
      <c r="BJ84" s="8">
        <f>SUM($H84:I84)</f>
        <v>0</v>
      </c>
      <c r="BK84" s="8">
        <f>SUM($H84:J84)</f>
        <v>0</v>
      </c>
      <c r="BL84" s="8">
        <f>SUM($H84:K84)</f>
        <v>0</v>
      </c>
      <c r="BM84" s="8">
        <f>SUM($H84:L84)</f>
        <v>0</v>
      </c>
      <c r="BN84" s="8">
        <f>SUM($H84:M84)</f>
        <v>0</v>
      </c>
      <c r="BO84" s="8">
        <f>SUM($H84:N84)</f>
        <v>0</v>
      </c>
      <c r="BP84" s="8">
        <f>SUM($H84:O84)</f>
        <v>0</v>
      </c>
      <c r="BQ84" s="8">
        <f>SUM($H84:P84)</f>
        <v>0</v>
      </c>
      <c r="BR84" s="8">
        <f>SUM($H84:Q84)</f>
        <v>0</v>
      </c>
      <c r="BS84" s="8">
        <f>SUM($H84:R84)</f>
        <v>0</v>
      </c>
      <c r="BT84" s="8">
        <f>SUM($H84:S84)</f>
        <v>0</v>
      </c>
    </row>
    <row r="85" spans="2:72" x14ac:dyDescent="0.3">
      <c r="B85" t="s">
        <v>1569</v>
      </c>
      <c r="C85" t="s">
        <v>1548</v>
      </c>
      <c r="E85" s="8">
        <v>0</v>
      </c>
      <c r="F85" s="8">
        <v>0</v>
      </c>
      <c r="G85" s="8">
        <v>0</v>
      </c>
      <c r="H85" s="44">
        <v>0</v>
      </c>
      <c r="I85" s="44">
        <v>0</v>
      </c>
      <c r="J85" s="44">
        <v>0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8"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8">
        <v>0</v>
      </c>
      <c r="AA85" s="8">
        <v>0</v>
      </c>
      <c r="AB85" s="8">
        <v>0</v>
      </c>
      <c r="AC85" s="8">
        <v>0</v>
      </c>
      <c r="AD85" s="8">
        <v>0</v>
      </c>
      <c r="AE85" s="8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8">
        <v>0</v>
      </c>
      <c r="AS85" s="8">
        <v>0</v>
      </c>
      <c r="AT85" s="8">
        <v>0</v>
      </c>
      <c r="AU85" s="8">
        <v>0</v>
      </c>
      <c r="AV85" s="8">
        <v>0</v>
      </c>
      <c r="AW85" s="8">
        <v>0</v>
      </c>
      <c r="AX85" s="8">
        <v>0</v>
      </c>
      <c r="AY85" s="3">
        <v>0</v>
      </c>
      <c r="AZ85" s="3">
        <v>0</v>
      </c>
      <c r="BA85" s="3">
        <v>0</v>
      </c>
      <c r="BB85" s="3">
        <v>0</v>
      </c>
      <c r="BC85" s="3">
        <v>0</v>
      </c>
      <c r="BD85" s="3"/>
      <c r="BF85" s="8"/>
      <c r="BG85" s="8"/>
      <c r="BH85" s="8"/>
      <c r="BI85" s="8">
        <f>SUM($H85:H85)</f>
        <v>0</v>
      </c>
      <c r="BJ85" s="8">
        <f>SUM($H85:I85)</f>
        <v>0</v>
      </c>
      <c r="BK85" s="8">
        <f>SUM($H85:J85)</f>
        <v>0</v>
      </c>
      <c r="BL85" s="8">
        <f>SUM($H85:K85)</f>
        <v>0</v>
      </c>
      <c r="BM85" s="8">
        <f>SUM($H85:L85)</f>
        <v>0</v>
      </c>
      <c r="BN85" s="8">
        <f>SUM($H85:M85)</f>
        <v>0</v>
      </c>
      <c r="BO85" s="8">
        <f>SUM($H85:N85)</f>
        <v>0</v>
      </c>
      <c r="BP85" s="8">
        <f>SUM($H85:O85)</f>
        <v>0</v>
      </c>
      <c r="BQ85" s="8">
        <f>SUM($H85:P85)</f>
        <v>0</v>
      </c>
      <c r="BR85" s="8">
        <f>SUM($H85:Q85)</f>
        <v>0</v>
      </c>
      <c r="BS85" s="8">
        <f>SUM($H85:R85)</f>
        <v>0</v>
      </c>
      <c r="BT85" s="8">
        <f>SUM($H85:S85)</f>
        <v>0</v>
      </c>
    </row>
    <row r="86" spans="2:72" x14ac:dyDescent="0.3">
      <c r="B86" t="s">
        <v>1569</v>
      </c>
      <c r="C86" t="s">
        <v>1549</v>
      </c>
      <c r="E86" s="8">
        <v>0</v>
      </c>
      <c r="F86" s="8">
        <v>0</v>
      </c>
      <c r="G86" s="8">
        <v>0</v>
      </c>
      <c r="H86" s="44">
        <v>0</v>
      </c>
      <c r="I86" s="44">
        <v>0</v>
      </c>
      <c r="J86" s="44">
        <v>0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0</v>
      </c>
      <c r="R86" s="44">
        <v>0</v>
      </c>
      <c r="S86" s="44">
        <v>0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8">
        <v>0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8">
        <v>0</v>
      </c>
      <c r="AS86" s="8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3">
        <v>0</v>
      </c>
      <c r="AZ86" s="3">
        <v>0</v>
      </c>
      <c r="BA86" s="3">
        <v>0</v>
      </c>
      <c r="BB86" s="3">
        <v>0</v>
      </c>
      <c r="BC86" s="3">
        <v>0</v>
      </c>
      <c r="BD86" s="3"/>
      <c r="BF86" s="8"/>
      <c r="BG86" s="8"/>
      <c r="BH86" s="8"/>
      <c r="BI86" s="8">
        <f>SUM($H86:H86)</f>
        <v>0</v>
      </c>
      <c r="BJ86" s="8">
        <f>SUM($H86:I86)</f>
        <v>0</v>
      </c>
      <c r="BK86" s="8">
        <f>SUM($H86:J86)</f>
        <v>0</v>
      </c>
      <c r="BL86" s="8">
        <f>SUM($H86:K86)</f>
        <v>0</v>
      </c>
      <c r="BM86" s="8">
        <f>SUM($H86:L86)</f>
        <v>0</v>
      </c>
      <c r="BN86" s="8">
        <f>SUM($H86:M86)</f>
        <v>0</v>
      </c>
      <c r="BO86" s="8">
        <f>SUM($H86:N86)</f>
        <v>0</v>
      </c>
      <c r="BP86" s="8">
        <f>SUM($H86:O86)</f>
        <v>0</v>
      </c>
      <c r="BQ86" s="8">
        <f>SUM($H86:P86)</f>
        <v>0</v>
      </c>
      <c r="BR86" s="8">
        <f>SUM($H86:Q86)</f>
        <v>0</v>
      </c>
      <c r="BS86" s="8">
        <f>SUM($H86:R86)</f>
        <v>0</v>
      </c>
      <c r="BT86" s="8">
        <f>SUM($H86:S86)</f>
        <v>0</v>
      </c>
    </row>
    <row r="87" spans="2:72" x14ac:dyDescent="0.3">
      <c r="E87" s="8"/>
      <c r="F87" s="8"/>
      <c r="G87" s="8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3"/>
      <c r="AZ87" s="3"/>
      <c r="BA87" s="3"/>
      <c r="BB87" s="3"/>
      <c r="BC87" s="3"/>
      <c r="BD87" s="3"/>
      <c r="BF87" s="8"/>
      <c r="BG87" s="8"/>
      <c r="BH87" s="8"/>
      <c r="BI87" s="8">
        <f>SUM($H87:H87)</f>
        <v>0</v>
      </c>
      <c r="BJ87" s="8">
        <f>SUM($H87:I87)</f>
        <v>0</v>
      </c>
      <c r="BK87" s="8">
        <f>SUM($H87:J87)</f>
        <v>0</v>
      </c>
      <c r="BL87" s="8">
        <f>SUM($H87:K87)</f>
        <v>0</v>
      </c>
      <c r="BM87" s="8">
        <f>SUM($H87:L87)</f>
        <v>0</v>
      </c>
      <c r="BN87" s="8">
        <f>SUM($H87:M87)</f>
        <v>0</v>
      </c>
      <c r="BO87" s="8">
        <f>SUM($H87:N87)</f>
        <v>0</v>
      </c>
      <c r="BP87" s="8">
        <f>SUM($H87:O87)</f>
        <v>0</v>
      </c>
      <c r="BQ87" s="8">
        <f>SUM($H87:P87)</f>
        <v>0</v>
      </c>
      <c r="BR87" s="8">
        <f>SUM($H87:Q87)</f>
        <v>0</v>
      </c>
      <c r="BS87" s="8">
        <f>SUM($H87:R87)</f>
        <v>0</v>
      </c>
      <c r="BT87" s="8">
        <f>SUM($H87:S87)</f>
        <v>0</v>
      </c>
    </row>
    <row r="88" spans="2:72" x14ac:dyDescent="0.3">
      <c r="B88" t="s">
        <v>1570</v>
      </c>
      <c r="C88" t="s">
        <v>1488</v>
      </c>
      <c r="E88" s="8">
        <v>-2781900</v>
      </c>
      <c r="F88" s="8">
        <v>-2754900</v>
      </c>
      <c r="G88" s="8">
        <v>-2720700</v>
      </c>
      <c r="H88" s="44">
        <v>-2689200</v>
      </c>
      <c r="I88" s="44">
        <v>-2664900</v>
      </c>
      <c r="J88" s="44">
        <v>-2642400</v>
      </c>
      <c r="K88" s="44">
        <v>-2591100</v>
      </c>
      <c r="L88" s="44">
        <v>-2562300</v>
      </c>
      <c r="M88" s="44">
        <v>-2539800</v>
      </c>
      <c r="N88" s="44">
        <v>-2507400</v>
      </c>
      <c r="O88" s="44">
        <v>-2439000</v>
      </c>
      <c r="P88" s="44">
        <v>-2403900</v>
      </c>
      <c r="Q88" s="44">
        <v>-2349000</v>
      </c>
      <c r="R88" s="44">
        <v>-2343600</v>
      </c>
      <c r="S88" s="44">
        <v>-2335500</v>
      </c>
      <c r="T88" s="8">
        <v>-2310300</v>
      </c>
      <c r="U88" s="8">
        <v>-2280600</v>
      </c>
      <c r="V88" s="8">
        <v>-2258100</v>
      </c>
      <c r="W88" s="8">
        <v>-2223900</v>
      </c>
      <c r="X88" s="8">
        <v>-2157300</v>
      </c>
      <c r="Y88" s="8">
        <v>-2117700</v>
      </c>
      <c r="Z88" s="8">
        <v>-2093400</v>
      </c>
      <c r="AA88" s="8">
        <v>-2046600</v>
      </c>
      <c r="AB88" s="8">
        <v>-1878300</v>
      </c>
      <c r="AC88" s="8">
        <v>-2031480</v>
      </c>
      <c r="AD88" s="8">
        <v>-1828560</v>
      </c>
      <c r="AE88" s="8">
        <v>-1688340</v>
      </c>
      <c r="AF88" s="8">
        <v>-1633620</v>
      </c>
      <c r="AG88" s="8">
        <v>-1618800</v>
      </c>
      <c r="AH88" s="8">
        <v>-1608540</v>
      </c>
      <c r="AI88" s="8">
        <v>-1594860</v>
      </c>
      <c r="AJ88" s="8">
        <v>-1576620</v>
      </c>
      <c r="AK88" s="8">
        <v>-1334940</v>
      </c>
      <c r="AL88" s="8">
        <v>-930240</v>
      </c>
      <c r="AM88" s="8">
        <v>-904020</v>
      </c>
      <c r="AN88" s="8">
        <v>-897180</v>
      </c>
      <c r="AO88" s="8">
        <v>-860700</v>
      </c>
      <c r="AP88" s="8">
        <v>-761520</v>
      </c>
      <c r="AQ88" s="8">
        <v>-157320</v>
      </c>
      <c r="AR88" s="8">
        <v>-95760</v>
      </c>
      <c r="AS88" s="8">
        <v>-90060</v>
      </c>
      <c r="AT88" s="8">
        <v>-88920</v>
      </c>
      <c r="AU88" s="8">
        <v>-87780</v>
      </c>
      <c r="AV88" s="8">
        <v>-87780</v>
      </c>
      <c r="AW88" s="8">
        <v>-85500</v>
      </c>
      <c r="AX88" s="8">
        <v>-83220</v>
      </c>
      <c r="AY88" s="8">
        <v>-76380</v>
      </c>
      <c r="AZ88" s="8">
        <v>-74100</v>
      </c>
      <c r="BA88" s="8">
        <v>-2280</v>
      </c>
      <c r="BB88" s="8">
        <v>-2280</v>
      </c>
      <c r="BC88" s="8">
        <v>-1140</v>
      </c>
      <c r="BD88" s="3"/>
      <c r="BF88" s="8"/>
      <c r="BG88" s="8"/>
      <c r="BH88" s="8"/>
      <c r="BI88" s="8">
        <f>SUM($H88:H88)</f>
        <v>-2689200</v>
      </c>
      <c r="BJ88" s="8">
        <f>SUM($H88:I88)</f>
        <v>-5354100</v>
      </c>
      <c r="BK88" s="8">
        <f>SUM($H88:J88)</f>
        <v>-7996500</v>
      </c>
      <c r="BL88" s="8">
        <f>SUM($H88:K88)</f>
        <v>-10587600</v>
      </c>
      <c r="BM88" s="8">
        <f>SUM($H88:L88)</f>
        <v>-13149900</v>
      </c>
      <c r="BN88" s="8">
        <f>SUM($H88:M88)</f>
        <v>-15689700</v>
      </c>
      <c r="BO88" s="8">
        <f>SUM($H88:N88)</f>
        <v>-18197100</v>
      </c>
      <c r="BP88" s="8">
        <f>SUM($H88:O88)</f>
        <v>-20636100</v>
      </c>
      <c r="BQ88" s="8">
        <f>SUM($H88:P88)</f>
        <v>-23040000</v>
      </c>
      <c r="BR88" s="8">
        <f>SUM($H88:Q88)</f>
        <v>-25389000</v>
      </c>
      <c r="BS88" s="8">
        <f>SUM($H88:R88)</f>
        <v>-27732600</v>
      </c>
      <c r="BT88" s="8">
        <f>SUM($H88:S88)</f>
        <v>-30068100</v>
      </c>
    </row>
    <row r="89" spans="2:72" x14ac:dyDescent="0.3">
      <c r="E89" s="8"/>
      <c r="F89" s="8"/>
      <c r="G89" s="8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3"/>
      <c r="AZ89" s="3"/>
      <c r="BA89" s="3"/>
      <c r="BB89" s="3"/>
      <c r="BC89" s="3"/>
      <c r="BD89" s="3"/>
      <c r="BF89" s="8"/>
      <c r="BG89" s="8"/>
      <c r="BH89" s="8"/>
      <c r="BI89" s="8">
        <f>SUM($H89:H89)</f>
        <v>0</v>
      </c>
      <c r="BJ89" s="8">
        <f>SUM($H89:I89)</f>
        <v>0</v>
      </c>
      <c r="BK89" s="8">
        <f>SUM($H89:J89)</f>
        <v>0</v>
      </c>
      <c r="BL89" s="8">
        <f>SUM($H89:K89)</f>
        <v>0</v>
      </c>
      <c r="BM89" s="8">
        <f>SUM($H89:L89)</f>
        <v>0</v>
      </c>
      <c r="BN89" s="8">
        <f>SUM($H89:M89)</f>
        <v>0</v>
      </c>
      <c r="BO89" s="8">
        <f>SUM($H89:N89)</f>
        <v>0</v>
      </c>
      <c r="BP89" s="8">
        <f>SUM($H89:O89)</f>
        <v>0</v>
      </c>
      <c r="BQ89" s="8">
        <f>SUM($H89:P89)</f>
        <v>0</v>
      </c>
      <c r="BR89" s="8">
        <f>SUM($H89:Q89)</f>
        <v>0</v>
      </c>
      <c r="BS89" s="8">
        <f>SUM($H89:R89)</f>
        <v>0</v>
      </c>
      <c r="BT89" s="8">
        <f>SUM($H89:S89)</f>
        <v>0</v>
      </c>
    </row>
    <row r="90" spans="2:72" x14ac:dyDescent="0.3">
      <c r="B90" t="s">
        <v>1571</v>
      </c>
      <c r="C90" t="s">
        <v>1545</v>
      </c>
      <c r="E90" s="8">
        <v>0</v>
      </c>
      <c r="F90" s="8">
        <v>0</v>
      </c>
      <c r="G90" s="8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0</v>
      </c>
      <c r="R90" s="44">
        <v>0</v>
      </c>
      <c r="S90" s="44">
        <v>0</v>
      </c>
      <c r="T90" s="8">
        <v>0</v>
      </c>
      <c r="U90" s="8">
        <v>0</v>
      </c>
      <c r="V90" s="8">
        <v>0</v>
      </c>
      <c r="W90" s="8">
        <v>0</v>
      </c>
      <c r="X90" s="8">
        <v>0</v>
      </c>
      <c r="Y90" s="8">
        <v>0</v>
      </c>
      <c r="Z90" s="8">
        <v>0</v>
      </c>
      <c r="AA90" s="8">
        <v>0</v>
      </c>
      <c r="AB90" s="8">
        <v>0</v>
      </c>
      <c r="AC90" s="8">
        <v>0</v>
      </c>
      <c r="AD90" s="8">
        <v>0</v>
      </c>
      <c r="AE90" s="8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8">
        <v>0</v>
      </c>
      <c r="AS90" s="8">
        <v>0</v>
      </c>
      <c r="AT90" s="8">
        <v>0</v>
      </c>
      <c r="AU90" s="8">
        <v>0</v>
      </c>
      <c r="AV90" s="8">
        <v>0</v>
      </c>
      <c r="AW90" s="8">
        <v>0</v>
      </c>
      <c r="AX90" s="8">
        <v>0</v>
      </c>
      <c r="AY90" s="3">
        <v>0</v>
      </c>
      <c r="AZ90" s="3">
        <v>0</v>
      </c>
      <c r="BA90" s="3">
        <v>0</v>
      </c>
      <c r="BB90" s="3">
        <v>0</v>
      </c>
      <c r="BC90" s="3">
        <v>0</v>
      </c>
      <c r="BD90" s="3"/>
      <c r="BF90" s="8"/>
      <c r="BG90" s="8"/>
      <c r="BH90" s="8"/>
      <c r="BI90" s="8">
        <f>SUM($H90:H90)</f>
        <v>0</v>
      </c>
      <c r="BJ90" s="8">
        <f>SUM($H90:I90)</f>
        <v>0</v>
      </c>
      <c r="BK90" s="8">
        <f>SUM($H90:J90)</f>
        <v>0</v>
      </c>
      <c r="BL90" s="8">
        <f>SUM($H90:K90)</f>
        <v>0</v>
      </c>
      <c r="BM90" s="8">
        <f>SUM($H90:L90)</f>
        <v>0</v>
      </c>
      <c r="BN90" s="8">
        <f>SUM($H90:M90)</f>
        <v>0</v>
      </c>
      <c r="BO90" s="8">
        <f>SUM($H90:N90)</f>
        <v>0</v>
      </c>
      <c r="BP90" s="8">
        <f>SUM($H90:O90)</f>
        <v>0</v>
      </c>
      <c r="BQ90" s="8">
        <f>SUM($H90:P90)</f>
        <v>0</v>
      </c>
      <c r="BR90" s="8">
        <f>SUM($H90:Q90)</f>
        <v>0</v>
      </c>
      <c r="BS90" s="8">
        <f>SUM($H90:R90)</f>
        <v>0</v>
      </c>
      <c r="BT90" s="8">
        <f>SUM($H90:S90)</f>
        <v>0</v>
      </c>
    </row>
    <row r="91" spans="2:72" x14ac:dyDescent="0.3">
      <c r="B91" t="s">
        <v>1571</v>
      </c>
      <c r="C91" t="s">
        <v>1546</v>
      </c>
      <c r="E91" s="8">
        <v>0</v>
      </c>
      <c r="F91" s="8">
        <v>0</v>
      </c>
      <c r="G91" s="8">
        <v>0</v>
      </c>
      <c r="H91" s="44">
        <v>0</v>
      </c>
      <c r="I91" s="44">
        <v>0</v>
      </c>
      <c r="J91" s="44">
        <v>0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0</v>
      </c>
      <c r="R91" s="44">
        <v>0</v>
      </c>
      <c r="S91" s="44">
        <v>0</v>
      </c>
      <c r="T91" s="8">
        <v>0</v>
      </c>
      <c r="U91" s="8">
        <v>0</v>
      </c>
      <c r="V91" s="8">
        <v>0</v>
      </c>
      <c r="W91" s="8">
        <v>0</v>
      </c>
      <c r="X91" s="8">
        <v>0</v>
      </c>
      <c r="Y91" s="8">
        <v>0</v>
      </c>
      <c r="Z91" s="8">
        <v>0</v>
      </c>
      <c r="AA91" s="8">
        <v>0</v>
      </c>
      <c r="AB91" s="8">
        <v>0</v>
      </c>
      <c r="AC91" s="8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8">
        <v>0</v>
      </c>
      <c r="AS91" s="8">
        <v>0</v>
      </c>
      <c r="AT91" s="8">
        <v>0</v>
      </c>
      <c r="AU91" s="8">
        <v>0</v>
      </c>
      <c r="AV91" s="8">
        <v>0</v>
      </c>
      <c r="AW91" s="8">
        <v>0</v>
      </c>
      <c r="AX91" s="8">
        <v>0</v>
      </c>
      <c r="AY91" s="3">
        <v>0</v>
      </c>
      <c r="AZ91" s="3">
        <v>0</v>
      </c>
      <c r="BA91" s="3">
        <v>0</v>
      </c>
      <c r="BB91" s="3">
        <v>0</v>
      </c>
      <c r="BC91" s="3">
        <v>0</v>
      </c>
      <c r="BD91" s="3"/>
      <c r="BF91" s="8"/>
      <c r="BG91" s="8"/>
      <c r="BH91" s="8"/>
      <c r="BI91" s="8">
        <f>SUM($H91:H91)</f>
        <v>0</v>
      </c>
      <c r="BJ91" s="8">
        <f>SUM($H91:I91)</f>
        <v>0</v>
      </c>
      <c r="BK91" s="8">
        <f>SUM($H91:J91)</f>
        <v>0</v>
      </c>
      <c r="BL91" s="8">
        <f>SUM($H91:K91)</f>
        <v>0</v>
      </c>
      <c r="BM91" s="8">
        <f>SUM($H91:L91)</f>
        <v>0</v>
      </c>
      <c r="BN91" s="8">
        <f>SUM($H91:M91)</f>
        <v>0</v>
      </c>
      <c r="BO91" s="8">
        <f>SUM($H91:N91)</f>
        <v>0</v>
      </c>
      <c r="BP91" s="8">
        <f>SUM($H91:O91)</f>
        <v>0</v>
      </c>
      <c r="BQ91" s="8">
        <f>SUM($H91:P91)</f>
        <v>0</v>
      </c>
      <c r="BR91" s="8">
        <f>SUM($H91:Q91)</f>
        <v>0</v>
      </c>
      <c r="BS91" s="8">
        <f>SUM($H91:R91)</f>
        <v>0</v>
      </c>
      <c r="BT91" s="8">
        <f>SUM($H91:S91)</f>
        <v>0</v>
      </c>
    </row>
    <row r="92" spans="2:72" x14ac:dyDescent="0.3">
      <c r="B92" t="s">
        <v>1571</v>
      </c>
      <c r="C92" t="s">
        <v>1547</v>
      </c>
      <c r="E92" s="8">
        <v>0</v>
      </c>
      <c r="F92" s="8">
        <v>0</v>
      </c>
      <c r="G92" s="8">
        <v>0</v>
      </c>
      <c r="H92" s="44">
        <v>0</v>
      </c>
      <c r="I92" s="44">
        <v>0</v>
      </c>
      <c r="J92" s="44">
        <v>0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0</v>
      </c>
      <c r="R92" s="44">
        <v>0</v>
      </c>
      <c r="S92" s="44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8">
        <v>0</v>
      </c>
      <c r="AU92" s="8">
        <v>0</v>
      </c>
      <c r="AV92" s="8">
        <v>0</v>
      </c>
      <c r="AW92" s="8">
        <v>0</v>
      </c>
      <c r="AX92" s="8">
        <v>0</v>
      </c>
      <c r="AY92" s="3">
        <v>0</v>
      </c>
      <c r="AZ92" s="3">
        <v>0</v>
      </c>
      <c r="BA92" s="3">
        <v>0</v>
      </c>
      <c r="BB92" s="3">
        <v>0</v>
      </c>
      <c r="BC92" s="3">
        <v>0</v>
      </c>
      <c r="BD92" s="3"/>
      <c r="BF92" s="8"/>
      <c r="BG92" s="8"/>
      <c r="BH92" s="8"/>
      <c r="BI92" s="8">
        <f>SUM($H92:H92)</f>
        <v>0</v>
      </c>
      <c r="BJ92" s="8">
        <f>SUM($H92:I92)</f>
        <v>0</v>
      </c>
      <c r="BK92" s="8">
        <f>SUM($H92:J92)</f>
        <v>0</v>
      </c>
      <c r="BL92" s="8">
        <f>SUM($H92:K92)</f>
        <v>0</v>
      </c>
      <c r="BM92" s="8">
        <f>SUM($H92:L92)</f>
        <v>0</v>
      </c>
      <c r="BN92" s="8">
        <f>SUM($H92:M92)</f>
        <v>0</v>
      </c>
      <c r="BO92" s="8">
        <f>SUM($H92:N92)</f>
        <v>0</v>
      </c>
      <c r="BP92" s="8">
        <f>SUM($H92:O92)</f>
        <v>0</v>
      </c>
      <c r="BQ92" s="8">
        <f>SUM($H92:P92)</f>
        <v>0</v>
      </c>
      <c r="BR92" s="8">
        <f>SUM($H92:Q92)</f>
        <v>0</v>
      </c>
      <c r="BS92" s="8">
        <f>SUM($H92:R92)</f>
        <v>0</v>
      </c>
      <c r="BT92" s="8">
        <f>SUM($H92:S92)</f>
        <v>0</v>
      </c>
    </row>
    <row r="93" spans="2:72" x14ac:dyDescent="0.3">
      <c r="B93" t="s">
        <v>1571</v>
      </c>
      <c r="C93" t="s">
        <v>1548</v>
      </c>
      <c r="E93" s="8">
        <v>0</v>
      </c>
      <c r="F93" s="8">
        <v>0</v>
      </c>
      <c r="G93" s="8">
        <v>0</v>
      </c>
      <c r="H93" s="44">
        <v>0</v>
      </c>
      <c r="I93" s="44">
        <v>0</v>
      </c>
      <c r="J93" s="44">
        <v>0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0</v>
      </c>
      <c r="R93" s="44">
        <v>0</v>
      </c>
      <c r="S93" s="44">
        <v>0</v>
      </c>
      <c r="T93" s="8">
        <v>0</v>
      </c>
      <c r="U93" s="8">
        <v>0</v>
      </c>
      <c r="V93" s="8">
        <v>0</v>
      </c>
      <c r="W93" s="8">
        <v>0</v>
      </c>
      <c r="X93" s="8">
        <v>0</v>
      </c>
      <c r="Y93" s="8">
        <v>0</v>
      </c>
      <c r="Z93" s="8">
        <v>0</v>
      </c>
      <c r="AA93" s="8">
        <v>0</v>
      </c>
      <c r="AB93" s="8">
        <v>0</v>
      </c>
      <c r="AC93" s="8">
        <v>0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8">
        <v>0</v>
      </c>
      <c r="AS93" s="8">
        <v>0</v>
      </c>
      <c r="AT93" s="8">
        <v>0</v>
      </c>
      <c r="AU93" s="8">
        <v>0</v>
      </c>
      <c r="AV93" s="8">
        <v>0</v>
      </c>
      <c r="AW93" s="8">
        <v>0</v>
      </c>
      <c r="AX93" s="8">
        <v>0</v>
      </c>
      <c r="AY93" s="3">
        <v>0</v>
      </c>
      <c r="AZ93" s="3">
        <v>0</v>
      </c>
      <c r="BA93" s="3">
        <v>0</v>
      </c>
      <c r="BB93" s="3">
        <v>0</v>
      </c>
      <c r="BC93" s="3">
        <v>0</v>
      </c>
      <c r="BD93" s="3"/>
      <c r="BF93" s="8"/>
      <c r="BG93" s="8"/>
      <c r="BH93" s="8"/>
      <c r="BI93" s="8">
        <f>SUM($H93:H93)</f>
        <v>0</v>
      </c>
      <c r="BJ93" s="8">
        <f>SUM($H93:I93)</f>
        <v>0</v>
      </c>
      <c r="BK93" s="8">
        <f>SUM($H93:J93)</f>
        <v>0</v>
      </c>
      <c r="BL93" s="8">
        <f>SUM($H93:K93)</f>
        <v>0</v>
      </c>
      <c r="BM93" s="8">
        <f>SUM($H93:L93)</f>
        <v>0</v>
      </c>
      <c r="BN93" s="8">
        <f>SUM($H93:M93)</f>
        <v>0</v>
      </c>
      <c r="BO93" s="8">
        <f>SUM($H93:N93)</f>
        <v>0</v>
      </c>
      <c r="BP93" s="8">
        <f>SUM($H93:O93)</f>
        <v>0</v>
      </c>
      <c r="BQ93" s="8">
        <f>SUM($H93:P93)</f>
        <v>0</v>
      </c>
      <c r="BR93" s="8">
        <f>SUM($H93:Q93)</f>
        <v>0</v>
      </c>
      <c r="BS93" s="8">
        <f>SUM($H93:R93)</f>
        <v>0</v>
      </c>
      <c r="BT93" s="8">
        <f>SUM($H93:S93)</f>
        <v>0</v>
      </c>
    </row>
    <row r="94" spans="2:72" x14ac:dyDescent="0.3">
      <c r="B94" t="s">
        <v>1571</v>
      </c>
      <c r="C94" t="s">
        <v>1549</v>
      </c>
      <c r="E94" s="8">
        <v>0</v>
      </c>
      <c r="F94" s="8">
        <v>0</v>
      </c>
      <c r="G94" s="8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0</v>
      </c>
      <c r="T94" s="8"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8">
        <v>0</v>
      </c>
      <c r="AA94" s="8">
        <v>0</v>
      </c>
      <c r="AB94" s="8">
        <v>0</v>
      </c>
      <c r="AC94" s="8">
        <v>0</v>
      </c>
      <c r="AD94" s="8">
        <v>0</v>
      </c>
      <c r="AE94" s="8">
        <v>0</v>
      </c>
      <c r="AF94" s="8">
        <v>0</v>
      </c>
      <c r="AG94" s="8">
        <v>0</v>
      </c>
      <c r="AH94" s="8">
        <v>0</v>
      </c>
      <c r="AI94" s="8">
        <v>0</v>
      </c>
      <c r="AJ94" s="8">
        <v>0</v>
      </c>
      <c r="AK94" s="8">
        <v>0</v>
      </c>
      <c r="AL94" s="8">
        <v>0</v>
      </c>
      <c r="AM94" s="8">
        <v>0</v>
      </c>
      <c r="AN94" s="8">
        <v>0</v>
      </c>
      <c r="AO94" s="8">
        <v>0</v>
      </c>
      <c r="AP94" s="8">
        <v>0</v>
      </c>
      <c r="AQ94" s="8">
        <v>0</v>
      </c>
      <c r="AR94" s="8">
        <v>0</v>
      </c>
      <c r="AS94" s="8">
        <v>0</v>
      </c>
      <c r="AT94" s="8">
        <v>0</v>
      </c>
      <c r="AU94" s="8">
        <v>0</v>
      </c>
      <c r="AV94" s="8">
        <v>0</v>
      </c>
      <c r="AW94" s="8">
        <v>0</v>
      </c>
      <c r="AX94" s="8">
        <v>0</v>
      </c>
      <c r="AY94" s="3">
        <v>0</v>
      </c>
      <c r="AZ94" s="3">
        <v>0</v>
      </c>
      <c r="BA94" s="3">
        <v>0</v>
      </c>
      <c r="BB94" s="3">
        <v>0</v>
      </c>
      <c r="BC94" s="3">
        <v>0</v>
      </c>
      <c r="BD94" s="3"/>
      <c r="BF94" s="8"/>
      <c r="BG94" s="8"/>
      <c r="BH94" s="8"/>
      <c r="BI94" s="8">
        <f>SUM($H94:H94)</f>
        <v>0</v>
      </c>
      <c r="BJ94" s="8">
        <f>SUM($H94:I94)</f>
        <v>0</v>
      </c>
      <c r="BK94" s="8">
        <f>SUM($H94:J94)</f>
        <v>0</v>
      </c>
      <c r="BL94" s="8">
        <f>SUM($H94:K94)</f>
        <v>0</v>
      </c>
      <c r="BM94" s="8">
        <f>SUM($H94:L94)</f>
        <v>0</v>
      </c>
      <c r="BN94" s="8">
        <f>SUM($H94:M94)</f>
        <v>0</v>
      </c>
      <c r="BO94" s="8">
        <f>SUM($H94:N94)</f>
        <v>0</v>
      </c>
      <c r="BP94" s="8">
        <f>SUM($H94:O94)</f>
        <v>0</v>
      </c>
      <c r="BQ94" s="8">
        <f>SUM($H94:P94)</f>
        <v>0</v>
      </c>
      <c r="BR94" s="8">
        <f>SUM($H94:Q94)</f>
        <v>0</v>
      </c>
      <c r="BS94" s="8">
        <f>SUM($H94:R94)</f>
        <v>0</v>
      </c>
      <c r="BT94" s="8">
        <f>SUM($H94:S94)</f>
        <v>0</v>
      </c>
    </row>
    <row r="95" spans="2:72" x14ac:dyDescent="0.3">
      <c r="E95" s="8"/>
      <c r="F95" s="8"/>
      <c r="G95" s="8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3"/>
      <c r="AZ95" s="3"/>
      <c r="BA95" s="3"/>
      <c r="BB95" s="3"/>
      <c r="BC95" s="3"/>
      <c r="BD95" s="3"/>
      <c r="BF95" s="8"/>
      <c r="BG95" s="8"/>
      <c r="BH95" s="8"/>
      <c r="BI95" s="8">
        <f>SUM($H95:H95)</f>
        <v>0</v>
      </c>
      <c r="BJ95" s="8">
        <f>SUM($H95:I95)</f>
        <v>0</v>
      </c>
      <c r="BK95" s="8">
        <f>SUM($H95:J95)</f>
        <v>0</v>
      </c>
      <c r="BL95" s="8">
        <f>SUM($H95:K95)</f>
        <v>0</v>
      </c>
      <c r="BM95" s="8">
        <f>SUM($H95:L95)</f>
        <v>0</v>
      </c>
      <c r="BN95" s="8">
        <f>SUM($H95:M95)</f>
        <v>0</v>
      </c>
      <c r="BO95" s="8">
        <f>SUM($H95:N95)</f>
        <v>0</v>
      </c>
      <c r="BP95" s="8">
        <f>SUM($H95:O95)</f>
        <v>0</v>
      </c>
      <c r="BQ95" s="8">
        <f>SUM($H95:P95)</f>
        <v>0</v>
      </c>
      <c r="BR95" s="8">
        <f>SUM($H95:Q95)</f>
        <v>0</v>
      </c>
      <c r="BS95" s="8">
        <f>SUM($H95:R95)</f>
        <v>0</v>
      </c>
      <c r="BT95" s="8">
        <f>SUM($H95:S95)</f>
        <v>0</v>
      </c>
    </row>
    <row r="96" spans="2:72" x14ac:dyDescent="0.3">
      <c r="B96" t="s">
        <v>1572</v>
      </c>
      <c r="C96" t="s">
        <v>1488</v>
      </c>
      <c r="E96" s="8">
        <v>-1390950</v>
      </c>
      <c r="F96" s="8">
        <v>-1377450</v>
      </c>
      <c r="G96" s="8">
        <v>-1360350</v>
      </c>
      <c r="H96" s="44">
        <v>-1344600</v>
      </c>
      <c r="I96" s="44">
        <v>-1332450</v>
      </c>
      <c r="J96" s="44">
        <v>-1321200</v>
      </c>
      <c r="K96" s="44">
        <v>-1295550</v>
      </c>
      <c r="L96" s="44">
        <v>-1281150</v>
      </c>
      <c r="M96" s="44">
        <v>-1269900</v>
      </c>
      <c r="N96" s="44">
        <v>-1253700</v>
      </c>
      <c r="O96" s="44">
        <v>-1219500</v>
      </c>
      <c r="P96" s="44">
        <v>-1201950</v>
      </c>
      <c r="Q96" s="44">
        <v>-1174500</v>
      </c>
      <c r="R96" s="44">
        <v>-1171800</v>
      </c>
      <c r="S96" s="44">
        <v>-1167750</v>
      </c>
      <c r="T96" s="8">
        <v>-1155150</v>
      </c>
      <c r="U96" s="8">
        <v>-1140300</v>
      </c>
      <c r="V96" s="8">
        <v>-1129050</v>
      </c>
      <c r="W96" s="8">
        <v>-1111950</v>
      </c>
      <c r="X96" s="8">
        <v>-1078650</v>
      </c>
      <c r="Y96" s="8">
        <v>-1058850</v>
      </c>
      <c r="Z96" s="8">
        <v>-1046700</v>
      </c>
      <c r="AA96" s="8">
        <v>-1023300</v>
      </c>
      <c r="AB96" s="8">
        <v>-939150</v>
      </c>
      <c r="AC96" s="8">
        <v>-801900</v>
      </c>
      <c r="AD96" s="8">
        <v>-721800</v>
      </c>
      <c r="AE96" s="8">
        <v>-666450</v>
      </c>
      <c r="AF96" s="8">
        <v>-644850</v>
      </c>
      <c r="AG96" s="8">
        <v>-639000</v>
      </c>
      <c r="AH96" s="8">
        <v>-634950</v>
      </c>
      <c r="AI96" s="8">
        <v>-629550</v>
      </c>
      <c r="AJ96" s="8">
        <v>-622350</v>
      </c>
      <c r="AK96" s="8">
        <v>-526950</v>
      </c>
      <c r="AL96" s="8">
        <v>-367200</v>
      </c>
      <c r="AM96" s="8">
        <v>-356850</v>
      </c>
      <c r="AN96" s="8">
        <v>-354150</v>
      </c>
      <c r="AO96" s="8">
        <v>-339750</v>
      </c>
      <c r="AP96" s="8">
        <v>-300600</v>
      </c>
      <c r="AQ96" s="8">
        <v>-62100</v>
      </c>
      <c r="AR96" s="8">
        <v>-37800</v>
      </c>
      <c r="AS96" s="8">
        <v>-35550</v>
      </c>
      <c r="AT96" s="8">
        <v>-35100</v>
      </c>
      <c r="AU96" s="8">
        <v>-34650</v>
      </c>
      <c r="AV96" s="8">
        <v>-34650</v>
      </c>
      <c r="AW96" s="8">
        <v>-33750</v>
      </c>
      <c r="AX96" s="8">
        <v>-32850</v>
      </c>
      <c r="AY96" s="8">
        <v>-30150</v>
      </c>
      <c r="AZ96" s="8">
        <v>-29250</v>
      </c>
      <c r="BA96" s="8">
        <v>-900</v>
      </c>
      <c r="BB96" s="8">
        <v>-900</v>
      </c>
      <c r="BC96" s="8">
        <v>-450</v>
      </c>
      <c r="BD96" s="3"/>
      <c r="BF96" s="8"/>
      <c r="BG96" s="8"/>
      <c r="BH96" s="8"/>
      <c r="BI96" s="8">
        <f>SUM($H96:H96)</f>
        <v>-1344600</v>
      </c>
      <c r="BJ96" s="8">
        <f>SUM($H96:I96)</f>
        <v>-2677050</v>
      </c>
      <c r="BK96" s="8">
        <f>SUM($H96:J96)</f>
        <v>-3998250</v>
      </c>
      <c r="BL96" s="8">
        <f>SUM($H96:K96)</f>
        <v>-5293800</v>
      </c>
      <c r="BM96" s="8">
        <f>SUM($H96:L96)</f>
        <v>-6574950</v>
      </c>
      <c r="BN96" s="8">
        <f>SUM($H96:M96)</f>
        <v>-7844850</v>
      </c>
      <c r="BO96" s="8">
        <f>SUM($H96:N96)</f>
        <v>-9098550</v>
      </c>
      <c r="BP96" s="8">
        <f>SUM($H96:O96)</f>
        <v>-10318050</v>
      </c>
      <c r="BQ96" s="8">
        <f>SUM($H96:P96)</f>
        <v>-11520000</v>
      </c>
      <c r="BR96" s="8">
        <f>SUM($H96:Q96)</f>
        <v>-12694500</v>
      </c>
      <c r="BS96" s="8">
        <f>SUM($H96:R96)</f>
        <v>-13866300</v>
      </c>
      <c r="BT96" s="8">
        <f>SUM($H96:S96)</f>
        <v>-15034050</v>
      </c>
    </row>
    <row r="97" spans="2:72" x14ac:dyDescent="0.3">
      <c r="E97" s="8"/>
      <c r="F97" s="8"/>
      <c r="G97" s="8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3"/>
      <c r="AZ97" s="3"/>
      <c r="BA97" s="3"/>
      <c r="BB97" s="3"/>
      <c r="BC97" s="3"/>
      <c r="BD97" s="3"/>
      <c r="BF97" s="8"/>
      <c r="BG97" s="8"/>
      <c r="BH97" s="8"/>
      <c r="BI97" s="8">
        <f>SUM($H97:H97)</f>
        <v>0</v>
      </c>
      <c r="BJ97" s="8">
        <f>SUM($H97:I97)</f>
        <v>0</v>
      </c>
      <c r="BK97" s="8">
        <f>SUM($H97:J97)</f>
        <v>0</v>
      </c>
      <c r="BL97" s="8">
        <f>SUM($H97:K97)</f>
        <v>0</v>
      </c>
      <c r="BM97" s="8">
        <f>SUM($H97:L97)</f>
        <v>0</v>
      </c>
      <c r="BN97" s="8">
        <f>SUM($H97:M97)</f>
        <v>0</v>
      </c>
      <c r="BO97" s="8">
        <f>SUM($H97:N97)</f>
        <v>0</v>
      </c>
      <c r="BP97" s="8">
        <f>SUM($H97:O97)</f>
        <v>0</v>
      </c>
      <c r="BQ97" s="8">
        <f>SUM($H97:P97)</f>
        <v>0</v>
      </c>
      <c r="BR97" s="8">
        <f>SUM($H97:Q97)</f>
        <v>0</v>
      </c>
      <c r="BS97" s="8">
        <f>SUM($H97:R97)</f>
        <v>0</v>
      </c>
      <c r="BT97" s="8">
        <f>SUM($H97:S97)</f>
        <v>0</v>
      </c>
    </row>
    <row r="98" spans="2:72" s="46" customFormat="1" x14ac:dyDescent="0.3">
      <c r="B98" s="46" t="s">
        <v>1573</v>
      </c>
      <c r="C98" s="46" t="s">
        <v>1560</v>
      </c>
      <c r="E98" s="47"/>
      <c r="F98" s="47"/>
      <c r="G98" s="47"/>
      <c r="H98" s="48"/>
      <c r="I98" s="48"/>
      <c r="J98" s="44"/>
      <c r="K98" s="44"/>
      <c r="L98" s="44"/>
      <c r="M98" s="44"/>
      <c r="N98" s="48"/>
      <c r="O98" s="48"/>
      <c r="P98" s="48"/>
      <c r="Q98" s="44"/>
      <c r="R98" s="44"/>
      <c r="S98" s="44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9"/>
      <c r="AZ98" s="49"/>
      <c r="BA98" s="49"/>
      <c r="BB98" s="49"/>
      <c r="BC98" s="49"/>
      <c r="BD98" s="49"/>
      <c r="BF98" s="8"/>
      <c r="BG98" s="8"/>
      <c r="BH98" s="8"/>
      <c r="BI98" s="8">
        <f>SUM($H98:H98)</f>
        <v>0</v>
      </c>
      <c r="BJ98" s="8">
        <f>SUM($H98:I98)</f>
        <v>0</v>
      </c>
      <c r="BK98" s="8">
        <f>SUM($H98:J98)</f>
        <v>0</v>
      </c>
      <c r="BL98" s="8">
        <f>SUM($H98:K98)</f>
        <v>0</v>
      </c>
      <c r="BM98" s="8">
        <f>SUM($H98:L98)</f>
        <v>0</v>
      </c>
      <c r="BN98" s="8">
        <f>SUM($H98:M98)</f>
        <v>0</v>
      </c>
      <c r="BO98" s="8">
        <f>SUM($H98:N98)</f>
        <v>0</v>
      </c>
      <c r="BP98" s="8">
        <f>SUM($H98:O98)</f>
        <v>0</v>
      </c>
      <c r="BQ98" s="8">
        <f>SUM($H98:P98)</f>
        <v>0</v>
      </c>
      <c r="BR98" s="8">
        <f>SUM($H98:Q98)</f>
        <v>0</v>
      </c>
      <c r="BS98" s="8">
        <f>SUM($H98:R98)</f>
        <v>0</v>
      </c>
      <c r="BT98" s="8">
        <f>SUM($H98:S98)</f>
        <v>0</v>
      </c>
    </row>
    <row r="99" spans="2:72" s="46" customFormat="1" x14ac:dyDescent="0.3">
      <c r="B99" s="46" t="s">
        <v>1398</v>
      </c>
      <c r="C99" s="46" t="s">
        <v>1560</v>
      </c>
      <c r="E99" s="47">
        <v>-18280</v>
      </c>
      <c r="F99" s="47">
        <v>-31620</v>
      </c>
      <c r="G99" s="47">
        <v>-53110</v>
      </c>
      <c r="H99" s="44">
        <v>-4480000</v>
      </c>
      <c r="I99" s="44">
        <v>-2400000</v>
      </c>
      <c r="J99" s="44">
        <v>0</v>
      </c>
      <c r="K99" s="44">
        <v>0</v>
      </c>
      <c r="L99" s="44">
        <v>-4400000</v>
      </c>
      <c r="M99" s="44">
        <v>-2000000</v>
      </c>
      <c r="N99" s="44">
        <v>-2400000</v>
      </c>
      <c r="O99" s="44"/>
      <c r="P99" s="44"/>
      <c r="Q99" s="44"/>
      <c r="R99" s="44"/>
      <c r="S99" s="44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9"/>
      <c r="AZ99" s="49"/>
      <c r="BA99" s="49"/>
      <c r="BB99" s="49"/>
      <c r="BC99" s="49"/>
      <c r="BD99" s="49"/>
      <c r="BF99" s="8"/>
      <c r="BG99" s="8"/>
      <c r="BH99" s="8"/>
      <c r="BI99" s="8">
        <f>SUM($H99:H99)</f>
        <v>-4480000</v>
      </c>
      <c r="BJ99" s="8">
        <f>SUM($H99:I99)</f>
        <v>-6880000</v>
      </c>
      <c r="BK99" s="8">
        <f>SUM($H99:J99)</f>
        <v>-6880000</v>
      </c>
      <c r="BL99" s="8">
        <f>SUM($H99:K99)</f>
        <v>-6880000</v>
      </c>
      <c r="BM99" s="8">
        <f>SUM($H99:L99)</f>
        <v>-11280000</v>
      </c>
      <c r="BN99" s="8">
        <f>SUM($H99:M99)</f>
        <v>-13280000</v>
      </c>
      <c r="BO99" s="8">
        <f>SUM($H99:N99)</f>
        <v>-15680000</v>
      </c>
      <c r="BP99" s="8">
        <f>SUM($H99:O99)</f>
        <v>-15680000</v>
      </c>
      <c r="BQ99" s="8">
        <f>SUM($H99:P99)</f>
        <v>-15680000</v>
      </c>
      <c r="BR99" s="8">
        <f>SUM($H99:Q99)</f>
        <v>-15680000</v>
      </c>
      <c r="BS99" s="8">
        <f>SUM($H99:R99)</f>
        <v>-15680000</v>
      </c>
      <c r="BT99" s="8">
        <f>SUM($H99:S99)</f>
        <v>-15680000</v>
      </c>
    </row>
    <row r="100" spans="2:72" x14ac:dyDescent="0.3">
      <c r="E100" s="8"/>
      <c r="F100" s="8"/>
      <c r="G100" s="8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3"/>
      <c r="AZ100" s="3"/>
      <c r="BA100" s="3"/>
      <c r="BB100" s="3"/>
      <c r="BC100" s="3"/>
      <c r="BD100" s="3"/>
      <c r="BF100" s="8"/>
      <c r="BG100" s="8"/>
      <c r="BH100" s="8"/>
      <c r="BI100" s="8">
        <f>SUM($H100:H100)</f>
        <v>0</v>
      </c>
      <c r="BJ100" s="8">
        <f>SUM($H100:I100)</f>
        <v>0</v>
      </c>
      <c r="BK100" s="8">
        <f>SUM($H100:J100)</f>
        <v>0</v>
      </c>
      <c r="BL100" s="8">
        <f>SUM($H100:K100)</f>
        <v>0</v>
      </c>
      <c r="BM100" s="8">
        <f>SUM($H100:L100)</f>
        <v>0</v>
      </c>
      <c r="BN100" s="8">
        <f>SUM($H100:M100)</f>
        <v>0</v>
      </c>
      <c r="BO100" s="8">
        <f>SUM($H100:N100)</f>
        <v>0</v>
      </c>
      <c r="BP100" s="8">
        <f>SUM($H100:O100)</f>
        <v>0</v>
      </c>
      <c r="BQ100" s="8">
        <f>SUM($H100:P100)</f>
        <v>0</v>
      </c>
      <c r="BR100" s="8">
        <f>SUM($H100:Q100)</f>
        <v>0</v>
      </c>
      <c r="BS100" s="8">
        <f>SUM($H100:R100)</f>
        <v>0</v>
      </c>
      <c r="BT100" s="8">
        <f>SUM($H100:S100)</f>
        <v>0</v>
      </c>
    </row>
    <row r="101" spans="2:72" x14ac:dyDescent="0.3">
      <c r="B101" t="s">
        <v>1464</v>
      </c>
      <c r="E101" s="8"/>
      <c r="F101" s="8"/>
      <c r="G101" s="8">
        <v>-23986230.224949874</v>
      </c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BF101" s="8"/>
      <c r="BG101" s="8"/>
      <c r="BH101" s="8"/>
      <c r="BI101" s="8">
        <f>SUM($H101:H101)</f>
        <v>0</v>
      </c>
      <c r="BJ101" s="8">
        <f>SUM($H101:I101)</f>
        <v>0</v>
      </c>
      <c r="BK101" s="8">
        <f>SUM($H101:J101)</f>
        <v>0</v>
      </c>
      <c r="BL101" s="8">
        <f>SUM($H101:K101)</f>
        <v>0</v>
      </c>
      <c r="BM101" s="8">
        <f>SUM($H101:L101)</f>
        <v>0</v>
      </c>
      <c r="BN101" s="8">
        <f>SUM($H101:M101)</f>
        <v>0</v>
      </c>
      <c r="BO101" s="8">
        <f>SUM($H101:N101)</f>
        <v>0</v>
      </c>
      <c r="BP101" s="8">
        <f>SUM($H101:O101)</f>
        <v>0</v>
      </c>
      <c r="BQ101" s="8">
        <f>SUM($H101:P101)</f>
        <v>0</v>
      </c>
      <c r="BR101" s="8">
        <f>SUM($H101:Q101)</f>
        <v>0</v>
      </c>
      <c r="BS101" s="8">
        <f>SUM($H101:R101)</f>
        <v>0</v>
      </c>
      <c r="BT101" s="8">
        <f>SUM($H101:S101)</f>
        <v>0</v>
      </c>
    </row>
    <row r="102" spans="2:72" x14ac:dyDescent="0.3">
      <c r="E102" s="8"/>
      <c r="F102" s="8"/>
      <c r="G102" s="8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BF102" s="8"/>
      <c r="BG102" s="8"/>
      <c r="BH102" s="8"/>
      <c r="BI102" s="8">
        <f>SUM($H102:H102)</f>
        <v>0</v>
      </c>
      <c r="BJ102" s="8">
        <f>SUM($H102:I102)</f>
        <v>0</v>
      </c>
      <c r="BK102" s="8">
        <f>SUM($H102:J102)</f>
        <v>0</v>
      </c>
      <c r="BL102" s="8">
        <f>SUM($H102:K102)</f>
        <v>0</v>
      </c>
      <c r="BM102" s="8">
        <f>SUM($H102:L102)</f>
        <v>0</v>
      </c>
      <c r="BN102" s="8">
        <f>SUM($H102:M102)</f>
        <v>0</v>
      </c>
      <c r="BO102" s="8">
        <f>SUM($H102:N102)</f>
        <v>0</v>
      </c>
      <c r="BP102" s="8">
        <f>SUM($H102:O102)</f>
        <v>0</v>
      </c>
      <c r="BQ102" s="8">
        <f>SUM($H102:P102)</f>
        <v>0</v>
      </c>
      <c r="BR102" s="8">
        <f>SUM($H102:Q102)</f>
        <v>0</v>
      </c>
      <c r="BS102" s="8">
        <f>SUM($H102:R102)</f>
        <v>0</v>
      </c>
      <c r="BT102" s="8">
        <f>SUM($H102:S102)</f>
        <v>0</v>
      </c>
    </row>
    <row r="103" spans="2:72" x14ac:dyDescent="0.3">
      <c r="E103" s="8"/>
      <c r="F103" s="8"/>
      <c r="G103" s="8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</row>
    <row r="104" spans="2:72" x14ac:dyDescent="0.3">
      <c r="E104" s="8"/>
      <c r="F104" s="8"/>
      <c r="G104" s="8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</row>
    <row r="105" spans="2:72" x14ac:dyDescent="0.3">
      <c r="E105" s="8"/>
      <c r="F105" s="8"/>
      <c r="G105" s="8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</row>
    <row r="106" spans="2:72" x14ac:dyDescent="0.3">
      <c r="E106" s="8"/>
      <c r="F106" s="8"/>
      <c r="G106" s="8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</row>
    <row r="107" spans="2:72" x14ac:dyDescent="0.3">
      <c r="E107" s="8"/>
      <c r="F107" s="8"/>
      <c r="G107" s="8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</row>
    <row r="108" spans="2:72" x14ac:dyDescent="0.3">
      <c r="B108" t="s">
        <v>1390</v>
      </c>
      <c r="E108" s="8">
        <f>SUMIF(E$29:E107,"&gt;0",E$29:E107)</f>
        <v>104768705</v>
      </c>
      <c r="F108" s="8">
        <f>SUMIF(F$29:F107,"&gt;0",F$29:F107)</f>
        <v>99740277</v>
      </c>
      <c r="G108" s="8">
        <f>SUMIF(G$29:G107,"&gt;0",G$29:G107)</f>
        <v>98567157</v>
      </c>
      <c r="H108" s="44">
        <f>SUMIF(H$29:H107,"&gt;0",H$29:H107)</f>
        <v>96857740</v>
      </c>
      <c r="I108" s="44">
        <f>SUMIF(I$29:I107,"&gt;0",I$29:I107)</f>
        <v>96053833</v>
      </c>
      <c r="J108" s="44">
        <f>SUMIF(J$29:J107,"&gt;0",J$29:J107)</f>
        <v>94683946</v>
      </c>
      <c r="K108" s="44">
        <f>SUMIF(K$29:K107,"&gt;0",K$29:K107)</f>
        <v>92452343</v>
      </c>
      <c r="L108" s="44">
        <f>SUMIF(L$29:L107,"&gt;0",L$29:L107)</f>
        <v>91551892</v>
      </c>
      <c r="M108" s="44">
        <f>SUMIF(M$29:M107,"&gt;0",M$29:M107)</f>
        <v>90584617</v>
      </c>
      <c r="N108" s="44">
        <f>SUMIF(N$29:N107,"&gt;0",N$29:N107)</f>
        <v>89436375</v>
      </c>
      <c r="O108" s="44">
        <f>SUMIF(O$29:O107,"&gt;0",O$29:O107)</f>
        <v>87576758</v>
      </c>
      <c r="P108" s="44">
        <f>SUMIF(P$29:P107,"&gt;0",P$29:P107)</f>
        <v>85298619</v>
      </c>
      <c r="Q108" s="44">
        <f>SUMIF(Q$29:Q107,"&gt;0",Q$29:Q107)</f>
        <v>84118673</v>
      </c>
      <c r="R108" s="44">
        <f>SUMIF(R$29:R107,"&gt;0",R$29:R107)</f>
        <v>83874179</v>
      </c>
      <c r="S108" s="44">
        <f>SUMIF(S$29:S107,"&gt;0",S$29:S107)</f>
        <v>83307737</v>
      </c>
      <c r="T108" s="8">
        <f>SUMIF(T$29:T107,"&gt;0",T$29:T107)</f>
        <v>80886806</v>
      </c>
      <c r="U108" s="8">
        <f>SUMIF(U$29:U107,"&gt;0",U$29:U107)</f>
        <v>79585085</v>
      </c>
      <c r="V108" s="8">
        <f>SUMIF(V$29:V107,"&gt;0",V$29:V107)</f>
        <v>78767304</v>
      </c>
      <c r="W108" s="8">
        <f>SUMIF(W$29:W107,"&gt;0",W$29:W107)</f>
        <v>77783075</v>
      </c>
      <c r="X108" s="8">
        <f>SUMIF(X$29:X107,"&gt;0",X$29:X107)</f>
        <v>76194573</v>
      </c>
      <c r="Y108" s="8">
        <f>SUMIF(Y$29:Y107,"&gt;0",Y$29:Y107)</f>
        <v>75400768</v>
      </c>
      <c r="Z108" s="8">
        <f>SUMIF(Z$29:Z107,"&gt;0",Z$29:Z107)</f>
        <v>73996532</v>
      </c>
      <c r="AA108" s="8">
        <f>SUMIF(AA$29:AA107,"&gt;0",AA$29:AA107)</f>
        <v>70093582</v>
      </c>
      <c r="AB108" s="8">
        <f>SUMIF(AB$29:AB107,"&gt;0",AB$29:AB107)</f>
        <v>64593490</v>
      </c>
      <c r="AC108" s="8">
        <f>SUMIF(AC$29:AC107,"&gt;0",AC$29:AC107)</f>
        <v>58276009</v>
      </c>
      <c r="AD108" s="8">
        <f>SUMIF(AD$29:AD107,"&gt;0",AD$29:AD107)</f>
        <v>52654947</v>
      </c>
      <c r="AE108" s="8">
        <f>SUMIF(AE$29:AE107,"&gt;0",AE$29:AE107)</f>
        <v>50780873</v>
      </c>
      <c r="AF108" s="8">
        <f>SUMIF(AF$29:AF107,"&gt;0",AF$29:AF107)</f>
        <v>49852147</v>
      </c>
      <c r="AG108" s="8">
        <f>SUMIF(AG$29:AG107,"&gt;0",AG$29:AG107)</f>
        <v>49583992</v>
      </c>
      <c r="AH108" s="8">
        <f>SUMIF(AH$29:AH107,"&gt;0",AH$29:AH107)</f>
        <v>49125223</v>
      </c>
      <c r="AI108" s="8">
        <f>SUMIF(AI$29:AI107,"&gt;0",AI$29:AI107)</f>
        <v>48794200</v>
      </c>
      <c r="AJ108" s="8">
        <f>SUMIF(AJ$29:AJ107,"&gt;0",AJ$29:AJ107)</f>
        <v>46514068</v>
      </c>
      <c r="AK108" s="8">
        <f>SUMIF(AK$29:AK107,"&gt;0",AK$29:AK107)</f>
        <v>36709632</v>
      </c>
      <c r="AL108" s="8">
        <f>SUMIF(AL$29:AL107,"&gt;0",AL$29:AL107)</f>
        <v>32439305</v>
      </c>
      <c r="AM108" s="8">
        <f>SUMIF(AM$29:AM107,"&gt;0",AM$29:AM107)</f>
        <v>31667463</v>
      </c>
      <c r="AN108" s="8">
        <f>SUMIF(AN$29:AN107,"&gt;0",AN$29:AN107)</f>
        <v>31013876</v>
      </c>
      <c r="AO108" s="8">
        <f>SUMIF(AO$29:AO107,"&gt;0",AO$29:AO107)</f>
        <v>28975491</v>
      </c>
      <c r="AP108" s="8">
        <f>SUMIF(AP$29:AP107,"&gt;0",AP$29:AP107)</f>
        <v>15871278</v>
      </c>
      <c r="AQ108" s="8">
        <f>SUMIF(AQ$29:AQ107,"&gt;0",AQ$29:AQ107)</f>
        <v>4356153</v>
      </c>
      <c r="AR108" s="8">
        <f>SUMIF(AR$29:AR107,"&gt;0",AR$29:AR107)</f>
        <v>3872414</v>
      </c>
      <c r="AS108" s="8">
        <f>SUMIF(AS$29:AS107,"&gt;0",AS$29:AS107)</f>
        <v>3719924</v>
      </c>
      <c r="AT108" s="8">
        <f>SUMIF(AT$29:AT107,"&gt;0",AT$29:AT107)</f>
        <v>3647365</v>
      </c>
      <c r="AU108" s="8">
        <f>SUMIF(AU$29:AU107,"&gt;0",AU$29:AU107)</f>
        <v>3639775</v>
      </c>
      <c r="AV108" s="8">
        <f>SUMIF(AV$29:AV107,"&gt;0",AV$29:AV107)</f>
        <v>3621138</v>
      </c>
      <c r="AW108" s="8">
        <f>SUMIF(AW$29:AW107,"&gt;0",AW$29:AW107)</f>
        <v>3489859</v>
      </c>
      <c r="AX108" s="8">
        <f>SUMIF(AX$29:AX107,"&gt;0",AX$29:AX107)</f>
        <v>3229906</v>
      </c>
      <c r="AY108" s="3">
        <f>SUMIF(AY$29:AY107,"&gt;0",AY$29:AY107)</f>
        <v>2830147</v>
      </c>
      <c r="AZ108" s="3">
        <f>SUMIF(AZ$29:AZ107,"&gt;0",AZ$29:AZ107)</f>
        <v>1592171</v>
      </c>
      <c r="BA108" s="3">
        <f>SUMIF(BA$29:BA107,"&gt;0",BA$29:BA107)</f>
        <v>185877</v>
      </c>
      <c r="BB108" s="3">
        <f>SUMIF(BB$29:BB107,"&gt;0",BB$29:BB107)</f>
        <v>142998</v>
      </c>
      <c r="BC108" s="3">
        <f>SUMIF(BC$29:BC107,"&gt;0",BC$29:BC107)</f>
        <v>93523</v>
      </c>
      <c r="BD108" s="3"/>
      <c r="BF108" s="8"/>
      <c r="BG108" s="8"/>
      <c r="BH108" s="8"/>
      <c r="BI108" s="8">
        <f t="shared" ref="BI108:BT108" si="2">SUM(BI29:BI102)</f>
        <v>6341048.704376772</v>
      </c>
      <c r="BJ108" s="8">
        <f t="shared" si="2"/>
        <v>13233554.658892676</v>
      </c>
      <c r="BK108" s="8">
        <f t="shared" si="2"/>
        <v>23931681.129496947</v>
      </c>
      <c r="BL108" s="8">
        <f t="shared" si="2"/>
        <v>32469716.301971942</v>
      </c>
      <c r="BM108" s="8">
        <f t="shared" si="2"/>
        <v>36604175.382454425</v>
      </c>
      <c r="BN108" s="8">
        <f t="shared" si="2"/>
        <v>44741501.784283578</v>
      </c>
      <c r="BO108" s="8">
        <f t="shared" si="2"/>
        <v>50991946.434036016</v>
      </c>
      <c r="BP108" s="8">
        <f t="shared" si="2"/>
        <v>60926942.408782542</v>
      </c>
      <c r="BQ108" s="8">
        <f t="shared" si="2"/>
        <v>69255015.323539197</v>
      </c>
      <c r="BR108" s="8">
        <f t="shared" si="2"/>
        <v>76398030.116681039</v>
      </c>
      <c r="BS108" s="8">
        <f t="shared" si="2"/>
        <v>86727483.654260874</v>
      </c>
      <c r="BT108" s="8">
        <f t="shared" si="2"/>
        <v>94589393.809037924</v>
      </c>
    </row>
    <row r="109" spans="2:72" x14ac:dyDescent="0.3">
      <c r="B109" t="s">
        <v>1400</v>
      </c>
      <c r="E109" s="8">
        <f>SUMIF(E$29:E107,"&lt;0",E$29:E107)</f>
        <v>-92836672.315944925</v>
      </c>
      <c r="F109" s="8">
        <f>SUMIF(F$29:F107,"&lt;0",F$29:F107)</f>
        <v>-85334415.138872981</v>
      </c>
      <c r="G109" s="8">
        <f>SUMIF(G$29:G107,"&lt;0",G$29:G107)</f>
        <v>-112761768.52657482</v>
      </c>
      <c r="H109" s="44">
        <f>SUMIF(H$29:H107,"&lt;0",H$29:H107)</f>
        <v>-90516691.295623228</v>
      </c>
      <c r="I109" s="44">
        <f>SUMIF(I$29:I107,"&lt;0",I$29:I107)</f>
        <v>-89161327.045484096</v>
      </c>
      <c r="J109" s="44">
        <f>SUMIF(J$29:J107,"&lt;0",J$29:J107)</f>
        <v>-83985819.529395759</v>
      </c>
      <c r="K109" s="44">
        <f>SUMIF(K$29:K107,"&lt;0",K$29:K107)</f>
        <v>-83914307.82752499</v>
      </c>
      <c r="L109" s="44">
        <f>SUMIF(L$29:L107,"&lt;0",L$29:L107)</f>
        <v>-87417432.919517472</v>
      </c>
      <c r="M109" s="44">
        <f>SUMIF(M$29:M107,"&lt;0",M$29:M107)</f>
        <v>-82447290.598170877</v>
      </c>
      <c r="N109" s="44">
        <f>SUMIF(N$29:N107,"&lt;0",N$29:N107)</f>
        <v>-83185930.350247532</v>
      </c>
      <c r="O109" s="44">
        <f>SUMIF(O$29:O107,"&lt;0",O$29:O107)</f>
        <v>-77641762.025253445</v>
      </c>
      <c r="P109" s="44">
        <f>SUMIF(P$29:P107,"&lt;0",P$29:P107)</f>
        <v>-76970546.085243374</v>
      </c>
      <c r="Q109" s="44">
        <f>SUMIF(Q$29:Q107,"&lt;0",Q$29:Q107)</f>
        <v>-76975658.206858173</v>
      </c>
      <c r="R109" s="44">
        <f>SUMIF(R$29:R107,"&lt;0",R$29:R107)</f>
        <v>-73544725.462420166</v>
      </c>
      <c r="S109" s="44">
        <f>SUMIF(S$29:S107,"&lt;0",S$29:S107)</f>
        <v>-75445826.84522298</v>
      </c>
      <c r="T109" s="8">
        <f>SUMIF(T$29:T107,"&lt;0",T$29:T107)</f>
        <v>-72920373.6766572</v>
      </c>
      <c r="U109" s="8">
        <f>SUMIF(U$29:U107,"&lt;0",U$29:U107)</f>
        <v>-72518171.781672031</v>
      </c>
      <c r="V109" s="8">
        <f>SUMIF(V$29:V107,"&lt;0",V$29:V107)</f>
        <v>-69985194.71690321</v>
      </c>
      <c r="W109" s="8">
        <f>SUMIF(W$29:W107,"&lt;0",W$29:W107)</f>
        <v>-69793320.624985635</v>
      </c>
      <c r="X109" s="8">
        <f>SUMIF(X$29:X107,"&lt;0",X$29:X107)</f>
        <v>-67594556.058815032</v>
      </c>
      <c r="Y109" s="8">
        <f>SUMIF(Y$29:Y107,"&lt;0",Y$29:Y107)</f>
        <v>-65031958.888099268</v>
      </c>
      <c r="Z109" s="8">
        <f>SUMIF(Z$29:Z107,"&lt;0",Z$29:Z107)</f>
        <v>-64761186.218125351</v>
      </c>
      <c r="AA109" s="8">
        <f>SUMIF(AA$29:AA107,"&lt;0",AA$29:AA107)</f>
        <v>-59869001.441134393</v>
      </c>
      <c r="AB109" s="8">
        <f>SUMIF(AB$29:AB107,"&lt;0",AB$29:AB107)</f>
        <v>-53990655.806233652</v>
      </c>
      <c r="AC109" s="8">
        <f>SUMIF(AC$29:AC107,"&lt;0",AC$29:AC107)</f>
        <v>-45690533.575003952</v>
      </c>
      <c r="AD109" s="8">
        <f>SUMIF(AD$29:AD107,"&lt;0",AD$29:AD107)</f>
        <v>-39657308.911187187</v>
      </c>
      <c r="AE109" s="8">
        <f>SUMIF(AE$29:AE107,"&lt;0",AE$29:AE107)</f>
        <v>-38834712.507660858</v>
      </c>
      <c r="AF109" s="8">
        <f>SUMIF(AF$29:AF107,"&lt;0",AF$29:AF107)</f>
        <v>-37106251.395215787</v>
      </c>
      <c r="AG109" s="8">
        <f>SUMIF(AG$29:AG107,"&lt;0",AG$29:AG107)</f>
        <v>-36985821.650619909</v>
      </c>
      <c r="AH109" s="8">
        <f>SUMIF(AH$29:AH107,"&lt;0",AH$29:AH107)</f>
        <v>-35919749.289267518</v>
      </c>
      <c r="AI109" s="8">
        <f>SUMIF(AI$29:AI107,"&lt;0",AI$29:AI107)</f>
        <v>-35946599.745070323</v>
      </c>
      <c r="AJ109" s="8">
        <f>SUMIF(AJ$29:AJ107,"&lt;0",AJ$29:AJ107)</f>
        <v>-33660441.083109573</v>
      </c>
      <c r="AK109" s="8">
        <f>SUMIF(AK$29:AK107,"&lt;0",AK$29:AK107)</f>
        <v>-26235837.441374809</v>
      </c>
      <c r="AL109" s="8">
        <f>SUMIF(AL$29:AL107,"&lt;0",AL$29:AL107)</f>
        <v>-21553258.039136946</v>
      </c>
      <c r="AM109" s="8">
        <f>SUMIF(AM$29:AM107,"&lt;0",AM$29:AM107)</f>
        <v>-20505828.249290891</v>
      </c>
      <c r="AN109" s="8">
        <f>SUMIF(AN$29:AN107,"&lt;0",AN$29:AN107)</f>
        <v>-20280262.385813586</v>
      </c>
      <c r="AO109" s="8">
        <f>SUMIF(AO$29:AO107,"&lt;0",AO$29:AO107)</f>
        <v>-18926314.138174213</v>
      </c>
      <c r="AP109" s="8">
        <f>SUMIF(AP$29:AP107,"&lt;0",AP$29:AP107)</f>
        <v>-13764974.14926949</v>
      </c>
      <c r="AQ109" s="8">
        <f>SUMIF(AQ$29:AQ107,"&lt;0",AQ$29:AQ107)</f>
        <v>-6649285.2482783366</v>
      </c>
      <c r="AR109" s="8">
        <f>SUMIF(AR$29:AR107,"&lt;0",AR$29:AR107)</f>
        <v>-1329534.2582340455</v>
      </c>
      <c r="AS109" s="8">
        <f>SUMIF(AS$29:AS107,"&lt;0",AS$29:AS107)</f>
        <v>-1231242.8159414474</v>
      </c>
      <c r="AT109" s="8">
        <f>SUMIF(AT$29:AT107,"&lt;0",AT$29:AT107)</f>
        <v>-1175520.3582926071</v>
      </c>
      <c r="AU109" s="8">
        <f>SUMIF(AU$29:AU107,"&lt;0",AU$29:AU107)</f>
        <v>-1172273.9391798037</v>
      </c>
      <c r="AV109" s="8">
        <f>SUMIF(AV$29:AV107,"&lt;0",AV$29:AV107)</f>
        <v>-1165718.0915195297</v>
      </c>
      <c r="AW109" s="8">
        <f>SUMIF(AW$29:AW107,"&lt;0",AW$29:AW107)</f>
        <v>-1093064.2396372268</v>
      </c>
      <c r="AX109" s="8">
        <f>SUMIF(AX$29:AX107,"&lt;0",AX$29:AX107)</f>
        <v>-1000844.9505729452</v>
      </c>
      <c r="AY109" s="3">
        <f>SUMIF(AY$29:AY107,"&lt;0",AY$29:AY107)</f>
        <v>-783947.29006541101</v>
      </c>
      <c r="AZ109" s="3">
        <f>SUMIF(AZ$29:AZ107,"&lt;0",AZ$29:AZ107)</f>
        <v>-751293.98880547949</v>
      </c>
      <c r="BA109" s="3">
        <f>SUMIF(BA$29:BA107,"&lt;0",BA$29:BA107)</f>
        <v>-46666.125753424654</v>
      </c>
      <c r="BB109" s="3">
        <f>SUMIF(BB$29:BB107,"&lt;0",BB$29:BB107)</f>
        <v>-33718.44794520548</v>
      </c>
      <c r="BC109" s="3">
        <f>SUMIF(BC$29:BC107,"&lt;0",BC$29:BC107)</f>
        <v>-10790</v>
      </c>
      <c r="BD109" s="3"/>
    </row>
    <row r="110" spans="2:72" x14ac:dyDescent="0.3">
      <c r="E110" s="8"/>
      <c r="F110" s="8"/>
      <c r="G110" s="8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</row>
    <row r="111" spans="2:72" x14ac:dyDescent="0.3">
      <c r="E111" s="8"/>
      <c r="F111" s="8"/>
      <c r="G111" s="8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</row>
    <row r="112" spans="2:72" x14ac:dyDescent="0.3">
      <c r="E112" s="8"/>
      <c r="F112" s="8"/>
      <c r="G112" s="8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</row>
    <row r="113" spans="2:72" x14ac:dyDescent="0.3">
      <c r="B113" t="s">
        <v>1574</v>
      </c>
      <c r="E113" s="8">
        <f>SUM(E108:E109)</f>
        <v>11932032.684055075</v>
      </c>
      <c r="F113" s="8">
        <f t="shared" ref="F113:BC113" si="3">SUM(F108:F109)</f>
        <v>14405861.861127019</v>
      </c>
      <c r="G113" s="8">
        <f t="shared" si="3"/>
        <v>-14194611.52657482</v>
      </c>
      <c r="H113" s="44">
        <f t="shared" si="3"/>
        <v>6341048.704376772</v>
      </c>
      <c r="I113" s="44">
        <f t="shared" si="3"/>
        <v>6892505.9545159042</v>
      </c>
      <c r="J113" s="44">
        <f t="shared" si="3"/>
        <v>10698126.470604241</v>
      </c>
      <c r="K113" s="44">
        <f t="shared" si="3"/>
        <v>8538035.1724750102</v>
      </c>
      <c r="L113" s="44">
        <f t="shared" si="3"/>
        <v>4134459.0804825276</v>
      </c>
      <c r="M113" s="44">
        <f t="shared" si="3"/>
        <v>8137326.4018291235</v>
      </c>
      <c r="N113" s="44">
        <f t="shared" si="3"/>
        <v>6250444.6497524679</v>
      </c>
      <c r="O113" s="44">
        <f t="shared" si="3"/>
        <v>9934995.9747465551</v>
      </c>
      <c r="P113" s="44">
        <f t="shared" si="3"/>
        <v>8328072.9147566259</v>
      </c>
      <c r="Q113" s="44">
        <f t="shared" si="3"/>
        <v>7143014.793141827</v>
      </c>
      <c r="R113" s="44">
        <f t="shared" si="3"/>
        <v>10329453.537579834</v>
      </c>
      <c r="S113" s="44">
        <f t="shared" si="3"/>
        <v>7861910.1547770202</v>
      </c>
      <c r="T113" s="8">
        <f t="shared" si="3"/>
        <v>7966432.3233428001</v>
      </c>
      <c r="U113" s="8">
        <f t="shared" si="3"/>
        <v>7066913.2183279693</v>
      </c>
      <c r="V113" s="8">
        <f t="shared" si="3"/>
        <v>8782109.2830967903</v>
      </c>
      <c r="W113" s="8">
        <f t="shared" si="3"/>
        <v>7989754.3750143647</v>
      </c>
      <c r="X113" s="8">
        <f t="shared" si="3"/>
        <v>8600016.9411849678</v>
      </c>
      <c r="Y113" s="8">
        <f t="shared" si="3"/>
        <v>10368809.111900732</v>
      </c>
      <c r="Z113" s="8">
        <f t="shared" si="3"/>
        <v>9235345.7818746492</v>
      </c>
      <c r="AA113" s="8">
        <f t="shared" si="3"/>
        <v>10224580.558865607</v>
      </c>
      <c r="AB113" s="8">
        <f t="shared" si="3"/>
        <v>10602834.193766348</v>
      </c>
      <c r="AC113" s="8">
        <f t="shared" si="3"/>
        <v>12585475.424996048</v>
      </c>
      <c r="AD113" s="8">
        <f t="shared" si="3"/>
        <v>12997638.088812813</v>
      </c>
      <c r="AE113" s="8">
        <f t="shared" si="3"/>
        <v>11946160.492339142</v>
      </c>
      <c r="AF113" s="8">
        <f t="shared" si="3"/>
        <v>12745895.604784213</v>
      </c>
      <c r="AG113" s="8">
        <f t="shared" si="3"/>
        <v>12598170.349380091</v>
      </c>
      <c r="AH113" s="8">
        <f t="shared" si="3"/>
        <v>13205473.710732482</v>
      </c>
      <c r="AI113" s="8">
        <f t="shared" si="3"/>
        <v>12847600.254929677</v>
      </c>
      <c r="AJ113" s="8">
        <f t="shared" si="3"/>
        <v>12853626.916890427</v>
      </c>
      <c r="AK113" s="8">
        <f t="shared" si="3"/>
        <v>10473794.558625191</v>
      </c>
      <c r="AL113" s="8">
        <f t="shared" si="3"/>
        <v>10886046.960863054</v>
      </c>
      <c r="AM113" s="8">
        <f t="shared" si="3"/>
        <v>11161634.750709109</v>
      </c>
      <c r="AN113" s="8">
        <f t="shared" si="3"/>
        <v>10733613.614186414</v>
      </c>
      <c r="AO113" s="8">
        <f t="shared" si="3"/>
        <v>10049176.861825787</v>
      </c>
      <c r="AP113" s="8">
        <f t="shared" si="3"/>
        <v>2106303.8507305104</v>
      </c>
      <c r="AQ113" s="8">
        <f t="shared" si="3"/>
        <v>-2293132.2482783366</v>
      </c>
      <c r="AR113" s="8">
        <f t="shared" si="3"/>
        <v>2542879.7417659545</v>
      </c>
      <c r="AS113" s="8">
        <f t="shared" si="3"/>
        <v>2488681.1840585526</v>
      </c>
      <c r="AT113" s="8">
        <f t="shared" si="3"/>
        <v>2471844.6417073929</v>
      </c>
      <c r="AU113" s="8">
        <f t="shared" si="3"/>
        <v>2467501.0608201963</v>
      </c>
      <c r="AV113" s="8">
        <f t="shared" si="3"/>
        <v>2455419.9084804701</v>
      </c>
      <c r="AW113" s="8">
        <f t="shared" si="3"/>
        <v>2396794.7603627732</v>
      </c>
      <c r="AX113" s="8">
        <f t="shared" si="3"/>
        <v>2229061.0494270548</v>
      </c>
      <c r="AY113" s="3">
        <f t="shared" si="3"/>
        <v>2046199.709934589</v>
      </c>
      <c r="AZ113" s="3">
        <f t="shared" si="3"/>
        <v>840877.01119452051</v>
      </c>
      <c r="BA113" s="3">
        <f t="shared" si="3"/>
        <v>139210.87424657535</v>
      </c>
      <c r="BB113" s="3">
        <f t="shared" si="3"/>
        <v>109279.55205479452</v>
      </c>
      <c r="BC113" s="3">
        <f t="shared" si="3"/>
        <v>82733</v>
      </c>
      <c r="BD113" s="3"/>
    </row>
    <row r="114" spans="2:72" x14ac:dyDescent="0.3">
      <c r="E114" s="8"/>
      <c r="F114" s="8"/>
      <c r="G114" s="8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</row>
    <row r="115" spans="2:72" x14ac:dyDescent="0.3">
      <c r="B115" s="6" t="s">
        <v>1391</v>
      </c>
      <c r="E115" s="8">
        <v>112774.79499512352</v>
      </c>
      <c r="F115" s="8">
        <v>282983.6193247959</v>
      </c>
      <c r="G115" s="8">
        <v>181308.65297558904</v>
      </c>
      <c r="H115" s="44">
        <v>-12460969.086822107</v>
      </c>
      <c r="I115" s="44">
        <v>61937.311820521951</v>
      </c>
      <c r="J115" s="44">
        <v>132722.81104397401</v>
      </c>
      <c r="K115" s="44">
        <v>70785.499223448336</v>
      </c>
      <c r="L115" s="44">
        <v>57513.218119055033</v>
      </c>
      <c r="M115" s="44">
        <v>86269.827178582549</v>
      </c>
      <c r="N115" s="44">
        <v>218953.04383029789</v>
      </c>
      <c r="O115" s="44">
        <v>187944.79352778941</v>
      </c>
      <c r="P115" s="44">
        <v>574775.83166027442</v>
      </c>
      <c r="Q115" s="44">
        <v>17696.374805863947</v>
      </c>
      <c r="R115" s="44">
        <v>19908.42165659368</v>
      </c>
      <c r="S115" s="44">
        <v>61937.311820521951</v>
      </c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BI115" s="8">
        <f>SUM($H115:H115)</f>
        <v>-12460969.086822107</v>
      </c>
      <c r="BJ115" s="8">
        <f>SUM($H115:I115)</f>
        <v>-12399031.775001585</v>
      </c>
      <c r="BK115" s="8">
        <f>SUM($H115:J115)</f>
        <v>-12266308.963957611</v>
      </c>
      <c r="BL115" s="8">
        <f>SUM($H115:K115)</f>
        <v>-12195523.464734163</v>
      </c>
      <c r="BM115" s="8">
        <f>SUM($H115:L115)</f>
        <v>-12138010.246615108</v>
      </c>
      <c r="BN115" s="8">
        <f>SUM($H115:M115)</f>
        <v>-12051740.419436526</v>
      </c>
      <c r="BO115" s="8">
        <f>SUM($H115:N115)</f>
        <v>-11832787.375606228</v>
      </c>
      <c r="BP115" s="8">
        <f>SUM($H115:O115)</f>
        <v>-11644842.582078438</v>
      </c>
      <c r="BQ115" s="8">
        <f>SUM($H115:P115)</f>
        <v>-11070066.750418164</v>
      </c>
      <c r="BR115" s="8">
        <f>SUM($H115:Q115)</f>
        <v>-11052370.3756123</v>
      </c>
      <c r="BS115" s="8">
        <f>SUM($H115:R115)</f>
        <v>-11032461.953955706</v>
      </c>
      <c r="BT115" s="8">
        <f>SUM($H115:S115)</f>
        <v>-10970524.642135184</v>
      </c>
    </row>
    <row r="116" spans="2:72" x14ac:dyDescent="0.3">
      <c r="E116" s="8"/>
      <c r="F116" s="8"/>
      <c r="G116" s="8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</row>
    <row r="117" spans="2:72" x14ac:dyDescent="0.3">
      <c r="B117" t="s">
        <v>1575</v>
      </c>
      <c r="E117" s="8">
        <v>-5080859.1607682277</v>
      </c>
      <c r="F117" s="8">
        <v>-4590744.1291828677</v>
      </c>
      <c r="G117" s="8">
        <v>-4590744.1291828677</v>
      </c>
      <c r="H117" s="44">
        <v>-4590744.1291828677</v>
      </c>
      <c r="I117" s="44">
        <v>-4590744.1291828677</v>
      </c>
      <c r="J117" s="44">
        <v>-4590744.1291828677</v>
      </c>
      <c r="K117" s="44">
        <v>-4789240.7169749383</v>
      </c>
      <c r="L117" s="44">
        <v>-4789240.7169749383</v>
      </c>
      <c r="M117" s="44">
        <v>-4789240.7169749383</v>
      </c>
      <c r="N117" s="44">
        <v>-4789240.7169749383</v>
      </c>
      <c r="O117" s="44">
        <v>-4789240.7169749383</v>
      </c>
      <c r="P117" s="44">
        <v>-4789240.7169749383</v>
      </c>
      <c r="Q117" s="44">
        <v>-4789240.7169749383</v>
      </c>
      <c r="R117" s="44">
        <v>-4789240.7169749383</v>
      </c>
      <c r="S117" s="44">
        <v>-4789240.7169749383</v>
      </c>
      <c r="T117" s="8">
        <v>-4789240.7169749383</v>
      </c>
      <c r="U117" s="8">
        <v>-4789240.7169749383</v>
      </c>
      <c r="V117" s="8">
        <v>-4789240.7169749383</v>
      </c>
      <c r="W117" s="8">
        <v>-4590744.1291828677</v>
      </c>
      <c r="X117" s="8">
        <v>-4590744.1291828677</v>
      </c>
      <c r="Y117" s="8">
        <v>-4590744.1291828677</v>
      </c>
      <c r="Z117" s="8">
        <v>-4590744.1291828677</v>
      </c>
      <c r="AA117" s="8">
        <v>-4590744.1291828677</v>
      </c>
      <c r="AB117" s="8">
        <v>-4590744.1291828677</v>
      </c>
      <c r="AC117" s="8">
        <v>-4590744.1291828677</v>
      </c>
      <c r="AD117" s="8">
        <v>-4590744.1291828677</v>
      </c>
      <c r="AE117" s="8">
        <v>-4590744.1291828677</v>
      </c>
      <c r="AF117" s="8">
        <v>-4590744.1291828677</v>
      </c>
      <c r="AG117" s="8">
        <v>-4590744.1291828677</v>
      </c>
      <c r="AH117" s="8">
        <v>-4590744.1291828677</v>
      </c>
      <c r="AI117" s="8">
        <v>-4590744.1291828677</v>
      </c>
      <c r="AJ117" s="8">
        <v>-4590744.1291828677</v>
      </c>
      <c r="AK117" s="8">
        <v>-4590744.1291828677</v>
      </c>
      <c r="AL117" s="8">
        <v>-4590744.1291828677</v>
      </c>
      <c r="AM117" s="8">
        <v>-4590744.1291828677</v>
      </c>
      <c r="AN117" s="8">
        <v>-4590744.1291828677</v>
      </c>
      <c r="AO117" s="8">
        <v>-4590744.1291828677</v>
      </c>
      <c r="AP117" s="8">
        <v>-4590744.1291828677</v>
      </c>
      <c r="AQ117" s="8">
        <v>-4590744.1291828677</v>
      </c>
      <c r="AR117" s="8">
        <v>0</v>
      </c>
      <c r="AS117" s="8">
        <v>0</v>
      </c>
      <c r="AT117" s="8">
        <v>0</v>
      </c>
      <c r="AU117" s="8">
        <v>0</v>
      </c>
      <c r="AV117" s="8">
        <v>0</v>
      </c>
      <c r="AW117" s="8">
        <v>0</v>
      </c>
      <c r="AX117" s="8">
        <v>0</v>
      </c>
      <c r="AY117" s="8">
        <v>0</v>
      </c>
      <c r="AZ117" s="8">
        <v>0</v>
      </c>
      <c r="BA117" s="8">
        <v>0</v>
      </c>
      <c r="BB117" s="8">
        <v>0</v>
      </c>
      <c r="BC117" s="8">
        <v>0</v>
      </c>
      <c r="BI117" s="8">
        <f>SUM($H117:H117)</f>
        <v>-4590744.1291828677</v>
      </c>
      <c r="BJ117" s="8">
        <f>SUM($H117:I117)</f>
        <v>-9181488.2583657354</v>
      </c>
      <c r="BK117" s="8">
        <f>SUM($H117:J117)</f>
        <v>-13772232.387548603</v>
      </c>
      <c r="BL117" s="8">
        <f>SUM($H117:K117)</f>
        <v>-18561473.10452354</v>
      </c>
      <c r="BM117" s="8">
        <f>SUM($H117:L117)</f>
        <v>-23350713.821498476</v>
      </c>
      <c r="BN117" s="8">
        <f>SUM($H117:M117)</f>
        <v>-28139954.538473412</v>
      </c>
      <c r="BO117" s="8">
        <f>SUM($H117:N117)</f>
        <v>-32929195.255448349</v>
      </c>
      <c r="BP117" s="8">
        <f>SUM($H117:O117)</f>
        <v>-37718435.972423285</v>
      </c>
      <c r="BQ117" s="8">
        <f>SUM($H117:P117)</f>
        <v>-42507676.689398222</v>
      </c>
      <c r="BR117" s="8">
        <f>SUM($H117:Q117)</f>
        <v>-47296917.406373158</v>
      </c>
      <c r="BS117" s="8">
        <f>SUM($H117:R117)</f>
        <v>-52086158.123348095</v>
      </c>
      <c r="BT117" s="8">
        <f>SUM($H117:S117)</f>
        <v>-56875398.840323031</v>
      </c>
    </row>
    <row r="118" spans="2:72" x14ac:dyDescent="0.3">
      <c r="B118" t="s">
        <v>1576</v>
      </c>
      <c r="E118" s="8">
        <v>-4074231.1647216189</v>
      </c>
      <c r="F118" s="8">
        <v>-3681218.5121761253</v>
      </c>
      <c r="G118" s="8">
        <v>-3681218.5121761253</v>
      </c>
      <c r="H118" s="44">
        <v>-3681218.5121761253</v>
      </c>
      <c r="I118" s="44">
        <v>-3681218.5121761253</v>
      </c>
      <c r="J118" s="44">
        <v>-3681218.5121761253</v>
      </c>
      <c r="K118" s="44">
        <v>-3840388.6364570502</v>
      </c>
      <c r="L118" s="44">
        <v>-3840388.6364570502</v>
      </c>
      <c r="M118" s="44">
        <v>-3840388.6364570502</v>
      </c>
      <c r="N118" s="44">
        <v>-3840388.6364570502</v>
      </c>
      <c r="O118" s="44">
        <v>-3840388.6364570502</v>
      </c>
      <c r="P118" s="44">
        <v>-3840388.6364570502</v>
      </c>
      <c r="Q118" s="44">
        <v>-3840388.6364570502</v>
      </c>
      <c r="R118" s="44">
        <v>-3840388.6364570502</v>
      </c>
      <c r="S118" s="44">
        <v>-3840388.6364570502</v>
      </c>
      <c r="T118" s="8">
        <v>-3840388.6364570502</v>
      </c>
      <c r="U118" s="8">
        <v>-3840388.6364570502</v>
      </c>
      <c r="V118" s="8">
        <v>-3840388.6364570502</v>
      </c>
      <c r="W118" s="8">
        <v>-3681218.5121761253</v>
      </c>
      <c r="X118" s="8">
        <v>-3681218.5121761253</v>
      </c>
      <c r="Y118" s="8">
        <v>-3681218.5121761253</v>
      </c>
      <c r="Z118" s="8">
        <v>-3681218.5121761253</v>
      </c>
      <c r="AA118" s="8">
        <v>-3681218.5121761253</v>
      </c>
      <c r="AB118" s="8">
        <v>-3681218.5121761253</v>
      </c>
      <c r="AC118" s="8">
        <v>-3681218.5121761253</v>
      </c>
      <c r="AD118" s="8">
        <v>-3681218.5121761253</v>
      </c>
      <c r="AE118" s="8">
        <v>-3681218.5121761253</v>
      </c>
      <c r="AF118" s="8">
        <v>-3681218.5121761253</v>
      </c>
      <c r="AG118" s="8">
        <v>-3681218.5121761253</v>
      </c>
      <c r="AH118" s="8">
        <v>-3681218.5121761253</v>
      </c>
      <c r="AI118" s="8">
        <v>-3681218.5121761253</v>
      </c>
      <c r="AJ118" s="8">
        <v>-3681218.5121761253</v>
      </c>
      <c r="AK118" s="8">
        <v>-3681218.5121761253</v>
      </c>
      <c r="AL118" s="8">
        <v>-3681218.5121761253</v>
      </c>
      <c r="AM118" s="8">
        <v>-3681218.5121761253</v>
      </c>
      <c r="AN118" s="8">
        <v>-3681218.5121761253</v>
      </c>
      <c r="AO118" s="8">
        <v>-3681218.5121761253</v>
      </c>
      <c r="AP118" s="8">
        <v>-3681218.5121761253</v>
      </c>
      <c r="AQ118" s="8">
        <v>-3681218.5121761253</v>
      </c>
      <c r="AR118" s="8">
        <v>0</v>
      </c>
      <c r="AS118" s="8">
        <v>0</v>
      </c>
      <c r="AT118" s="8">
        <v>0</v>
      </c>
      <c r="AU118" s="8">
        <v>0</v>
      </c>
      <c r="AV118" s="8">
        <v>0</v>
      </c>
      <c r="AW118" s="8">
        <v>0</v>
      </c>
      <c r="AX118" s="8">
        <v>0</v>
      </c>
      <c r="AY118" s="8">
        <v>0</v>
      </c>
      <c r="AZ118" s="8">
        <v>0</v>
      </c>
      <c r="BA118" s="8">
        <v>0</v>
      </c>
      <c r="BB118" s="8">
        <v>0</v>
      </c>
      <c r="BC118" s="8">
        <v>0</v>
      </c>
      <c r="BI118" s="8">
        <f>SUM($H118:H118)</f>
        <v>-3681218.5121761253</v>
      </c>
      <c r="BJ118" s="8">
        <f>SUM($H118:I118)</f>
        <v>-7362437.0243522506</v>
      </c>
      <c r="BK118" s="8">
        <f>SUM($H118:J118)</f>
        <v>-11043655.536528375</v>
      </c>
      <c r="BL118" s="8">
        <f>SUM($H118:K118)</f>
        <v>-14884044.172985425</v>
      </c>
      <c r="BM118" s="8">
        <f>SUM($H118:L118)</f>
        <v>-18724432.809442475</v>
      </c>
      <c r="BN118" s="8">
        <f>SUM($H118:M118)</f>
        <v>-22564821.445899524</v>
      </c>
      <c r="BO118" s="8">
        <f>SUM($H118:N118)</f>
        <v>-26405210.082356572</v>
      </c>
      <c r="BP118" s="8">
        <f>SUM($H118:O118)</f>
        <v>-30245598.718813621</v>
      </c>
      <c r="BQ118" s="8">
        <f>SUM($H118:P118)</f>
        <v>-34085987.355270669</v>
      </c>
      <c r="BR118" s="8">
        <f>SUM($H118:Q118)</f>
        <v>-37926375.991727717</v>
      </c>
      <c r="BS118" s="8">
        <f>SUM($H118:R118)</f>
        <v>-41766764.628184766</v>
      </c>
      <c r="BT118" s="8">
        <f>SUM($H118:S118)</f>
        <v>-45607153.264641814</v>
      </c>
    </row>
    <row r="119" spans="2:72" x14ac:dyDescent="0.3">
      <c r="B119" t="s">
        <v>1577</v>
      </c>
      <c r="E119" s="8">
        <v>-4977562.773</v>
      </c>
      <c r="F119" s="8">
        <v>-4615550.2019999996</v>
      </c>
      <c r="G119" s="8">
        <v>-4773050.2019999996</v>
      </c>
      <c r="H119" s="44">
        <v>-5008173.8779999996</v>
      </c>
      <c r="I119" s="44">
        <v>-5008173.8779999996</v>
      </c>
      <c r="J119" s="44">
        <v>-5098173.8779999996</v>
      </c>
      <c r="K119" s="44">
        <v>-5008173.8779999996</v>
      </c>
      <c r="L119" s="44">
        <v>-5008173.8779999996</v>
      </c>
      <c r="M119" s="44">
        <v>-5548173.8779999996</v>
      </c>
      <c r="N119" s="44">
        <v>-5008173.8779999996</v>
      </c>
      <c r="O119" s="44">
        <v>-5143173.8779999996</v>
      </c>
      <c r="P119" s="44">
        <v>-5098173.8779999996</v>
      </c>
      <c r="Q119" s="44">
        <v>-5008173.8779999996</v>
      </c>
      <c r="R119" s="44">
        <v>-5008173.8779999996</v>
      </c>
      <c r="S119" s="44">
        <v>-5097323.8779999996</v>
      </c>
      <c r="T119" s="8">
        <v>0</v>
      </c>
      <c r="U119" s="8">
        <v>0</v>
      </c>
      <c r="V119" s="8">
        <v>0</v>
      </c>
      <c r="W119" s="8">
        <v>0</v>
      </c>
      <c r="X119" s="8">
        <v>0</v>
      </c>
      <c r="Y119" s="8">
        <v>0</v>
      </c>
      <c r="Z119" s="8">
        <v>0</v>
      </c>
      <c r="AA119" s="8">
        <v>0</v>
      </c>
      <c r="AB119" s="8">
        <v>0</v>
      </c>
      <c r="AC119" s="8">
        <v>0</v>
      </c>
      <c r="AD119" s="8">
        <v>0</v>
      </c>
      <c r="AE119" s="8">
        <v>0</v>
      </c>
      <c r="AF119" s="8">
        <v>0</v>
      </c>
      <c r="AG119" s="8">
        <v>0</v>
      </c>
      <c r="AH119" s="8">
        <v>0</v>
      </c>
      <c r="AI119" s="8">
        <v>0</v>
      </c>
      <c r="AJ119" s="8">
        <v>0</v>
      </c>
      <c r="AK119" s="8">
        <v>0</v>
      </c>
      <c r="AL119" s="8">
        <v>0</v>
      </c>
      <c r="AM119" s="8">
        <v>0</v>
      </c>
      <c r="AN119" s="8">
        <v>0</v>
      </c>
      <c r="AO119" s="8">
        <v>0</v>
      </c>
      <c r="AP119" s="8">
        <v>0</v>
      </c>
      <c r="AQ119" s="8">
        <v>0</v>
      </c>
      <c r="AR119" s="8">
        <v>0</v>
      </c>
      <c r="AS119" s="8">
        <v>0</v>
      </c>
      <c r="AT119" s="8">
        <v>0</v>
      </c>
      <c r="AU119" s="8">
        <v>0</v>
      </c>
      <c r="AV119" s="8">
        <v>0</v>
      </c>
      <c r="AW119" s="8">
        <v>0</v>
      </c>
      <c r="AX119" s="8">
        <v>0</v>
      </c>
      <c r="AY119" s="8">
        <v>0</v>
      </c>
      <c r="AZ119" s="8">
        <v>0</v>
      </c>
      <c r="BA119" s="8">
        <v>0</v>
      </c>
      <c r="BB119" s="8">
        <v>0</v>
      </c>
      <c r="BC119" s="8">
        <v>0</v>
      </c>
      <c r="BI119" s="8">
        <f>SUM($H119:H119)</f>
        <v>-5008173.8779999996</v>
      </c>
      <c r="BJ119" s="8">
        <f>SUM($H119:I119)</f>
        <v>-10016347.755999999</v>
      </c>
      <c r="BK119" s="8">
        <f>SUM($H119:J119)</f>
        <v>-15114521.634</v>
      </c>
      <c r="BL119" s="8">
        <f>SUM($H119:K119)</f>
        <v>-20122695.511999998</v>
      </c>
      <c r="BM119" s="8">
        <f>SUM($H119:L119)</f>
        <v>-25130869.389999997</v>
      </c>
      <c r="BN119" s="8">
        <f>SUM($H119:M119)</f>
        <v>-30679043.267999995</v>
      </c>
      <c r="BO119" s="8">
        <f>SUM($H119:N119)</f>
        <v>-35687217.145999998</v>
      </c>
      <c r="BP119" s="8">
        <f>SUM($H119:O119)</f>
        <v>-40830391.023999996</v>
      </c>
      <c r="BQ119" s="8">
        <f>SUM($H119:P119)</f>
        <v>-45928564.901999995</v>
      </c>
      <c r="BR119" s="8">
        <f>SUM($H119:Q119)</f>
        <v>-50936738.779999994</v>
      </c>
      <c r="BS119" s="8">
        <f>SUM($H119:R119)</f>
        <v>-55944912.657999992</v>
      </c>
      <c r="BT119" s="8">
        <f>SUM($H119:S119)</f>
        <v>-61042236.535999991</v>
      </c>
    </row>
    <row r="120" spans="2:72" x14ac:dyDescent="0.3">
      <c r="E120" s="8"/>
      <c r="F120" s="8"/>
      <c r="G120" s="8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</row>
    <row r="121" spans="2:72" x14ac:dyDescent="0.3">
      <c r="E121" s="8"/>
      <c r="F121" s="8"/>
      <c r="G121" s="8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</row>
    <row r="122" spans="2:72" x14ac:dyDescent="0.3">
      <c r="E122" s="8"/>
      <c r="F122" s="8"/>
      <c r="G122" s="8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</row>
    <row r="123" spans="2:72" x14ac:dyDescent="0.3">
      <c r="B123" t="s">
        <v>1578</v>
      </c>
      <c r="E123" s="8">
        <f>SUM(E$113:E122)</f>
        <v>-2087845.619439648</v>
      </c>
      <c r="F123" s="8">
        <f>SUM(F$113:F122)</f>
        <v>1801332.6370928222</v>
      </c>
      <c r="G123" s="8">
        <f>SUM(G$113:G122)</f>
        <v>-27058315.716958225</v>
      </c>
      <c r="H123" s="44">
        <f>SUM(H$113:H122)</f>
        <v>-19400056.901804328</v>
      </c>
      <c r="I123" s="44">
        <f>SUM(I$113:I122)</f>
        <v>-6325693.2530225664</v>
      </c>
      <c r="J123" s="44">
        <f>SUM(J$113:J122)</f>
        <v>-2539287.2377107777</v>
      </c>
      <c r="K123" s="44">
        <f>SUM(K$113:K122)</f>
        <v>-5028982.5597335296</v>
      </c>
      <c r="L123" s="44">
        <f>SUM(L$113:L122)</f>
        <v>-9445830.9328304045</v>
      </c>
      <c r="M123" s="44">
        <f>SUM(M$113:M122)</f>
        <v>-5954207.002424282</v>
      </c>
      <c r="N123" s="44">
        <f>SUM(N$113:N122)</f>
        <v>-7168405.5378492223</v>
      </c>
      <c r="O123" s="44">
        <f>SUM(O$113:O122)</f>
        <v>-3649862.4631576436</v>
      </c>
      <c r="P123" s="44">
        <f>SUM(P$113:P122)</f>
        <v>-4824954.4850150878</v>
      </c>
      <c r="Q123" s="44">
        <f>SUM(Q$113:Q122)</f>
        <v>-6477092.0634842971</v>
      </c>
      <c r="R123" s="44">
        <f>SUM(R$113:R122)</f>
        <v>-3288441.2721955599</v>
      </c>
      <c r="S123" s="44">
        <f>SUM(S$113:S122)</f>
        <v>-5803105.7648344459</v>
      </c>
      <c r="T123" s="8">
        <f>SUM(T$113:T122)</f>
        <v>-663197.03008918837</v>
      </c>
      <c r="U123" s="8">
        <f>SUM(U$113:U122)</f>
        <v>-1562716.1351040192</v>
      </c>
      <c r="V123" s="8">
        <f>SUM(V$113:V122)</f>
        <v>152479.92966480181</v>
      </c>
      <c r="W123" s="8">
        <f>SUM(W$113:W122)</f>
        <v>-282208.2663446283</v>
      </c>
      <c r="X123" s="8">
        <f>SUM(X$113:X122)</f>
        <v>328054.29982597474</v>
      </c>
      <c r="Y123" s="8">
        <f>SUM(Y$113:Y122)</f>
        <v>2096846.4705417389</v>
      </c>
      <c r="Z123" s="8">
        <f>SUM(Z$113:Z122)</f>
        <v>963383.14051565621</v>
      </c>
      <c r="AA123" s="8">
        <f>SUM(AA$113:AA122)</f>
        <v>1952617.9175066138</v>
      </c>
      <c r="AB123" s="8">
        <f>SUM(AB$113:AB122)</f>
        <v>2330871.552407355</v>
      </c>
      <c r="AC123" s="8">
        <f>SUM(AC$113:AC122)</f>
        <v>4313512.7836370552</v>
      </c>
      <c r="AD123" s="8">
        <f>SUM(AD$113:AD122)</f>
        <v>4725675.4474538201</v>
      </c>
      <c r="AE123" s="8">
        <f>SUM(AE$113:AE122)</f>
        <v>3674197.8509801487</v>
      </c>
      <c r="AF123" s="8">
        <f>SUM(AF$113:AF122)</f>
        <v>4473932.96342522</v>
      </c>
      <c r="AG123" s="8">
        <f>SUM(AG$113:AG122)</f>
        <v>4326207.7080210978</v>
      </c>
      <c r="AH123" s="8">
        <f>SUM(AH$113:AH122)</f>
        <v>4933511.0693734894</v>
      </c>
      <c r="AI123" s="8">
        <f>SUM(AI$113:AI122)</f>
        <v>4575637.6135706836</v>
      </c>
      <c r="AJ123" s="8">
        <f>SUM(AJ$113:AJ122)</f>
        <v>4581664.2755314345</v>
      </c>
      <c r="AK123" s="8">
        <f>SUM(AK$113:AK122)</f>
        <v>2201831.9172661984</v>
      </c>
      <c r="AL123" s="8">
        <f>SUM(AL$113:AL122)</f>
        <v>2614084.3195040608</v>
      </c>
      <c r="AM123" s="8">
        <f>SUM(AM$113:AM122)</f>
        <v>2889672.109350116</v>
      </c>
      <c r="AN123" s="8">
        <f>SUM(AN$113:AN122)</f>
        <v>2461650.9728274206</v>
      </c>
      <c r="AO123" s="8">
        <f>SUM(AO$113:AO122)</f>
        <v>1777214.2204667935</v>
      </c>
      <c r="AP123" s="8">
        <f>SUM(AP$113:AP122)</f>
        <v>-6165658.7906284826</v>
      </c>
      <c r="AQ123" s="8">
        <f>SUM(AQ$113:AQ122)</f>
        <v>-10565094.889637329</v>
      </c>
      <c r="AR123" s="8">
        <f>SUM(AR$113:AR122)</f>
        <v>2542879.7417659545</v>
      </c>
      <c r="AS123" s="8">
        <f>SUM(AS$113:AS122)</f>
        <v>2488681.1840585526</v>
      </c>
      <c r="AT123" s="8">
        <f>SUM(AT$113:AT122)</f>
        <v>2471844.6417073929</v>
      </c>
      <c r="AU123" s="8">
        <f>SUM(AU$113:AU122)</f>
        <v>2467501.0608201963</v>
      </c>
      <c r="AV123" s="8">
        <f>SUM(AV$113:AV122)</f>
        <v>2455419.9084804701</v>
      </c>
      <c r="AW123" s="8">
        <f>SUM(AW$113:AW122)</f>
        <v>2396794.7603627732</v>
      </c>
      <c r="AX123" s="8">
        <f>SUM(AX$113:AX122)</f>
        <v>2229061.0494270548</v>
      </c>
      <c r="AY123" s="8">
        <f>SUM(AY$113:AY122)</f>
        <v>2046199.709934589</v>
      </c>
      <c r="AZ123" s="8">
        <f>SUM(AZ$113:AZ122)</f>
        <v>840877.01119452051</v>
      </c>
      <c r="BA123" s="8">
        <f>SUM(BA$113:BA122)</f>
        <v>139210.87424657535</v>
      </c>
      <c r="BB123" s="8">
        <f>SUM(BB$113:BB122)</f>
        <v>109279.55205479452</v>
      </c>
      <c r="BC123" s="8">
        <f>SUM(BC$113:BC122)</f>
        <v>82733</v>
      </c>
      <c r="BD123" s="8"/>
    </row>
    <row r="124" spans="2:72" x14ac:dyDescent="0.3">
      <c r="E124" s="8"/>
      <c r="F124" s="8"/>
      <c r="G124" s="8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</row>
    <row r="125" spans="2:72" x14ac:dyDescent="0.3">
      <c r="E125" s="8"/>
      <c r="F125" s="8"/>
      <c r="G125" s="8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2:72" x14ac:dyDescent="0.3">
      <c r="E126" s="8"/>
      <c r="F126" s="8"/>
      <c r="G126" s="8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</row>
    <row r="127" spans="2:72" x14ac:dyDescent="0.3">
      <c r="E127" s="8"/>
      <c r="F127" s="8"/>
      <c r="G127" s="8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</row>
    <row r="128" spans="2:72" x14ac:dyDescent="0.3">
      <c r="E128" s="8"/>
      <c r="F128" s="8"/>
      <c r="G128" s="8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</row>
    <row r="129" spans="2:56" x14ac:dyDescent="0.3">
      <c r="B129" t="s">
        <v>1579</v>
      </c>
      <c r="C129" t="s">
        <v>1545</v>
      </c>
      <c r="E129" s="8">
        <v>0</v>
      </c>
      <c r="F129" s="8">
        <v>0</v>
      </c>
      <c r="G129" s="8">
        <v>0</v>
      </c>
      <c r="H129" s="44">
        <v>0</v>
      </c>
      <c r="I129" s="44">
        <v>0</v>
      </c>
      <c r="J129" s="44">
        <v>0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0</v>
      </c>
      <c r="R129" s="44">
        <v>0</v>
      </c>
      <c r="S129" s="44">
        <v>0</v>
      </c>
      <c r="T129" s="8">
        <v>0</v>
      </c>
      <c r="U129" s="8">
        <v>0</v>
      </c>
      <c r="V129" s="8">
        <v>0</v>
      </c>
      <c r="W129" s="8">
        <v>0</v>
      </c>
      <c r="X129" s="8">
        <v>0</v>
      </c>
      <c r="Y129" s="8">
        <v>0</v>
      </c>
      <c r="Z129" s="8">
        <v>0</v>
      </c>
      <c r="AA129" s="8">
        <v>0</v>
      </c>
      <c r="AB129" s="8">
        <v>0</v>
      </c>
      <c r="AC129" s="8">
        <v>0</v>
      </c>
      <c r="AD129" s="8">
        <v>0</v>
      </c>
      <c r="AE129" s="8">
        <v>0</v>
      </c>
      <c r="AF129" s="8">
        <v>0</v>
      </c>
      <c r="AG129" s="8">
        <v>0</v>
      </c>
      <c r="AH129" s="8">
        <v>0</v>
      </c>
      <c r="AI129" s="8">
        <v>0</v>
      </c>
      <c r="AJ129" s="8">
        <v>0</v>
      </c>
      <c r="AK129" s="8">
        <v>0</v>
      </c>
      <c r="AL129" s="8">
        <v>0</v>
      </c>
      <c r="AM129" s="8">
        <v>0</v>
      </c>
      <c r="AN129" s="8">
        <v>0</v>
      </c>
      <c r="AO129" s="8">
        <v>0</v>
      </c>
      <c r="AP129" s="8">
        <v>0</v>
      </c>
      <c r="AQ129" s="8">
        <v>0</v>
      </c>
      <c r="AR129" s="8">
        <v>0</v>
      </c>
      <c r="AS129" s="8">
        <v>0</v>
      </c>
      <c r="AT129" s="8">
        <v>0</v>
      </c>
      <c r="AU129" s="8">
        <v>0</v>
      </c>
      <c r="AV129" s="8">
        <v>0</v>
      </c>
      <c r="AW129" s="8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/>
    </row>
    <row r="130" spans="2:56" x14ac:dyDescent="0.3">
      <c r="B130" t="s">
        <v>1579</v>
      </c>
      <c r="C130" t="s">
        <v>1546</v>
      </c>
      <c r="E130" s="8">
        <v>0</v>
      </c>
      <c r="F130" s="8">
        <v>0</v>
      </c>
      <c r="G130" s="8">
        <v>0</v>
      </c>
      <c r="H130" s="44">
        <v>0</v>
      </c>
      <c r="I130" s="44">
        <v>0</v>
      </c>
      <c r="J130" s="44">
        <v>0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0</v>
      </c>
      <c r="R130" s="44">
        <v>0</v>
      </c>
      <c r="S130" s="44">
        <v>0</v>
      </c>
      <c r="T130" s="8">
        <v>0</v>
      </c>
      <c r="U130" s="8">
        <v>0</v>
      </c>
      <c r="V130" s="8">
        <v>0</v>
      </c>
      <c r="W130" s="8">
        <v>0</v>
      </c>
      <c r="X130" s="8">
        <v>0</v>
      </c>
      <c r="Y130" s="8">
        <v>0</v>
      </c>
      <c r="Z130" s="8">
        <v>0</v>
      </c>
      <c r="AA130" s="8">
        <v>0</v>
      </c>
      <c r="AB130" s="8">
        <v>0</v>
      </c>
      <c r="AC130" s="8">
        <v>0</v>
      </c>
      <c r="AD130" s="8">
        <v>0</v>
      </c>
      <c r="AE130" s="8">
        <v>0</v>
      </c>
      <c r="AF130" s="8">
        <v>0</v>
      </c>
      <c r="AG130" s="8">
        <v>0</v>
      </c>
      <c r="AH130" s="8">
        <v>0</v>
      </c>
      <c r="AI130" s="8">
        <v>0</v>
      </c>
      <c r="AJ130" s="8">
        <v>0</v>
      </c>
      <c r="AK130" s="8">
        <v>0</v>
      </c>
      <c r="AL130" s="8">
        <v>0</v>
      </c>
      <c r="AM130" s="8">
        <v>0</v>
      </c>
      <c r="AN130" s="8">
        <v>0</v>
      </c>
      <c r="AO130" s="8">
        <v>0</v>
      </c>
      <c r="AP130" s="8">
        <v>0</v>
      </c>
      <c r="AQ130" s="8">
        <v>0</v>
      </c>
      <c r="AR130" s="8">
        <v>0</v>
      </c>
      <c r="AS130" s="8">
        <v>0</v>
      </c>
      <c r="AT130" s="8">
        <v>0</v>
      </c>
      <c r="AU130" s="8">
        <v>0</v>
      </c>
      <c r="AV130" s="8">
        <v>0</v>
      </c>
      <c r="AW130" s="8">
        <v>0</v>
      </c>
      <c r="AX130" s="8">
        <v>0</v>
      </c>
      <c r="AY130" s="8">
        <v>0</v>
      </c>
      <c r="AZ130" s="8">
        <v>0</v>
      </c>
      <c r="BA130" s="8">
        <v>0</v>
      </c>
      <c r="BB130" s="8">
        <v>0</v>
      </c>
      <c r="BC130" s="8">
        <v>0</v>
      </c>
      <c r="BD130" s="8"/>
    </row>
    <row r="131" spans="2:56" x14ac:dyDescent="0.3">
      <c r="B131" t="s">
        <v>1579</v>
      </c>
      <c r="C131" t="s">
        <v>1547</v>
      </c>
      <c r="E131" s="8">
        <v>0</v>
      </c>
      <c r="F131" s="8">
        <v>0</v>
      </c>
      <c r="G131" s="8">
        <v>0</v>
      </c>
      <c r="H131" s="44">
        <v>0</v>
      </c>
      <c r="I131" s="44">
        <v>0</v>
      </c>
      <c r="J131" s="44">
        <v>0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0</v>
      </c>
      <c r="R131" s="44">
        <v>0</v>
      </c>
      <c r="S131" s="44">
        <v>0</v>
      </c>
      <c r="T131" s="8">
        <v>0</v>
      </c>
      <c r="U131" s="8">
        <v>0</v>
      </c>
      <c r="V131" s="8">
        <v>0</v>
      </c>
      <c r="W131" s="8">
        <v>0</v>
      </c>
      <c r="X131" s="8">
        <v>0</v>
      </c>
      <c r="Y131" s="8">
        <v>0</v>
      </c>
      <c r="Z131" s="8">
        <v>0</v>
      </c>
      <c r="AA131" s="8">
        <v>0</v>
      </c>
      <c r="AB131" s="8">
        <v>0</v>
      </c>
      <c r="AC131" s="8">
        <v>0</v>
      </c>
      <c r="AD131" s="8">
        <v>0</v>
      </c>
      <c r="AE131" s="8">
        <v>0</v>
      </c>
      <c r="AF131" s="8">
        <v>0</v>
      </c>
      <c r="AG131" s="8">
        <v>0</v>
      </c>
      <c r="AH131" s="8">
        <v>0</v>
      </c>
      <c r="AI131" s="8">
        <v>0</v>
      </c>
      <c r="AJ131" s="8">
        <v>0</v>
      </c>
      <c r="AK131" s="8">
        <v>0</v>
      </c>
      <c r="AL131" s="8">
        <v>0</v>
      </c>
      <c r="AM131" s="8">
        <v>0</v>
      </c>
      <c r="AN131" s="8">
        <v>0</v>
      </c>
      <c r="AO131" s="8">
        <v>0</v>
      </c>
      <c r="AP131" s="8">
        <v>0</v>
      </c>
      <c r="AQ131" s="8">
        <v>0</v>
      </c>
      <c r="AR131" s="8">
        <v>0</v>
      </c>
      <c r="AS131" s="8">
        <v>0</v>
      </c>
      <c r="AT131" s="8">
        <v>0</v>
      </c>
      <c r="AU131" s="8">
        <v>0</v>
      </c>
      <c r="AV131" s="8">
        <v>0</v>
      </c>
      <c r="AW131" s="8">
        <v>0</v>
      </c>
      <c r="AX131" s="8">
        <v>0</v>
      </c>
      <c r="AY131" s="8">
        <v>0</v>
      </c>
      <c r="AZ131" s="8">
        <v>0</v>
      </c>
      <c r="BA131" s="8">
        <v>0</v>
      </c>
      <c r="BB131" s="8">
        <v>0</v>
      </c>
      <c r="BC131" s="8">
        <v>0</v>
      </c>
      <c r="BD131" s="8"/>
    </row>
    <row r="132" spans="2:56" x14ac:dyDescent="0.3">
      <c r="B132" t="s">
        <v>1579</v>
      </c>
      <c r="C132" t="s">
        <v>1548</v>
      </c>
      <c r="E132" s="8">
        <v>0</v>
      </c>
      <c r="F132" s="8">
        <v>0</v>
      </c>
      <c r="G132" s="8">
        <v>0</v>
      </c>
      <c r="H132" s="44">
        <v>0</v>
      </c>
      <c r="I132" s="44">
        <v>0</v>
      </c>
      <c r="J132" s="44">
        <v>0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0</v>
      </c>
      <c r="R132" s="44">
        <v>0</v>
      </c>
      <c r="S132" s="44">
        <v>0</v>
      </c>
      <c r="T132" s="8">
        <v>0</v>
      </c>
      <c r="U132" s="8">
        <v>0</v>
      </c>
      <c r="V132" s="8">
        <v>0</v>
      </c>
      <c r="W132" s="8">
        <v>0</v>
      </c>
      <c r="X132" s="8">
        <v>0</v>
      </c>
      <c r="Y132" s="8">
        <v>0</v>
      </c>
      <c r="Z132" s="8">
        <v>0</v>
      </c>
      <c r="AA132" s="8">
        <v>0</v>
      </c>
      <c r="AB132" s="8">
        <v>0</v>
      </c>
      <c r="AC132" s="8">
        <v>0</v>
      </c>
      <c r="AD132" s="8">
        <v>0</v>
      </c>
      <c r="AE132" s="8">
        <v>0</v>
      </c>
      <c r="AF132" s="8">
        <v>0</v>
      </c>
      <c r="AG132" s="8">
        <v>0</v>
      </c>
      <c r="AH132" s="8">
        <v>0</v>
      </c>
      <c r="AI132" s="8">
        <v>0</v>
      </c>
      <c r="AJ132" s="8">
        <v>0</v>
      </c>
      <c r="AK132" s="8">
        <v>0</v>
      </c>
      <c r="AL132" s="8">
        <v>0</v>
      </c>
      <c r="AM132" s="8">
        <v>0</v>
      </c>
      <c r="AN132" s="8">
        <v>0</v>
      </c>
      <c r="AO132" s="8">
        <v>0</v>
      </c>
      <c r="AP132" s="8">
        <v>0</v>
      </c>
      <c r="AQ132" s="8">
        <v>0</v>
      </c>
      <c r="AR132" s="8">
        <v>0</v>
      </c>
      <c r="AS132" s="8">
        <v>0</v>
      </c>
      <c r="AT132" s="8">
        <v>0</v>
      </c>
      <c r="AU132" s="8">
        <v>0</v>
      </c>
      <c r="AV132" s="8">
        <v>0</v>
      </c>
      <c r="AW132" s="8">
        <v>0</v>
      </c>
      <c r="AX132" s="8">
        <v>0</v>
      </c>
      <c r="AY132" s="8">
        <v>0</v>
      </c>
      <c r="AZ132" s="8">
        <v>0</v>
      </c>
      <c r="BA132" s="8">
        <v>0</v>
      </c>
      <c r="BB132" s="8">
        <v>0</v>
      </c>
      <c r="BC132" s="8">
        <v>0</v>
      </c>
      <c r="BD132" s="8"/>
    </row>
    <row r="133" spans="2:56" x14ac:dyDescent="0.3">
      <c r="B133" t="s">
        <v>1579</v>
      </c>
      <c r="C133" t="s">
        <v>1549</v>
      </c>
      <c r="E133" s="8">
        <v>0</v>
      </c>
      <c r="F133" s="8">
        <v>0</v>
      </c>
      <c r="G133" s="8">
        <v>0</v>
      </c>
      <c r="H133" s="44">
        <v>0</v>
      </c>
      <c r="I133" s="44">
        <v>0</v>
      </c>
      <c r="J133" s="44">
        <v>0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0</v>
      </c>
      <c r="R133" s="44">
        <v>0</v>
      </c>
      <c r="S133" s="44">
        <v>0</v>
      </c>
      <c r="T133" s="8">
        <v>0</v>
      </c>
      <c r="U133" s="8">
        <v>0</v>
      </c>
      <c r="V133" s="8">
        <v>0</v>
      </c>
      <c r="W133" s="8">
        <v>0</v>
      </c>
      <c r="X133" s="8">
        <v>0</v>
      </c>
      <c r="Y133" s="8">
        <v>0</v>
      </c>
      <c r="Z133" s="8">
        <v>0</v>
      </c>
      <c r="AA133" s="8">
        <v>0</v>
      </c>
      <c r="AB133" s="8">
        <v>0</v>
      </c>
      <c r="AC133" s="8">
        <v>0</v>
      </c>
      <c r="AD133" s="8">
        <v>0</v>
      </c>
      <c r="AE133" s="8">
        <v>0</v>
      </c>
      <c r="AF133" s="8">
        <v>0</v>
      </c>
      <c r="AG133" s="8">
        <v>0</v>
      </c>
      <c r="AH133" s="8">
        <v>0</v>
      </c>
      <c r="AI133" s="8">
        <v>0</v>
      </c>
      <c r="AJ133" s="8">
        <v>0</v>
      </c>
      <c r="AK133" s="8">
        <v>0</v>
      </c>
      <c r="AL133" s="8">
        <v>0</v>
      </c>
      <c r="AM133" s="8">
        <v>0</v>
      </c>
      <c r="AN133" s="8">
        <v>0</v>
      </c>
      <c r="AO133" s="8">
        <v>0</v>
      </c>
      <c r="AP133" s="8">
        <v>0</v>
      </c>
      <c r="AQ133" s="8">
        <v>0</v>
      </c>
      <c r="AR133" s="8">
        <v>0</v>
      </c>
      <c r="AS133" s="8">
        <v>0</v>
      </c>
      <c r="AT133" s="8">
        <v>0</v>
      </c>
      <c r="AU133" s="8">
        <v>0</v>
      </c>
      <c r="AV133" s="8">
        <v>0</v>
      </c>
      <c r="AW133" s="8">
        <v>0</v>
      </c>
      <c r="AX133" s="8">
        <v>0</v>
      </c>
      <c r="AY133" s="8">
        <v>0</v>
      </c>
      <c r="AZ133" s="8">
        <v>0</v>
      </c>
      <c r="BA133" s="8">
        <v>0</v>
      </c>
      <c r="BB133" s="8">
        <v>0</v>
      </c>
      <c r="BC133" s="8">
        <v>0</v>
      </c>
      <c r="BD133" s="8"/>
    </row>
    <row r="134" spans="2:56" x14ac:dyDescent="0.3">
      <c r="B134" t="s">
        <v>1579</v>
      </c>
      <c r="E134" s="8">
        <f>SUM(E129:E133)</f>
        <v>0</v>
      </c>
      <c r="F134" s="8">
        <f t="shared" ref="F134:BC134" si="4">SUM(F129:F133)</f>
        <v>0</v>
      </c>
      <c r="G134" s="8">
        <f t="shared" si="4"/>
        <v>0</v>
      </c>
      <c r="H134" s="44">
        <f t="shared" si="4"/>
        <v>0</v>
      </c>
      <c r="I134" s="44">
        <f t="shared" si="4"/>
        <v>0</v>
      </c>
      <c r="J134" s="44">
        <f t="shared" si="4"/>
        <v>0</v>
      </c>
      <c r="K134" s="44">
        <f t="shared" si="4"/>
        <v>0</v>
      </c>
      <c r="L134" s="44">
        <f t="shared" si="4"/>
        <v>0</v>
      </c>
      <c r="M134" s="44">
        <f t="shared" si="4"/>
        <v>0</v>
      </c>
      <c r="N134" s="44">
        <f t="shared" si="4"/>
        <v>0</v>
      </c>
      <c r="O134" s="44">
        <f t="shared" si="4"/>
        <v>0</v>
      </c>
      <c r="P134" s="44">
        <f t="shared" si="4"/>
        <v>0</v>
      </c>
      <c r="Q134" s="44">
        <f t="shared" si="4"/>
        <v>0</v>
      </c>
      <c r="R134" s="44">
        <f t="shared" si="4"/>
        <v>0</v>
      </c>
      <c r="S134" s="44">
        <f t="shared" si="4"/>
        <v>0</v>
      </c>
      <c r="T134" s="8">
        <f t="shared" si="4"/>
        <v>0</v>
      </c>
      <c r="U134" s="8">
        <f t="shared" si="4"/>
        <v>0</v>
      </c>
      <c r="V134" s="8">
        <f t="shared" si="4"/>
        <v>0</v>
      </c>
      <c r="W134" s="8">
        <f t="shared" si="4"/>
        <v>0</v>
      </c>
      <c r="X134" s="8">
        <f t="shared" si="4"/>
        <v>0</v>
      </c>
      <c r="Y134" s="8">
        <f t="shared" si="4"/>
        <v>0</v>
      </c>
      <c r="Z134" s="8">
        <f t="shared" si="4"/>
        <v>0</v>
      </c>
      <c r="AA134" s="8">
        <f t="shared" si="4"/>
        <v>0</v>
      </c>
      <c r="AB134" s="8">
        <f t="shared" si="4"/>
        <v>0</v>
      </c>
      <c r="AC134" s="8">
        <f t="shared" si="4"/>
        <v>0</v>
      </c>
      <c r="AD134" s="8">
        <f t="shared" si="4"/>
        <v>0</v>
      </c>
      <c r="AE134" s="8">
        <f t="shared" si="4"/>
        <v>0</v>
      </c>
      <c r="AF134" s="8">
        <f t="shared" si="4"/>
        <v>0</v>
      </c>
      <c r="AG134" s="8">
        <f t="shared" si="4"/>
        <v>0</v>
      </c>
      <c r="AH134" s="8">
        <f t="shared" si="4"/>
        <v>0</v>
      </c>
      <c r="AI134" s="8">
        <f t="shared" si="4"/>
        <v>0</v>
      </c>
      <c r="AJ134" s="8">
        <f t="shared" si="4"/>
        <v>0</v>
      </c>
      <c r="AK134" s="8">
        <f t="shared" si="4"/>
        <v>0</v>
      </c>
      <c r="AL134" s="8">
        <f t="shared" si="4"/>
        <v>0</v>
      </c>
      <c r="AM134" s="8">
        <f t="shared" si="4"/>
        <v>0</v>
      </c>
      <c r="AN134" s="8">
        <f t="shared" si="4"/>
        <v>0</v>
      </c>
      <c r="AO134" s="8">
        <f t="shared" si="4"/>
        <v>0</v>
      </c>
      <c r="AP134" s="8">
        <f t="shared" si="4"/>
        <v>0</v>
      </c>
      <c r="AQ134" s="8">
        <f t="shared" si="4"/>
        <v>0</v>
      </c>
      <c r="AR134" s="8">
        <f t="shared" si="4"/>
        <v>0</v>
      </c>
      <c r="AS134" s="8">
        <f t="shared" si="4"/>
        <v>0</v>
      </c>
      <c r="AT134" s="8">
        <f t="shared" si="4"/>
        <v>0</v>
      </c>
      <c r="AU134" s="8">
        <f t="shared" si="4"/>
        <v>0</v>
      </c>
      <c r="AV134" s="8">
        <f t="shared" si="4"/>
        <v>0</v>
      </c>
      <c r="AW134" s="8">
        <f t="shared" si="4"/>
        <v>0</v>
      </c>
      <c r="AX134" s="8">
        <f t="shared" si="4"/>
        <v>0</v>
      </c>
      <c r="AY134" s="8">
        <f t="shared" si="4"/>
        <v>0</v>
      </c>
      <c r="AZ134" s="8">
        <f t="shared" si="4"/>
        <v>0</v>
      </c>
      <c r="BA134" s="8">
        <f t="shared" si="4"/>
        <v>0</v>
      </c>
      <c r="BB134" s="8">
        <f t="shared" si="4"/>
        <v>0</v>
      </c>
      <c r="BC134" s="8">
        <f t="shared" si="4"/>
        <v>0</v>
      </c>
      <c r="BD134" s="8"/>
    </row>
    <row r="135" spans="2:56" x14ac:dyDescent="0.3">
      <c r="E135" s="8"/>
      <c r="F135" s="8"/>
      <c r="G135" s="8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</row>
    <row r="136" spans="2:56" x14ac:dyDescent="0.3">
      <c r="B136" t="s">
        <v>1580</v>
      </c>
      <c r="C136" t="s">
        <v>1545</v>
      </c>
      <c r="E136" s="8">
        <v>0</v>
      </c>
      <c r="F136" s="8">
        <v>0</v>
      </c>
      <c r="G136" s="8">
        <v>0</v>
      </c>
      <c r="H136" s="44">
        <v>0</v>
      </c>
      <c r="I136" s="44">
        <v>0</v>
      </c>
      <c r="J136" s="44">
        <v>0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0</v>
      </c>
      <c r="R136" s="44">
        <v>0</v>
      </c>
      <c r="S136" s="44">
        <v>0</v>
      </c>
      <c r="T136" s="8">
        <v>0</v>
      </c>
      <c r="U136" s="8">
        <v>0</v>
      </c>
      <c r="V136" s="8">
        <v>0</v>
      </c>
      <c r="W136" s="8">
        <v>0</v>
      </c>
      <c r="X136" s="8">
        <v>0</v>
      </c>
      <c r="Y136" s="8">
        <v>0</v>
      </c>
      <c r="Z136" s="8">
        <v>0</v>
      </c>
      <c r="AA136" s="8">
        <v>0</v>
      </c>
      <c r="AB136" s="8">
        <v>0</v>
      </c>
      <c r="AC136" s="8">
        <v>0</v>
      </c>
      <c r="AD136" s="8">
        <v>0</v>
      </c>
      <c r="AE136" s="8">
        <v>0</v>
      </c>
      <c r="AF136" s="8">
        <v>0</v>
      </c>
      <c r="AG136" s="8">
        <v>0</v>
      </c>
      <c r="AH136" s="8">
        <v>0</v>
      </c>
      <c r="AI136" s="8">
        <v>0</v>
      </c>
      <c r="AJ136" s="8">
        <v>0</v>
      </c>
      <c r="AK136" s="8">
        <v>0</v>
      </c>
      <c r="AL136" s="8">
        <v>0</v>
      </c>
      <c r="AM136" s="8">
        <v>0</v>
      </c>
      <c r="AN136" s="8">
        <v>0</v>
      </c>
      <c r="AO136" s="8">
        <v>0</v>
      </c>
      <c r="AP136" s="8">
        <v>0</v>
      </c>
      <c r="AQ136" s="8">
        <v>0</v>
      </c>
      <c r="AR136" s="8">
        <v>0</v>
      </c>
      <c r="AS136" s="8">
        <v>0</v>
      </c>
      <c r="AT136" s="8">
        <v>0</v>
      </c>
      <c r="AU136" s="8">
        <v>0</v>
      </c>
      <c r="AV136" s="8">
        <v>0</v>
      </c>
      <c r="AW136" s="8">
        <v>0</v>
      </c>
      <c r="AX136" s="8">
        <v>0</v>
      </c>
      <c r="AY136" s="8">
        <v>0</v>
      </c>
      <c r="AZ136" s="8">
        <v>0</v>
      </c>
      <c r="BA136" s="8">
        <v>0</v>
      </c>
      <c r="BB136" s="8">
        <v>0</v>
      </c>
      <c r="BC136" s="8">
        <v>0</v>
      </c>
      <c r="BD136" s="8"/>
    </row>
    <row r="137" spans="2:56" x14ac:dyDescent="0.3">
      <c r="B137" t="s">
        <v>1580</v>
      </c>
      <c r="C137" t="s">
        <v>1546</v>
      </c>
      <c r="E137" s="8">
        <v>0</v>
      </c>
      <c r="F137" s="8">
        <v>0</v>
      </c>
      <c r="G137" s="8">
        <v>0</v>
      </c>
      <c r="H137" s="44">
        <v>0</v>
      </c>
      <c r="I137" s="44">
        <v>0</v>
      </c>
      <c r="J137" s="44">
        <v>0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0</v>
      </c>
      <c r="R137" s="44">
        <v>0</v>
      </c>
      <c r="S137" s="44">
        <v>0</v>
      </c>
      <c r="T137" s="8">
        <v>0</v>
      </c>
      <c r="U137" s="8">
        <v>0</v>
      </c>
      <c r="V137" s="8">
        <v>0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8">
        <v>0</v>
      </c>
      <c r="AC137" s="8">
        <v>0</v>
      </c>
      <c r="AD137" s="8">
        <v>0</v>
      </c>
      <c r="AE137" s="8">
        <v>0</v>
      </c>
      <c r="AF137" s="8">
        <v>0</v>
      </c>
      <c r="AG137" s="8">
        <v>0</v>
      </c>
      <c r="AH137" s="8">
        <v>0</v>
      </c>
      <c r="AI137" s="8">
        <v>0</v>
      </c>
      <c r="AJ137" s="8">
        <v>0</v>
      </c>
      <c r="AK137" s="8">
        <v>0</v>
      </c>
      <c r="AL137" s="8">
        <v>0</v>
      </c>
      <c r="AM137" s="8">
        <v>0</v>
      </c>
      <c r="AN137" s="8">
        <v>0</v>
      </c>
      <c r="AO137" s="8">
        <v>0</v>
      </c>
      <c r="AP137" s="8">
        <v>0</v>
      </c>
      <c r="AQ137" s="8">
        <v>0</v>
      </c>
      <c r="AR137" s="8">
        <v>0</v>
      </c>
      <c r="AS137" s="8">
        <v>0</v>
      </c>
      <c r="AT137" s="8">
        <v>0</v>
      </c>
      <c r="AU137" s="8">
        <v>0</v>
      </c>
      <c r="AV137" s="8">
        <v>0</v>
      </c>
      <c r="AW137" s="8">
        <v>0</v>
      </c>
      <c r="AX137" s="8">
        <v>0</v>
      </c>
      <c r="AY137" s="8">
        <v>0</v>
      </c>
      <c r="AZ137" s="8">
        <v>0</v>
      </c>
      <c r="BA137" s="8">
        <v>0</v>
      </c>
      <c r="BB137" s="8">
        <v>0</v>
      </c>
      <c r="BC137" s="8">
        <v>0</v>
      </c>
      <c r="BD137" s="8"/>
    </row>
    <row r="138" spans="2:56" x14ac:dyDescent="0.3">
      <c r="B138" t="s">
        <v>1580</v>
      </c>
      <c r="C138" t="s">
        <v>1547</v>
      </c>
      <c r="E138" s="8">
        <v>0</v>
      </c>
      <c r="F138" s="8">
        <v>0</v>
      </c>
      <c r="G138" s="8">
        <v>0</v>
      </c>
      <c r="H138" s="44">
        <v>0</v>
      </c>
      <c r="I138" s="44">
        <v>0</v>
      </c>
      <c r="J138" s="44">
        <v>0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0</v>
      </c>
      <c r="R138" s="44">
        <v>0</v>
      </c>
      <c r="S138" s="44">
        <v>0</v>
      </c>
      <c r="T138" s="8">
        <v>0</v>
      </c>
      <c r="U138" s="8">
        <v>0</v>
      </c>
      <c r="V138" s="8">
        <v>0</v>
      </c>
      <c r="W138" s="8">
        <v>0</v>
      </c>
      <c r="X138" s="8">
        <v>0</v>
      </c>
      <c r="Y138" s="8">
        <v>0</v>
      </c>
      <c r="Z138" s="8">
        <v>0</v>
      </c>
      <c r="AA138" s="8">
        <v>0</v>
      </c>
      <c r="AB138" s="8">
        <v>0</v>
      </c>
      <c r="AC138" s="8">
        <v>0</v>
      </c>
      <c r="AD138" s="8">
        <v>0</v>
      </c>
      <c r="AE138" s="8">
        <v>0</v>
      </c>
      <c r="AF138" s="8">
        <v>0</v>
      </c>
      <c r="AG138" s="8">
        <v>0</v>
      </c>
      <c r="AH138" s="8">
        <v>0</v>
      </c>
      <c r="AI138" s="8">
        <v>0</v>
      </c>
      <c r="AJ138" s="8">
        <v>0</v>
      </c>
      <c r="AK138" s="8">
        <v>0</v>
      </c>
      <c r="AL138" s="8">
        <v>0</v>
      </c>
      <c r="AM138" s="8">
        <v>0</v>
      </c>
      <c r="AN138" s="8">
        <v>0</v>
      </c>
      <c r="AO138" s="8">
        <v>0</v>
      </c>
      <c r="AP138" s="8">
        <v>0</v>
      </c>
      <c r="AQ138" s="8">
        <v>0</v>
      </c>
      <c r="AR138" s="8">
        <v>0</v>
      </c>
      <c r="AS138" s="8">
        <v>0</v>
      </c>
      <c r="AT138" s="8">
        <v>0</v>
      </c>
      <c r="AU138" s="8">
        <v>0</v>
      </c>
      <c r="AV138" s="8">
        <v>0</v>
      </c>
      <c r="AW138" s="8">
        <v>0</v>
      </c>
      <c r="AX138" s="8">
        <v>0</v>
      </c>
      <c r="AY138" s="8">
        <v>0</v>
      </c>
      <c r="AZ138" s="8">
        <v>0</v>
      </c>
      <c r="BA138" s="8">
        <v>0</v>
      </c>
      <c r="BB138" s="8">
        <v>0</v>
      </c>
      <c r="BC138" s="8">
        <v>0</v>
      </c>
      <c r="BD138" s="8"/>
    </row>
    <row r="139" spans="2:56" x14ac:dyDescent="0.3">
      <c r="B139" t="s">
        <v>1580</v>
      </c>
      <c r="C139" t="s">
        <v>1548</v>
      </c>
      <c r="E139" s="8">
        <v>0</v>
      </c>
      <c r="F139" s="8">
        <v>0</v>
      </c>
      <c r="G139" s="8">
        <v>0</v>
      </c>
      <c r="H139" s="44">
        <v>0</v>
      </c>
      <c r="I139" s="44">
        <v>0</v>
      </c>
      <c r="J139" s="44">
        <v>0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0</v>
      </c>
      <c r="R139" s="44">
        <v>0</v>
      </c>
      <c r="S139" s="44">
        <v>0</v>
      </c>
      <c r="T139" s="8">
        <v>0</v>
      </c>
      <c r="U139" s="8">
        <v>0</v>
      </c>
      <c r="V139" s="8">
        <v>0</v>
      </c>
      <c r="W139" s="8">
        <v>0</v>
      </c>
      <c r="X139" s="8">
        <v>0</v>
      </c>
      <c r="Y139" s="8">
        <v>0</v>
      </c>
      <c r="Z139" s="8">
        <v>0</v>
      </c>
      <c r="AA139" s="8">
        <v>0</v>
      </c>
      <c r="AB139" s="8">
        <v>0</v>
      </c>
      <c r="AC139" s="8">
        <v>0</v>
      </c>
      <c r="AD139" s="8">
        <v>0</v>
      </c>
      <c r="AE139" s="8">
        <v>0</v>
      </c>
      <c r="AF139" s="8">
        <v>0</v>
      </c>
      <c r="AG139" s="8">
        <v>0</v>
      </c>
      <c r="AH139" s="8">
        <v>0</v>
      </c>
      <c r="AI139" s="8">
        <v>0</v>
      </c>
      <c r="AJ139" s="8">
        <v>0</v>
      </c>
      <c r="AK139" s="8">
        <v>0</v>
      </c>
      <c r="AL139" s="8">
        <v>0</v>
      </c>
      <c r="AM139" s="8">
        <v>0</v>
      </c>
      <c r="AN139" s="8">
        <v>0</v>
      </c>
      <c r="AO139" s="8">
        <v>0</v>
      </c>
      <c r="AP139" s="8">
        <v>0</v>
      </c>
      <c r="AQ139" s="8">
        <v>0</v>
      </c>
      <c r="AR139" s="8">
        <v>0</v>
      </c>
      <c r="AS139" s="8">
        <v>0</v>
      </c>
      <c r="AT139" s="8">
        <v>0</v>
      </c>
      <c r="AU139" s="8">
        <v>0</v>
      </c>
      <c r="AV139" s="8">
        <v>0</v>
      </c>
      <c r="AW139" s="8">
        <v>0</v>
      </c>
      <c r="AX139" s="8">
        <v>0</v>
      </c>
      <c r="AY139" s="8">
        <v>0</v>
      </c>
      <c r="AZ139" s="8">
        <v>0</v>
      </c>
      <c r="BA139" s="8">
        <v>0</v>
      </c>
      <c r="BB139" s="8">
        <v>0</v>
      </c>
      <c r="BC139" s="8">
        <v>0</v>
      </c>
      <c r="BD139" s="8"/>
    </row>
    <row r="140" spans="2:56" x14ac:dyDescent="0.3">
      <c r="B140" t="s">
        <v>1580</v>
      </c>
      <c r="C140" t="s">
        <v>1549</v>
      </c>
      <c r="E140" s="8">
        <v>0</v>
      </c>
      <c r="F140" s="8">
        <v>0</v>
      </c>
      <c r="G140" s="8">
        <v>0</v>
      </c>
      <c r="H140" s="44">
        <v>0</v>
      </c>
      <c r="I140" s="44">
        <v>0</v>
      </c>
      <c r="J140" s="44">
        <v>0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0</v>
      </c>
      <c r="R140" s="44">
        <v>0</v>
      </c>
      <c r="S140" s="44">
        <v>0</v>
      </c>
      <c r="T140" s="8">
        <v>0</v>
      </c>
      <c r="U140" s="8">
        <v>0</v>
      </c>
      <c r="V140" s="8">
        <v>0</v>
      </c>
      <c r="W140" s="8">
        <v>0</v>
      </c>
      <c r="X140" s="8">
        <v>0</v>
      </c>
      <c r="Y140" s="8">
        <v>0</v>
      </c>
      <c r="Z140" s="8">
        <v>0</v>
      </c>
      <c r="AA140" s="8">
        <v>0</v>
      </c>
      <c r="AB140" s="8">
        <v>0</v>
      </c>
      <c r="AC140" s="8">
        <v>0</v>
      </c>
      <c r="AD140" s="8">
        <v>0</v>
      </c>
      <c r="AE140" s="8">
        <v>0</v>
      </c>
      <c r="AF140" s="8">
        <v>0</v>
      </c>
      <c r="AG140" s="8">
        <v>0</v>
      </c>
      <c r="AH140" s="8">
        <v>0</v>
      </c>
      <c r="AI140" s="8">
        <v>0</v>
      </c>
      <c r="AJ140" s="8">
        <v>0</v>
      </c>
      <c r="AK140" s="8">
        <v>0</v>
      </c>
      <c r="AL140" s="8">
        <v>0</v>
      </c>
      <c r="AM140" s="8">
        <v>0</v>
      </c>
      <c r="AN140" s="8">
        <v>0</v>
      </c>
      <c r="AO140" s="8">
        <v>0</v>
      </c>
      <c r="AP140" s="8">
        <v>0</v>
      </c>
      <c r="AQ140" s="8">
        <v>0</v>
      </c>
      <c r="AR140" s="8">
        <v>0</v>
      </c>
      <c r="AS140" s="8">
        <v>0</v>
      </c>
      <c r="AT140" s="8">
        <v>0</v>
      </c>
      <c r="AU140" s="8">
        <v>0</v>
      </c>
      <c r="AV140" s="8">
        <v>0</v>
      </c>
      <c r="AW140" s="8">
        <v>0</v>
      </c>
      <c r="AX140" s="8">
        <v>0</v>
      </c>
      <c r="AY140" s="8">
        <v>0</v>
      </c>
      <c r="AZ140" s="8">
        <v>0</v>
      </c>
      <c r="BA140" s="8">
        <v>0</v>
      </c>
      <c r="BB140" s="8">
        <v>0</v>
      </c>
      <c r="BC140" s="8">
        <v>0</v>
      </c>
      <c r="BD140" s="8"/>
    </row>
    <row r="141" spans="2:56" x14ac:dyDescent="0.3">
      <c r="E141" s="8"/>
      <c r="F141" s="8"/>
      <c r="G141" s="8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</row>
    <row r="142" spans="2:56" x14ac:dyDescent="0.3">
      <c r="E142" s="8"/>
      <c r="F142" s="8"/>
      <c r="G142" s="8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Z142" t="s">
        <v>1581</v>
      </c>
      <c r="BA142" t="s">
        <v>1581</v>
      </c>
      <c r="BB142" t="s">
        <v>1581</v>
      </c>
      <c r="BC142" t="s">
        <v>1581</v>
      </c>
    </row>
    <row r="143" spans="2:56" x14ac:dyDescent="0.3">
      <c r="E143" s="8"/>
      <c r="F143" s="8"/>
      <c r="G143" s="8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</row>
    <row r="144" spans="2:56" x14ac:dyDescent="0.3">
      <c r="E144" s="8"/>
      <c r="F144" s="8"/>
      <c r="G144" s="8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</row>
    <row r="145" spans="2:56" x14ac:dyDescent="0.3">
      <c r="E145" s="8"/>
      <c r="F145" s="8"/>
      <c r="G145" s="8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</row>
    <row r="146" spans="2:56" x14ac:dyDescent="0.3">
      <c r="E146" s="8"/>
      <c r="F146" s="8"/>
      <c r="G146" s="8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</row>
    <row r="147" spans="2:56" x14ac:dyDescent="0.3">
      <c r="E147" s="8"/>
      <c r="F147" s="8"/>
      <c r="G147" s="8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</row>
    <row r="148" spans="2:56" x14ac:dyDescent="0.3">
      <c r="B148" t="s">
        <v>1582</v>
      </c>
      <c r="E148" s="8">
        <f>SUM(E143:E147)</f>
        <v>0</v>
      </c>
      <c r="F148" s="8">
        <f t="shared" ref="F148:BC148" si="5">SUM(F143:F147)</f>
        <v>0</v>
      </c>
      <c r="G148" s="8">
        <f t="shared" si="5"/>
        <v>0</v>
      </c>
      <c r="H148" s="44">
        <f t="shared" si="5"/>
        <v>0</v>
      </c>
      <c r="I148" s="44">
        <f t="shared" si="5"/>
        <v>0</v>
      </c>
      <c r="J148" s="44">
        <f t="shared" si="5"/>
        <v>0</v>
      </c>
      <c r="K148" s="44">
        <f t="shared" si="5"/>
        <v>0</v>
      </c>
      <c r="L148" s="44">
        <f t="shared" si="5"/>
        <v>0</v>
      </c>
      <c r="M148" s="44">
        <f t="shared" si="5"/>
        <v>0</v>
      </c>
      <c r="N148" s="44">
        <f t="shared" si="5"/>
        <v>0</v>
      </c>
      <c r="O148" s="44">
        <f t="shared" si="5"/>
        <v>0</v>
      </c>
      <c r="P148" s="44">
        <f t="shared" si="5"/>
        <v>0</v>
      </c>
      <c r="Q148" s="44">
        <f t="shared" si="5"/>
        <v>0</v>
      </c>
      <c r="R148" s="44">
        <f t="shared" si="5"/>
        <v>0</v>
      </c>
      <c r="S148" s="44">
        <f t="shared" si="5"/>
        <v>0</v>
      </c>
      <c r="T148" s="8">
        <f t="shared" si="5"/>
        <v>0</v>
      </c>
      <c r="U148" s="8">
        <f t="shared" si="5"/>
        <v>0</v>
      </c>
      <c r="V148" s="8">
        <f t="shared" si="5"/>
        <v>0</v>
      </c>
      <c r="W148" s="8">
        <f t="shared" si="5"/>
        <v>0</v>
      </c>
      <c r="X148" s="8">
        <f t="shared" si="5"/>
        <v>0</v>
      </c>
      <c r="Y148" s="8">
        <f t="shared" si="5"/>
        <v>0</v>
      </c>
      <c r="Z148" s="8">
        <f t="shared" si="5"/>
        <v>0</v>
      </c>
      <c r="AA148" s="8">
        <f t="shared" si="5"/>
        <v>0</v>
      </c>
      <c r="AB148" s="8">
        <f t="shared" si="5"/>
        <v>0</v>
      </c>
      <c r="AC148" s="8">
        <f t="shared" si="5"/>
        <v>0</v>
      </c>
      <c r="AD148" s="8">
        <f t="shared" si="5"/>
        <v>0</v>
      </c>
      <c r="AE148" s="8">
        <f t="shared" si="5"/>
        <v>0</v>
      </c>
      <c r="AF148" s="8">
        <f t="shared" si="5"/>
        <v>0</v>
      </c>
      <c r="AG148" s="8">
        <f t="shared" si="5"/>
        <v>0</v>
      </c>
      <c r="AH148" s="8">
        <f t="shared" si="5"/>
        <v>0</v>
      </c>
      <c r="AI148" s="8">
        <f t="shared" si="5"/>
        <v>0</v>
      </c>
      <c r="AJ148" s="8">
        <f t="shared" si="5"/>
        <v>0</v>
      </c>
      <c r="AK148" s="8">
        <f t="shared" si="5"/>
        <v>0</v>
      </c>
      <c r="AL148" s="8">
        <f t="shared" si="5"/>
        <v>0</v>
      </c>
      <c r="AM148" s="8">
        <f t="shared" si="5"/>
        <v>0</v>
      </c>
      <c r="AN148" s="8">
        <f t="shared" si="5"/>
        <v>0</v>
      </c>
      <c r="AO148" s="8">
        <f t="shared" si="5"/>
        <v>0</v>
      </c>
      <c r="AP148" s="8">
        <f t="shared" si="5"/>
        <v>0</v>
      </c>
      <c r="AQ148" s="8">
        <f t="shared" si="5"/>
        <v>0</v>
      </c>
      <c r="AR148" s="8">
        <f t="shared" si="5"/>
        <v>0</v>
      </c>
      <c r="AS148" s="8">
        <f t="shared" si="5"/>
        <v>0</v>
      </c>
      <c r="AT148" s="8">
        <f t="shared" si="5"/>
        <v>0</v>
      </c>
      <c r="AU148" s="8">
        <f t="shared" si="5"/>
        <v>0</v>
      </c>
      <c r="AV148" s="8">
        <f t="shared" si="5"/>
        <v>0</v>
      </c>
      <c r="AW148" s="8">
        <f t="shared" si="5"/>
        <v>0</v>
      </c>
      <c r="AX148" s="8">
        <f t="shared" si="5"/>
        <v>0</v>
      </c>
      <c r="AY148" s="8">
        <f t="shared" si="5"/>
        <v>0</v>
      </c>
      <c r="AZ148" s="8">
        <f t="shared" si="5"/>
        <v>0</v>
      </c>
      <c r="BA148" s="8">
        <f t="shared" si="5"/>
        <v>0</v>
      </c>
      <c r="BB148" s="8">
        <f t="shared" si="5"/>
        <v>0</v>
      </c>
      <c r="BC148" s="8">
        <f t="shared" si="5"/>
        <v>0</v>
      </c>
      <c r="BD148" s="8"/>
    </row>
    <row r="149" spans="2:56" x14ac:dyDescent="0.3">
      <c r="E149" s="8"/>
      <c r="F149" s="8"/>
      <c r="G149" s="8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</row>
    <row r="150" spans="2:56" x14ac:dyDescent="0.3">
      <c r="E150" s="8"/>
      <c r="F150" s="8"/>
      <c r="G150" s="8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</row>
    <row r="151" spans="2:56" x14ac:dyDescent="0.3">
      <c r="E151" s="8"/>
      <c r="F151" s="8"/>
      <c r="G151" s="8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</row>
    <row r="152" spans="2:56" x14ac:dyDescent="0.3">
      <c r="B152" t="s">
        <v>1583</v>
      </c>
      <c r="E152" s="8">
        <v>0</v>
      </c>
      <c r="F152" s="8">
        <v>0</v>
      </c>
      <c r="G152" s="8">
        <v>0</v>
      </c>
      <c r="H152" s="44">
        <v>0</v>
      </c>
      <c r="I152" s="44">
        <v>0</v>
      </c>
      <c r="J152" s="44">
        <v>0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0</v>
      </c>
      <c r="R152" s="44">
        <v>0</v>
      </c>
      <c r="S152" s="44">
        <v>0</v>
      </c>
      <c r="T152" s="8">
        <v>0</v>
      </c>
      <c r="U152" s="8">
        <v>0</v>
      </c>
      <c r="V152" s="8">
        <v>0</v>
      </c>
      <c r="W152" s="8">
        <v>0</v>
      </c>
      <c r="X152" s="8">
        <v>0</v>
      </c>
      <c r="Y152" s="8">
        <v>0</v>
      </c>
      <c r="Z152" s="8">
        <v>0</v>
      </c>
      <c r="AA152" s="8">
        <v>0</v>
      </c>
      <c r="AB152" s="8">
        <v>0</v>
      </c>
      <c r="AC152" s="8">
        <v>0</v>
      </c>
      <c r="AD152" s="8">
        <v>0</v>
      </c>
      <c r="AE152" s="8">
        <v>0</v>
      </c>
      <c r="AF152" s="8">
        <v>0</v>
      </c>
      <c r="AG152" s="8">
        <v>0</v>
      </c>
      <c r="AH152" s="8">
        <v>0</v>
      </c>
      <c r="AI152" s="8">
        <v>0</v>
      </c>
      <c r="AJ152" s="8">
        <v>0</v>
      </c>
      <c r="AK152" s="8">
        <v>0</v>
      </c>
      <c r="AL152" s="8">
        <v>0</v>
      </c>
      <c r="AM152" s="8">
        <v>0</v>
      </c>
      <c r="AN152" s="8">
        <v>0</v>
      </c>
      <c r="AO152" s="8">
        <v>0</v>
      </c>
      <c r="AP152" s="8">
        <v>0</v>
      </c>
      <c r="AQ152" s="8">
        <v>0</v>
      </c>
      <c r="AR152" s="8">
        <v>0</v>
      </c>
      <c r="AS152" s="8">
        <v>0</v>
      </c>
      <c r="AT152" s="8">
        <v>0</v>
      </c>
      <c r="AU152" s="8">
        <v>0</v>
      </c>
      <c r="AV152" s="8">
        <v>0</v>
      </c>
      <c r="AW152" s="8">
        <v>0</v>
      </c>
      <c r="AX152" s="8">
        <v>0</v>
      </c>
      <c r="AY152" s="8">
        <v>0</v>
      </c>
      <c r="AZ152" s="8">
        <v>0</v>
      </c>
      <c r="BA152" s="8">
        <v>0</v>
      </c>
      <c r="BB152" s="8">
        <v>0</v>
      </c>
      <c r="BC152" s="8">
        <v>0</v>
      </c>
    </row>
    <row r="153" spans="2:56" x14ac:dyDescent="0.3">
      <c r="B153" t="s">
        <v>1584</v>
      </c>
      <c r="E153" s="8">
        <v>0</v>
      </c>
      <c r="F153" s="8">
        <v>0</v>
      </c>
      <c r="G153" s="8">
        <v>0</v>
      </c>
      <c r="H153" s="44">
        <v>0</v>
      </c>
      <c r="I153" s="44">
        <v>0</v>
      </c>
      <c r="J153" s="44">
        <v>0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0</v>
      </c>
      <c r="R153" s="44">
        <v>0</v>
      </c>
      <c r="S153" s="44">
        <v>0</v>
      </c>
      <c r="T153" s="8">
        <v>0</v>
      </c>
      <c r="U153" s="8">
        <v>0</v>
      </c>
      <c r="V153" s="8">
        <v>0</v>
      </c>
      <c r="W153" s="8">
        <v>0</v>
      </c>
      <c r="X153" s="8">
        <v>0</v>
      </c>
      <c r="Y153" s="8">
        <v>0</v>
      </c>
      <c r="Z153" s="8">
        <v>0</v>
      </c>
      <c r="AA153" s="8">
        <v>0</v>
      </c>
      <c r="AB153" s="8">
        <v>0</v>
      </c>
      <c r="AC153" s="8">
        <v>0</v>
      </c>
      <c r="AD153" s="8">
        <v>0</v>
      </c>
      <c r="AE153" s="8">
        <v>0</v>
      </c>
      <c r="AF153" s="8">
        <v>0</v>
      </c>
      <c r="AG153" s="8">
        <v>0</v>
      </c>
      <c r="AH153" s="8">
        <v>0</v>
      </c>
      <c r="AI153" s="8">
        <v>0</v>
      </c>
      <c r="AJ153" s="8">
        <v>0</v>
      </c>
      <c r="AK153" s="8">
        <v>0</v>
      </c>
      <c r="AL153" s="8">
        <v>0</v>
      </c>
      <c r="AM153" s="8">
        <v>0</v>
      </c>
      <c r="AN153" s="8">
        <v>0</v>
      </c>
      <c r="AO153" s="8">
        <v>0</v>
      </c>
      <c r="AP153" s="8">
        <v>0</v>
      </c>
      <c r="AQ153" s="8">
        <v>0</v>
      </c>
      <c r="AR153" s="8">
        <v>0</v>
      </c>
      <c r="AS153" s="8">
        <v>0</v>
      </c>
      <c r="AT153" s="8">
        <v>0</v>
      </c>
      <c r="AU153" s="8">
        <v>0</v>
      </c>
      <c r="AV153" s="8">
        <v>0</v>
      </c>
      <c r="AW153" s="8">
        <v>0</v>
      </c>
      <c r="AX153" s="8">
        <v>0</v>
      </c>
      <c r="AY153" s="8">
        <v>0</v>
      </c>
      <c r="AZ153" s="8">
        <v>0</v>
      </c>
      <c r="BA153" s="8">
        <v>0</v>
      </c>
      <c r="BB153" s="8">
        <v>0</v>
      </c>
      <c r="BC153" s="8">
        <v>0</v>
      </c>
    </row>
    <row r="154" spans="2:56" x14ac:dyDescent="0.3">
      <c r="E154" s="8"/>
      <c r="F154" s="8"/>
      <c r="G154" s="8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Z154" t="s">
        <v>1581</v>
      </c>
      <c r="BA154" t="s">
        <v>1581</v>
      </c>
      <c r="BB154" t="s">
        <v>1581</v>
      </c>
      <c r="BC154" t="s">
        <v>1581</v>
      </c>
    </row>
    <row r="155" spans="2:56" x14ac:dyDescent="0.3">
      <c r="E155" s="8"/>
      <c r="F155" s="8"/>
      <c r="G155" s="8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Z155" t="s">
        <v>1581</v>
      </c>
      <c r="BA155" t="s">
        <v>1581</v>
      </c>
      <c r="BB155" t="s">
        <v>1581</v>
      </c>
      <c r="BC155" t="s">
        <v>1581</v>
      </c>
    </row>
    <row r="156" spans="2:56" x14ac:dyDescent="0.3">
      <c r="E156" s="8"/>
      <c r="F156" s="8"/>
      <c r="G156" s="8"/>
      <c r="H156" s="44">
        <v>0</v>
      </c>
      <c r="I156" s="44">
        <v>0</v>
      </c>
      <c r="J156" s="44">
        <v>0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0</v>
      </c>
      <c r="R156" s="44">
        <v>0</v>
      </c>
      <c r="S156" s="44">
        <v>0</v>
      </c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Z156" t="s">
        <v>1581</v>
      </c>
      <c r="BA156" t="s">
        <v>1581</v>
      </c>
      <c r="BB156" t="s">
        <v>1581</v>
      </c>
      <c r="BC156" t="s">
        <v>1581</v>
      </c>
    </row>
    <row r="157" spans="2:56" x14ac:dyDescent="0.3">
      <c r="E157" s="8"/>
      <c r="F157" s="8"/>
      <c r="G157" s="8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Z157" t="s">
        <v>1581</v>
      </c>
      <c r="BA157" t="s">
        <v>1581</v>
      </c>
      <c r="BB157" t="s">
        <v>1581</v>
      </c>
      <c r="BC157" t="s">
        <v>1581</v>
      </c>
    </row>
    <row r="158" spans="2:56" x14ac:dyDescent="0.3">
      <c r="E158" s="8"/>
      <c r="F158" s="8"/>
      <c r="G158" s="8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Z158" t="s">
        <v>1581</v>
      </c>
      <c r="BA158" t="s">
        <v>1581</v>
      </c>
      <c r="BB158" t="s">
        <v>1581</v>
      </c>
      <c r="BC158" t="s">
        <v>1581</v>
      </c>
    </row>
    <row r="159" spans="2:56" x14ac:dyDescent="0.3">
      <c r="E159" s="8"/>
      <c r="F159" s="8"/>
      <c r="G159" s="8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Z159" t="s">
        <v>1581</v>
      </c>
      <c r="BA159" t="s">
        <v>1581</v>
      </c>
      <c r="BB159" t="s">
        <v>1581</v>
      </c>
      <c r="BC159" t="s">
        <v>1581</v>
      </c>
    </row>
    <row r="160" spans="2:56" x14ac:dyDescent="0.3">
      <c r="E160" s="8"/>
      <c r="F160" s="8"/>
      <c r="G160" s="8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Z160" t="s">
        <v>1581</v>
      </c>
      <c r="BA160" t="s">
        <v>1581</v>
      </c>
      <c r="BB160" t="s">
        <v>1581</v>
      </c>
      <c r="BC160" t="s">
        <v>1581</v>
      </c>
    </row>
    <row r="161" spans="5:55" x14ac:dyDescent="0.3">
      <c r="E161" s="8"/>
      <c r="F161" s="8"/>
      <c r="G161" s="8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Z161" t="s">
        <v>1581</v>
      </c>
      <c r="BA161" t="s">
        <v>1581</v>
      </c>
      <c r="BB161" t="s">
        <v>1581</v>
      </c>
      <c r="BC161" t="s">
        <v>1581</v>
      </c>
    </row>
    <row r="162" spans="5:55" x14ac:dyDescent="0.3">
      <c r="E162" s="8"/>
      <c r="F162" s="8"/>
      <c r="G162" s="8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Z162" t="s">
        <v>1581</v>
      </c>
      <c r="BA162" t="s">
        <v>1581</v>
      </c>
      <c r="BB162" t="s">
        <v>1581</v>
      </c>
      <c r="BC162" t="s">
        <v>1581</v>
      </c>
    </row>
    <row r="163" spans="5:55" x14ac:dyDescent="0.3">
      <c r="E163" s="8"/>
      <c r="F163" s="8"/>
      <c r="G163" s="8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Z163" t="s">
        <v>1581</v>
      </c>
      <c r="BA163" t="s">
        <v>1581</v>
      </c>
      <c r="BB163" t="s">
        <v>1581</v>
      </c>
      <c r="BC163" t="s">
        <v>1581</v>
      </c>
    </row>
    <row r="164" spans="5:55" x14ac:dyDescent="0.3">
      <c r="E164" s="8"/>
      <c r="F164" s="8"/>
      <c r="G164" s="8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Z164" t="s">
        <v>1581</v>
      </c>
      <c r="BA164" t="s">
        <v>1581</v>
      </c>
      <c r="BB164" t="s">
        <v>1581</v>
      </c>
      <c r="BC164" t="s">
        <v>1581</v>
      </c>
    </row>
    <row r="165" spans="5:55" x14ac:dyDescent="0.3">
      <c r="E165" s="8"/>
      <c r="F165" s="8"/>
      <c r="G165" s="8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Z165" t="s">
        <v>1581</v>
      </c>
      <c r="BA165" t="s">
        <v>1581</v>
      </c>
      <c r="BB165" t="s">
        <v>1581</v>
      </c>
      <c r="BC165" t="s">
        <v>1581</v>
      </c>
    </row>
    <row r="166" spans="5:55" x14ac:dyDescent="0.3">
      <c r="E166" s="8"/>
      <c r="F166" s="8"/>
      <c r="G166" s="8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Z166" t="s">
        <v>1581</v>
      </c>
      <c r="BA166" t="s">
        <v>1581</v>
      </c>
      <c r="BB166" t="s">
        <v>1581</v>
      </c>
      <c r="BC166" t="s">
        <v>1581</v>
      </c>
    </row>
    <row r="167" spans="5:55" x14ac:dyDescent="0.3">
      <c r="E167" s="8"/>
      <c r="F167" s="8"/>
      <c r="G167" s="8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Z167" t="s">
        <v>1581</v>
      </c>
      <c r="BA167" t="s">
        <v>1581</v>
      </c>
      <c r="BB167" t="s">
        <v>1581</v>
      </c>
      <c r="BC167" t="s">
        <v>1581</v>
      </c>
    </row>
    <row r="168" spans="5:55" x14ac:dyDescent="0.3">
      <c r="E168" s="8"/>
      <c r="F168" s="8"/>
      <c r="G168" s="8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Z168" t="s">
        <v>1581</v>
      </c>
      <c r="BA168" t="s">
        <v>1581</v>
      </c>
      <c r="BB168" t="s">
        <v>1581</v>
      </c>
      <c r="BC168" t="s">
        <v>1581</v>
      </c>
    </row>
    <row r="169" spans="5:55" x14ac:dyDescent="0.3">
      <c r="E169" s="8"/>
      <c r="F169" s="8"/>
      <c r="G169" s="8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</row>
    <row r="170" spans="5:55" x14ac:dyDescent="0.3">
      <c r="E170" s="8"/>
      <c r="F170" s="8"/>
      <c r="G170" s="8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</row>
    <row r="171" spans="5:55" x14ac:dyDescent="0.3">
      <c r="E171" s="8"/>
      <c r="F171" s="8"/>
      <c r="G171" s="8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</row>
    <row r="172" spans="5:55" x14ac:dyDescent="0.3">
      <c r="E172" s="8"/>
      <c r="F172" s="8"/>
      <c r="G172" s="8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</row>
    <row r="173" spans="5:55" x14ac:dyDescent="0.3">
      <c r="E173" s="8"/>
      <c r="F173" s="8"/>
      <c r="G173" s="8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</row>
    <row r="174" spans="5:55" x14ac:dyDescent="0.3">
      <c r="E174" s="8"/>
      <c r="F174" s="8"/>
      <c r="G174" s="8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</row>
    <row r="175" spans="5:55" x14ac:dyDescent="0.3">
      <c r="E175" s="8"/>
      <c r="F175" s="8"/>
      <c r="G175" s="8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</row>
    <row r="176" spans="5:55" x14ac:dyDescent="0.3">
      <c r="E176" s="8"/>
      <c r="F176" s="8"/>
      <c r="G176" s="8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</row>
    <row r="177" spans="5:50" x14ac:dyDescent="0.3">
      <c r="E177" s="8"/>
      <c r="F177" s="8"/>
      <c r="G177" s="8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</row>
    <row r="178" spans="5:50" x14ac:dyDescent="0.3">
      <c r="E178" s="8"/>
      <c r="F178" s="8"/>
      <c r="G178" s="8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</row>
    <row r="179" spans="5:50" x14ac:dyDescent="0.3">
      <c r="E179" s="8"/>
      <c r="F179" s="8"/>
      <c r="G179" s="8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</row>
    <row r="180" spans="5:50" x14ac:dyDescent="0.3">
      <c r="E180" s="8"/>
      <c r="F180" s="8"/>
      <c r="G180" s="8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</row>
    <row r="181" spans="5:50" x14ac:dyDescent="0.3">
      <c r="E181" s="8"/>
      <c r="F181" s="8"/>
      <c r="G181" s="8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5:50" x14ac:dyDescent="0.3">
      <c r="E182" s="8"/>
      <c r="F182" s="8"/>
      <c r="G182" s="8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</row>
    <row r="183" spans="5:50" x14ac:dyDescent="0.3">
      <c r="E183" s="8"/>
      <c r="F183" s="8"/>
      <c r="G183" s="8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</row>
    <row r="184" spans="5:50" x14ac:dyDescent="0.3">
      <c r="E184" s="8"/>
      <c r="F184" s="8"/>
      <c r="G184" s="8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</row>
    <row r="185" spans="5:50" x14ac:dyDescent="0.3">
      <c r="E185" s="8"/>
      <c r="F185" s="8"/>
      <c r="G185" s="8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</row>
    <row r="186" spans="5:50" x14ac:dyDescent="0.3">
      <c r="E186" s="8"/>
      <c r="F186" s="8"/>
      <c r="G186" s="8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</row>
    <row r="187" spans="5:50" x14ac:dyDescent="0.3">
      <c r="E187" s="8"/>
      <c r="F187" s="8"/>
      <c r="G187" s="8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</row>
    <row r="188" spans="5:50" x14ac:dyDescent="0.3">
      <c r="E188" s="8"/>
      <c r="F188" s="8"/>
      <c r="G188" s="8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</row>
    <row r="189" spans="5:50" x14ac:dyDescent="0.3">
      <c r="E189" s="8"/>
      <c r="F189" s="8"/>
      <c r="G189" s="8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</row>
    <row r="190" spans="5:50" x14ac:dyDescent="0.3">
      <c r="E190" s="8"/>
      <c r="F190" s="8"/>
      <c r="G190" s="8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</row>
    <row r="191" spans="5:50" x14ac:dyDescent="0.3">
      <c r="E191" s="8"/>
      <c r="F191" s="8"/>
      <c r="G191" s="8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</row>
    <row r="192" spans="5:50" x14ac:dyDescent="0.3">
      <c r="E192" s="8"/>
      <c r="F192" s="8"/>
      <c r="G192" s="8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</row>
    <row r="193" spans="5:50" x14ac:dyDescent="0.3">
      <c r="E193" s="8"/>
      <c r="F193" s="8"/>
      <c r="G193" s="8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</row>
    <row r="194" spans="5:50" x14ac:dyDescent="0.3">
      <c r="E194" s="8"/>
      <c r="F194" s="8"/>
      <c r="G194" s="8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</row>
    <row r="195" spans="5:50" x14ac:dyDescent="0.3">
      <c r="E195" s="8"/>
      <c r="F195" s="8"/>
      <c r="G195" s="8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</row>
    <row r="196" spans="5:50" x14ac:dyDescent="0.3">
      <c r="E196" s="8"/>
      <c r="F196" s="8"/>
      <c r="G196" s="8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</row>
    <row r="197" spans="5:50" x14ac:dyDescent="0.3">
      <c r="E197" s="8"/>
      <c r="F197" s="8"/>
      <c r="G197" s="8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</row>
    <row r="198" spans="5:50" x14ac:dyDescent="0.3">
      <c r="E198" s="8"/>
      <c r="F198" s="8"/>
      <c r="G198" s="8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</row>
    <row r="199" spans="5:50" x14ac:dyDescent="0.3">
      <c r="E199" s="8"/>
      <c r="F199" s="8"/>
      <c r="G199" s="8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</row>
    <row r="200" spans="5:50" x14ac:dyDescent="0.3">
      <c r="E200" s="8"/>
      <c r="F200" s="8"/>
      <c r="G200" s="8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</row>
    <row r="201" spans="5:50" x14ac:dyDescent="0.3">
      <c r="E201" s="8"/>
      <c r="F201" s="8"/>
      <c r="G201" s="8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</row>
    <row r="202" spans="5:50" x14ac:dyDescent="0.3">
      <c r="E202" s="8"/>
      <c r="F202" s="8"/>
      <c r="G202" s="8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</row>
    <row r="203" spans="5:50" x14ac:dyDescent="0.3">
      <c r="E203" s="8"/>
      <c r="F203" s="8"/>
      <c r="G203" s="8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</row>
    <row r="204" spans="5:50" x14ac:dyDescent="0.3">
      <c r="E204" s="8"/>
      <c r="F204" s="8"/>
      <c r="G204" s="8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</row>
    <row r="205" spans="5:50" x14ac:dyDescent="0.3">
      <c r="E205" s="8"/>
      <c r="F205" s="8"/>
      <c r="G205" s="8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</row>
    <row r="206" spans="5:50" x14ac:dyDescent="0.3">
      <c r="E206" s="8"/>
      <c r="F206" s="8"/>
      <c r="G206" s="8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</row>
    <row r="207" spans="5:50" x14ac:dyDescent="0.3">
      <c r="E207" s="8"/>
      <c r="F207" s="8"/>
      <c r="G207" s="8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</row>
    <row r="208" spans="5:50" x14ac:dyDescent="0.3">
      <c r="E208" s="8"/>
      <c r="F208" s="8"/>
      <c r="G208" s="8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</row>
    <row r="209" spans="5:50" x14ac:dyDescent="0.3">
      <c r="E209" s="8"/>
      <c r="F209" s="8"/>
      <c r="G209" s="8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5:50" x14ac:dyDescent="0.3">
      <c r="E210" s="8"/>
      <c r="F210" s="8"/>
      <c r="G210" s="8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</row>
    <row r="211" spans="5:50" x14ac:dyDescent="0.3">
      <c r="E211" s="8"/>
      <c r="F211" s="8"/>
      <c r="G211" s="8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</row>
    <row r="212" spans="5:50" x14ac:dyDescent="0.3">
      <c r="E212" s="8"/>
      <c r="F212" s="8"/>
      <c r="G212" s="8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</row>
    <row r="213" spans="5:50" x14ac:dyDescent="0.3">
      <c r="E213" s="8"/>
      <c r="F213" s="8"/>
      <c r="G213" s="8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</row>
    <row r="214" spans="5:50" x14ac:dyDescent="0.3">
      <c r="E214" s="8"/>
      <c r="F214" s="8"/>
      <c r="G214" s="8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</row>
    <row r="215" spans="5:50" x14ac:dyDescent="0.3">
      <c r="E215" s="8"/>
      <c r="F215" s="8"/>
      <c r="G215" s="8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</row>
    <row r="216" spans="5:50" x14ac:dyDescent="0.3">
      <c r="E216" s="8"/>
      <c r="F216" s="8"/>
      <c r="G216" s="8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</row>
    <row r="217" spans="5:50" x14ac:dyDescent="0.3">
      <c r="E217" s="8"/>
      <c r="F217" s="8"/>
      <c r="G217" s="8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</row>
    <row r="218" spans="5:50" x14ac:dyDescent="0.3">
      <c r="E218" s="8"/>
      <c r="F218" s="8"/>
      <c r="G218" s="8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</row>
    <row r="219" spans="5:50" x14ac:dyDescent="0.3">
      <c r="E219" s="8"/>
      <c r="F219" s="8"/>
      <c r="G219" s="8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</row>
    <row r="220" spans="5:50" x14ac:dyDescent="0.3">
      <c r="E220" s="8"/>
      <c r="F220" s="8"/>
      <c r="G220" s="8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</row>
    <row r="221" spans="5:50" x14ac:dyDescent="0.3">
      <c r="E221" s="8"/>
      <c r="F221" s="8"/>
      <c r="G221" s="8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</row>
    <row r="222" spans="5:50" x14ac:dyDescent="0.3">
      <c r="E222" s="8"/>
      <c r="F222" s="8"/>
      <c r="G222" s="8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</row>
    <row r="223" spans="5:50" x14ac:dyDescent="0.3">
      <c r="E223" s="8"/>
      <c r="F223" s="8"/>
      <c r="G223" s="8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</row>
    <row r="224" spans="5:50" x14ac:dyDescent="0.3">
      <c r="E224" s="8"/>
      <c r="F224" s="8"/>
      <c r="G224" s="8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</row>
    <row r="225" spans="5:50" x14ac:dyDescent="0.3">
      <c r="E225" s="8"/>
      <c r="F225" s="8"/>
      <c r="G225" s="8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</row>
    <row r="226" spans="5:50" x14ac:dyDescent="0.3">
      <c r="E226" s="8"/>
      <c r="F226" s="8"/>
      <c r="G226" s="8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</row>
    <row r="227" spans="5:50" x14ac:dyDescent="0.3">
      <c r="E227" s="8"/>
      <c r="F227" s="8"/>
      <c r="G227" s="8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</row>
    <row r="228" spans="5:50" x14ac:dyDescent="0.3">
      <c r="E228" s="8"/>
      <c r="F228" s="8"/>
      <c r="G228" s="8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</row>
    <row r="229" spans="5:50" x14ac:dyDescent="0.3">
      <c r="E229" s="8"/>
      <c r="F229" s="8"/>
      <c r="G229" s="8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</row>
    <row r="230" spans="5:50" x14ac:dyDescent="0.3">
      <c r="E230" s="8"/>
      <c r="F230" s="8"/>
      <c r="G230" s="8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</row>
    <row r="231" spans="5:50" x14ac:dyDescent="0.3">
      <c r="E231" s="8"/>
      <c r="F231" s="8"/>
      <c r="G231" s="8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</row>
    <row r="232" spans="5:50" x14ac:dyDescent="0.3">
      <c r="E232" s="8"/>
      <c r="F232" s="8"/>
      <c r="G232" s="8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</row>
    <row r="233" spans="5:50" x14ac:dyDescent="0.3">
      <c r="E233" s="8"/>
      <c r="F233" s="8"/>
      <c r="G233" s="8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</row>
    <row r="234" spans="5:50" x14ac:dyDescent="0.3">
      <c r="E234" s="8"/>
      <c r="F234" s="8"/>
      <c r="G234" s="8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</row>
    <row r="235" spans="5:50" x14ac:dyDescent="0.3">
      <c r="E235" s="8"/>
      <c r="F235" s="8"/>
      <c r="G235" s="8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</row>
    <row r="236" spans="5:50" x14ac:dyDescent="0.3">
      <c r="E236" s="8"/>
      <c r="F236" s="8"/>
      <c r="G236" s="8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</row>
    <row r="237" spans="5:50" x14ac:dyDescent="0.3">
      <c r="E237" s="8"/>
      <c r="F237" s="8"/>
      <c r="G237" s="8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5:50" x14ac:dyDescent="0.3">
      <c r="E238" s="8"/>
      <c r="F238" s="8"/>
      <c r="G238" s="8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</row>
    <row r="239" spans="5:50" x14ac:dyDescent="0.3">
      <c r="E239" s="8"/>
      <c r="F239" s="8"/>
      <c r="G239" s="8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</row>
    <row r="240" spans="5:50" x14ac:dyDescent="0.3">
      <c r="E240" s="8"/>
      <c r="F240" s="8"/>
      <c r="G240" s="8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</row>
    <row r="241" spans="5:50" x14ac:dyDescent="0.3">
      <c r="E241" s="8"/>
      <c r="F241" s="8"/>
      <c r="G241" s="8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</row>
    <row r="242" spans="5:50" x14ac:dyDescent="0.3">
      <c r="E242" s="8"/>
      <c r="F242" s="8"/>
      <c r="G242" s="8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</row>
    <row r="243" spans="5:50" x14ac:dyDescent="0.3">
      <c r="E243" s="8"/>
      <c r="F243" s="8"/>
      <c r="G243" s="8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</row>
    <row r="244" spans="5:50" x14ac:dyDescent="0.3">
      <c r="E244" s="8"/>
      <c r="F244" s="8"/>
      <c r="G244" s="8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</row>
    <row r="245" spans="5:50" x14ac:dyDescent="0.3">
      <c r="E245" s="8"/>
      <c r="F245" s="8"/>
      <c r="G245" s="8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</row>
    <row r="246" spans="5:50" x14ac:dyDescent="0.3">
      <c r="E246" s="8"/>
      <c r="F246" s="8"/>
      <c r="G246" s="8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</row>
    <row r="247" spans="5:50" x14ac:dyDescent="0.3">
      <c r="E247" s="8"/>
      <c r="F247" s="8"/>
      <c r="G247" s="8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</row>
    <row r="248" spans="5:50" x14ac:dyDescent="0.3">
      <c r="E248" s="8"/>
      <c r="F248" s="8"/>
      <c r="G248" s="8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</row>
    <row r="249" spans="5:50" x14ac:dyDescent="0.3">
      <c r="E249" s="8"/>
      <c r="F249" s="8"/>
      <c r="G249" s="8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</row>
    <row r="250" spans="5:50" x14ac:dyDescent="0.3">
      <c r="E250" s="8"/>
      <c r="F250" s="8"/>
      <c r="G250" s="8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</row>
    <row r="251" spans="5:50" x14ac:dyDescent="0.3">
      <c r="E251" s="8"/>
      <c r="F251" s="8"/>
      <c r="G251" s="8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4C914-DDED-4F92-8CFF-F97E36444CBB}">
  <sheetPr codeName="Sheet8"/>
  <dimension ref="B1:BW42"/>
  <sheetViews>
    <sheetView zoomScale="55" zoomScaleNormal="55" workbookViewId="0">
      <pane xSplit="2" ySplit="5" topLeftCell="AM6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RowHeight="14.4" x14ac:dyDescent="0.3"/>
  <cols>
    <col min="2" max="2" width="33" bestFit="1" customWidth="1"/>
    <col min="3" max="3" width="14.6640625" customWidth="1"/>
    <col min="4" max="16" width="12.33203125" bestFit="1" customWidth="1"/>
    <col min="17" max="18" width="11.109375" bestFit="1" customWidth="1"/>
    <col min="19" max="26" width="12.33203125" bestFit="1" customWidth="1"/>
    <col min="27" max="30" width="13.33203125" bestFit="1" customWidth="1"/>
    <col min="31" max="32" width="12.33203125" bestFit="1" customWidth="1"/>
    <col min="33" max="33" width="11.109375" bestFit="1" customWidth="1"/>
    <col min="34" max="35" width="12.33203125" bestFit="1" customWidth="1"/>
    <col min="36" max="37" width="13.33203125" bestFit="1" customWidth="1"/>
    <col min="38" max="38" width="12.33203125" bestFit="1" customWidth="1"/>
    <col min="39" max="39" width="11.109375" bestFit="1" customWidth="1"/>
    <col min="40" max="41" width="12.33203125" bestFit="1" customWidth="1"/>
    <col min="42" max="42" width="13.33203125" bestFit="1" customWidth="1"/>
    <col min="43" max="43" width="12.33203125" bestFit="1" customWidth="1"/>
    <col min="44" max="46" width="11.109375" bestFit="1" customWidth="1"/>
    <col min="47" max="47" width="10.109375" customWidth="1"/>
    <col min="48" max="51" width="11.109375" bestFit="1" customWidth="1"/>
    <col min="52" max="54" width="12.33203125" bestFit="1" customWidth="1"/>
    <col min="55" max="55" width="10.88671875" customWidth="1"/>
    <col min="63" max="65" width="12.21875" bestFit="1" customWidth="1"/>
    <col min="66" max="74" width="13.33203125" bestFit="1" customWidth="1"/>
  </cols>
  <sheetData>
    <row r="1" spans="2:74" x14ac:dyDescent="0.3">
      <c r="C1" t="s">
        <v>1454</v>
      </c>
      <c r="D1" s="40">
        <v>44927</v>
      </c>
      <c r="E1" s="40">
        <f>EOMONTH(D1,0)+1</f>
        <v>44958</v>
      </c>
      <c r="F1" s="40">
        <f t="shared" ref="F1:BB1" si="0">EOMONTH(E1,0)+1</f>
        <v>44986</v>
      </c>
      <c r="G1" s="1">
        <f t="shared" si="0"/>
        <v>45017</v>
      </c>
      <c r="H1" s="1">
        <f t="shared" si="0"/>
        <v>45047</v>
      </c>
      <c r="I1" s="1">
        <f t="shared" si="0"/>
        <v>45078</v>
      </c>
      <c r="J1" s="1">
        <f t="shared" si="0"/>
        <v>45108</v>
      </c>
      <c r="K1" s="1">
        <f t="shared" si="0"/>
        <v>45139</v>
      </c>
      <c r="L1" s="1">
        <f t="shared" si="0"/>
        <v>45170</v>
      </c>
      <c r="M1" s="1">
        <f t="shared" si="0"/>
        <v>45200</v>
      </c>
      <c r="N1" s="1">
        <f t="shared" si="0"/>
        <v>45231</v>
      </c>
      <c r="O1" s="1">
        <f t="shared" si="0"/>
        <v>45261</v>
      </c>
      <c r="P1" s="1">
        <f t="shared" si="0"/>
        <v>45292</v>
      </c>
      <c r="Q1" s="1">
        <f t="shared" si="0"/>
        <v>45323</v>
      </c>
      <c r="R1" s="1">
        <f t="shared" si="0"/>
        <v>45352</v>
      </c>
      <c r="S1" s="40">
        <f t="shared" si="0"/>
        <v>45383</v>
      </c>
      <c r="T1" s="40">
        <f t="shared" si="0"/>
        <v>45413</v>
      </c>
      <c r="U1" s="40">
        <f t="shared" si="0"/>
        <v>45444</v>
      </c>
      <c r="V1" s="40">
        <f t="shared" si="0"/>
        <v>45474</v>
      </c>
      <c r="W1" s="40">
        <f t="shared" si="0"/>
        <v>45505</v>
      </c>
      <c r="X1" s="40">
        <f t="shared" si="0"/>
        <v>45536</v>
      </c>
      <c r="Y1" s="40">
        <f t="shared" si="0"/>
        <v>45566</v>
      </c>
      <c r="Z1" s="40">
        <f t="shared" si="0"/>
        <v>45597</v>
      </c>
      <c r="AA1" s="40">
        <f t="shared" si="0"/>
        <v>45627</v>
      </c>
      <c r="AB1" s="40">
        <f t="shared" si="0"/>
        <v>45658</v>
      </c>
      <c r="AC1" s="40">
        <f t="shared" si="0"/>
        <v>45689</v>
      </c>
      <c r="AD1" s="40">
        <f t="shared" si="0"/>
        <v>45717</v>
      </c>
      <c r="AE1" s="40">
        <f t="shared" si="0"/>
        <v>45748</v>
      </c>
      <c r="AF1" s="40">
        <f t="shared" si="0"/>
        <v>45778</v>
      </c>
      <c r="AG1" s="40">
        <f t="shared" si="0"/>
        <v>45809</v>
      </c>
      <c r="AH1" s="40">
        <f t="shared" si="0"/>
        <v>45839</v>
      </c>
      <c r="AI1" s="40">
        <f t="shared" si="0"/>
        <v>45870</v>
      </c>
      <c r="AJ1" s="40">
        <f t="shared" si="0"/>
        <v>45901</v>
      </c>
      <c r="AK1" s="40">
        <f t="shared" si="0"/>
        <v>45931</v>
      </c>
      <c r="AL1" s="40">
        <f t="shared" si="0"/>
        <v>45962</v>
      </c>
      <c r="AM1" s="40">
        <f t="shared" si="0"/>
        <v>45992</v>
      </c>
      <c r="AN1" s="40">
        <f t="shared" si="0"/>
        <v>46023</v>
      </c>
      <c r="AO1" s="40">
        <f t="shared" si="0"/>
        <v>46054</v>
      </c>
      <c r="AP1" s="40">
        <f t="shared" si="0"/>
        <v>46082</v>
      </c>
      <c r="AQ1" s="1">
        <f t="shared" si="0"/>
        <v>46113</v>
      </c>
      <c r="AR1" s="1">
        <f t="shared" si="0"/>
        <v>46143</v>
      </c>
      <c r="AS1" s="1">
        <f t="shared" si="0"/>
        <v>46174</v>
      </c>
      <c r="AT1" s="1">
        <f t="shared" si="0"/>
        <v>46204</v>
      </c>
      <c r="AU1" s="1">
        <f t="shared" si="0"/>
        <v>46235</v>
      </c>
      <c r="AV1" s="1">
        <f t="shared" si="0"/>
        <v>46266</v>
      </c>
      <c r="AW1" s="1">
        <f t="shared" si="0"/>
        <v>46296</v>
      </c>
      <c r="AX1" s="1">
        <f t="shared" si="0"/>
        <v>46327</v>
      </c>
      <c r="AY1" s="1">
        <f t="shared" si="0"/>
        <v>46357</v>
      </c>
      <c r="AZ1" s="1">
        <f t="shared" si="0"/>
        <v>46388</v>
      </c>
      <c r="BA1" s="1">
        <f t="shared" si="0"/>
        <v>46419</v>
      </c>
      <c r="BB1" s="1">
        <f t="shared" si="0"/>
        <v>46447</v>
      </c>
      <c r="BC1" s="1"/>
    </row>
    <row r="2" spans="2:74" x14ac:dyDescent="0.3">
      <c r="C2" t="s">
        <v>1455</v>
      </c>
      <c r="D2" s="40">
        <f>EOMONTH(D1,0)</f>
        <v>44957</v>
      </c>
      <c r="E2" s="40">
        <f t="shared" ref="E2:BB2" si="1">EOMONTH(E1,0)</f>
        <v>44985</v>
      </c>
      <c r="F2" s="40">
        <f t="shared" si="1"/>
        <v>45016</v>
      </c>
      <c r="G2" s="1">
        <f t="shared" si="1"/>
        <v>45046</v>
      </c>
      <c r="H2" s="1">
        <f t="shared" si="1"/>
        <v>45077</v>
      </c>
      <c r="I2" s="1">
        <f t="shared" si="1"/>
        <v>45107</v>
      </c>
      <c r="J2" s="1">
        <f t="shared" si="1"/>
        <v>45138</v>
      </c>
      <c r="K2" s="1">
        <f t="shared" si="1"/>
        <v>45169</v>
      </c>
      <c r="L2" s="1">
        <f t="shared" si="1"/>
        <v>45199</v>
      </c>
      <c r="M2" s="1">
        <f t="shared" si="1"/>
        <v>45230</v>
      </c>
      <c r="N2" s="1">
        <f t="shared" si="1"/>
        <v>45260</v>
      </c>
      <c r="O2" s="1">
        <f t="shared" si="1"/>
        <v>45291</v>
      </c>
      <c r="P2" s="1">
        <f t="shared" si="1"/>
        <v>45322</v>
      </c>
      <c r="Q2" s="1">
        <f t="shared" si="1"/>
        <v>45351</v>
      </c>
      <c r="R2" s="1">
        <f t="shared" si="1"/>
        <v>45382</v>
      </c>
      <c r="S2" s="40">
        <f t="shared" si="1"/>
        <v>45412</v>
      </c>
      <c r="T2" s="40">
        <f t="shared" si="1"/>
        <v>45443</v>
      </c>
      <c r="U2" s="40">
        <f t="shared" si="1"/>
        <v>45473</v>
      </c>
      <c r="V2" s="40">
        <f t="shared" si="1"/>
        <v>45504</v>
      </c>
      <c r="W2" s="40">
        <f t="shared" si="1"/>
        <v>45535</v>
      </c>
      <c r="X2" s="40">
        <f t="shared" si="1"/>
        <v>45565</v>
      </c>
      <c r="Y2" s="40">
        <f t="shared" si="1"/>
        <v>45596</v>
      </c>
      <c r="Z2" s="40">
        <f t="shared" si="1"/>
        <v>45626</v>
      </c>
      <c r="AA2" s="40">
        <f t="shared" si="1"/>
        <v>45657</v>
      </c>
      <c r="AB2" s="40">
        <f t="shared" si="1"/>
        <v>45688</v>
      </c>
      <c r="AC2" s="40">
        <f t="shared" si="1"/>
        <v>45716</v>
      </c>
      <c r="AD2" s="40">
        <f t="shared" si="1"/>
        <v>45747</v>
      </c>
      <c r="AE2" s="40">
        <f t="shared" si="1"/>
        <v>45777</v>
      </c>
      <c r="AF2" s="40">
        <f t="shared" si="1"/>
        <v>45808</v>
      </c>
      <c r="AG2" s="40">
        <f t="shared" si="1"/>
        <v>45838</v>
      </c>
      <c r="AH2" s="40">
        <f t="shared" si="1"/>
        <v>45869</v>
      </c>
      <c r="AI2" s="40">
        <f t="shared" si="1"/>
        <v>45900</v>
      </c>
      <c r="AJ2" s="40">
        <f t="shared" si="1"/>
        <v>45930</v>
      </c>
      <c r="AK2" s="40">
        <f t="shared" si="1"/>
        <v>45961</v>
      </c>
      <c r="AL2" s="40">
        <f t="shared" si="1"/>
        <v>45991</v>
      </c>
      <c r="AM2" s="40">
        <f t="shared" si="1"/>
        <v>46022</v>
      </c>
      <c r="AN2" s="40">
        <f t="shared" si="1"/>
        <v>46053</v>
      </c>
      <c r="AO2" s="40">
        <f t="shared" si="1"/>
        <v>46081</v>
      </c>
      <c r="AP2" s="40">
        <f t="shared" si="1"/>
        <v>46112</v>
      </c>
      <c r="AQ2" s="1">
        <f t="shared" si="1"/>
        <v>46142</v>
      </c>
      <c r="AR2" s="1">
        <f t="shared" si="1"/>
        <v>46173</v>
      </c>
      <c r="AS2" s="1">
        <f t="shared" si="1"/>
        <v>46203</v>
      </c>
      <c r="AT2" s="1">
        <f t="shared" si="1"/>
        <v>46234</v>
      </c>
      <c r="AU2" s="1">
        <f t="shared" si="1"/>
        <v>46265</v>
      </c>
      <c r="AV2" s="1">
        <f t="shared" si="1"/>
        <v>46295</v>
      </c>
      <c r="AW2" s="1">
        <f t="shared" si="1"/>
        <v>46326</v>
      </c>
      <c r="AX2" s="1">
        <f t="shared" si="1"/>
        <v>46356</v>
      </c>
      <c r="AY2" s="1">
        <f t="shared" si="1"/>
        <v>46387</v>
      </c>
      <c r="AZ2" s="1">
        <f t="shared" si="1"/>
        <v>46418</v>
      </c>
      <c r="BA2" s="1">
        <f t="shared" si="1"/>
        <v>46446</v>
      </c>
      <c r="BB2" s="1">
        <f t="shared" si="1"/>
        <v>46477</v>
      </c>
      <c r="BC2" s="1"/>
    </row>
    <row r="3" spans="2:74" x14ac:dyDescent="0.3">
      <c r="C3" t="s">
        <v>1388</v>
      </c>
      <c r="D3" s="41" t="s">
        <v>1373</v>
      </c>
      <c r="E3" s="41" t="s">
        <v>1374</v>
      </c>
      <c r="F3" s="41" t="s">
        <v>1375</v>
      </c>
      <c r="G3" t="s">
        <v>1490</v>
      </c>
      <c r="H3" t="s">
        <v>1491</v>
      </c>
      <c r="I3" t="s">
        <v>1492</v>
      </c>
      <c r="J3" t="s">
        <v>1493</v>
      </c>
      <c r="K3" t="s">
        <v>1494</v>
      </c>
      <c r="L3" t="s">
        <v>1495</v>
      </c>
      <c r="M3" t="s">
        <v>1496</v>
      </c>
      <c r="N3" t="s">
        <v>1497</v>
      </c>
      <c r="O3" t="s">
        <v>1498</v>
      </c>
      <c r="P3" t="s">
        <v>1499</v>
      </c>
      <c r="Q3" t="s">
        <v>1500</v>
      </c>
      <c r="R3" t="s">
        <v>1501</v>
      </c>
      <c r="S3" s="41" t="s">
        <v>1502</v>
      </c>
      <c r="T3" s="41" t="s">
        <v>1503</v>
      </c>
      <c r="U3" s="41" t="s">
        <v>1504</v>
      </c>
      <c r="V3" s="41" t="s">
        <v>1505</v>
      </c>
      <c r="W3" s="41" t="s">
        <v>1506</v>
      </c>
      <c r="X3" s="41" t="s">
        <v>1507</v>
      </c>
      <c r="Y3" s="41" t="s">
        <v>1508</v>
      </c>
      <c r="Z3" s="41" t="s">
        <v>1509</v>
      </c>
      <c r="AA3" s="41" t="s">
        <v>1510</v>
      </c>
      <c r="AB3" s="41" t="s">
        <v>1511</v>
      </c>
      <c r="AC3" s="41" t="s">
        <v>1512</v>
      </c>
      <c r="AD3" s="41" t="s">
        <v>1513</v>
      </c>
      <c r="AE3" s="41" t="s">
        <v>1514</v>
      </c>
      <c r="AF3" s="41" t="s">
        <v>1515</v>
      </c>
      <c r="AG3" s="41" t="s">
        <v>1516</v>
      </c>
      <c r="AH3" s="41" t="s">
        <v>1517</v>
      </c>
      <c r="AI3" s="41" t="s">
        <v>1518</v>
      </c>
      <c r="AJ3" s="41" t="s">
        <v>1519</v>
      </c>
      <c r="AK3" s="41" t="s">
        <v>1520</v>
      </c>
      <c r="AL3" s="41" t="s">
        <v>1521</v>
      </c>
      <c r="AM3" s="41" t="s">
        <v>1522</v>
      </c>
      <c r="AN3" s="41" t="s">
        <v>1523</v>
      </c>
      <c r="AO3" s="41" t="s">
        <v>1524</v>
      </c>
      <c r="AP3" s="41" t="s">
        <v>1525</v>
      </c>
      <c r="AQ3" t="s">
        <v>1526</v>
      </c>
      <c r="AR3" t="s">
        <v>1527</v>
      </c>
      <c r="AS3" t="s">
        <v>1528</v>
      </c>
      <c r="AT3" t="s">
        <v>1529</v>
      </c>
      <c r="AU3" t="s">
        <v>1530</v>
      </c>
      <c r="AV3" t="s">
        <v>1531</v>
      </c>
      <c r="AW3" t="s">
        <v>1532</v>
      </c>
      <c r="AX3" t="s">
        <v>1533</v>
      </c>
      <c r="AY3" t="s">
        <v>1534</v>
      </c>
      <c r="AZ3" t="s">
        <v>1535</v>
      </c>
      <c r="BA3" t="s">
        <v>1536</v>
      </c>
      <c r="BB3" t="s">
        <v>1537</v>
      </c>
    </row>
    <row r="4" spans="2:74" x14ac:dyDescent="0.3">
      <c r="C4" t="s">
        <v>1372</v>
      </c>
      <c r="D4" s="41" t="s">
        <v>1538</v>
      </c>
      <c r="E4" s="41" t="s">
        <v>1538</v>
      </c>
      <c r="F4" s="41" t="s">
        <v>1538</v>
      </c>
      <c r="G4" t="s">
        <v>1539</v>
      </c>
      <c r="H4" t="s">
        <v>1539</v>
      </c>
      <c r="I4" t="s">
        <v>1539</v>
      </c>
      <c r="J4" t="s">
        <v>1539</v>
      </c>
      <c r="K4" t="s">
        <v>1539</v>
      </c>
      <c r="L4" t="s">
        <v>1539</v>
      </c>
      <c r="M4" t="s">
        <v>1539</v>
      </c>
      <c r="N4" t="s">
        <v>1539</v>
      </c>
      <c r="O4" t="s">
        <v>1539</v>
      </c>
      <c r="P4" t="s">
        <v>1539</v>
      </c>
      <c r="Q4" t="s">
        <v>1539</v>
      </c>
      <c r="R4" t="s">
        <v>1539</v>
      </c>
      <c r="S4" s="41" t="s">
        <v>1540</v>
      </c>
      <c r="T4" s="41" t="s">
        <v>1540</v>
      </c>
      <c r="U4" s="41" t="s">
        <v>1540</v>
      </c>
      <c r="V4" s="41" t="s">
        <v>1540</v>
      </c>
      <c r="W4" s="41" t="s">
        <v>1540</v>
      </c>
      <c r="X4" s="41" t="s">
        <v>1540</v>
      </c>
      <c r="Y4" s="41" t="s">
        <v>1540</v>
      </c>
      <c r="Z4" s="41" t="s">
        <v>1540</v>
      </c>
      <c r="AA4" s="41" t="s">
        <v>1540</v>
      </c>
      <c r="AB4" s="41" t="s">
        <v>1540</v>
      </c>
      <c r="AC4" s="41" t="s">
        <v>1540</v>
      </c>
      <c r="AD4" s="41" t="s">
        <v>1540</v>
      </c>
      <c r="AE4" s="41" t="s">
        <v>1541</v>
      </c>
      <c r="AF4" s="41" t="s">
        <v>1541</v>
      </c>
      <c r="AG4" s="41" t="s">
        <v>1541</v>
      </c>
      <c r="AH4" s="41" t="s">
        <v>1541</v>
      </c>
      <c r="AI4" s="41" t="s">
        <v>1541</v>
      </c>
      <c r="AJ4" s="41" t="s">
        <v>1541</v>
      </c>
      <c r="AK4" s="41" t="s">
        <v>1541</v>
      </c>
      <c r="AL4" s="41" t="s">
        <v>1541</v>
      </c>
      <c r="AM4" s="41" t="s">
        <v>1541</v>
      </c>
      <c r="AN4" s="41" t="s">
        <v>1541</v>
      </c>
      <c r="AO4" s="41" t="s">
        <v>1541</v>
      </c>
      <c r="AP4" s="41" t="s">
        <v>1541</v>
      </c>
      <c r="AQ4" t="s">
        <v>1542</v>
      </c>
      <c r="AR4" t="s">
        <v>1542</v>
      </c>
      <c r="AS4" t="s">
        <v>1542</v>
      </c>
      <c r="AT4" t="s">
        <v>1542</v>
      </c>
      <c r="AU4" t="s">
        <v>1542</v>
      </c>
      <c r="AV4" t="s">
        <v>1542</v>
      </c>
      <c r="AW4" t="s">
        <v>1542</v>
      </c>
      <c r="AX4" t="s">
        <v>1542</v>
      </c>
      <c r="AY4" t="s">
        <v>1542</v>
      </c>
      <c r="AZ4" t="s">
        <v>1542</v>
      </c>
      <c r="BA4" t="s">
        <v>1542</v>
      </c>
      <c r="BB4" t="s">
        <v>1542</v>
      </c>
    </row>
    <row r="5" spans="2:74" x14ac:dyDescent="0.3">
      <c r="C5" t="s">
        <v>1458</v>
      </c>
      <c r="D5" s="41">
        <v>2023</v>
      </c>
      <c r="E5" s="41">
        <v>2023</v>
      </c>
      <c r="F5" s="41">
        <v>2023</v>
      </c>
      <c r="G5">
        <v>2023</v>
      </c>
      <c r="H5">
        <v>2023</v>
      </c>
      <c r="I5">
        <v>2023</v>
      </c>
      <c r="J5">
        <v>2023</v>
      </c>
      <c r="K5">
        <v>2023</v>
      </c>
      <c r="L5">
        <v>2023</v>
      </c>
      <c r="M5">
        <v>2023</v>
      </c>
      <c r="N5">
        <v>2023</v>
      </c>
      <c r="O5">
        <v>2023</v>
      </c>
      <c r="P5">
        <v>2024</v>
      </c>
      <c r="Q5">
        <v>2024</v>
      </c>
      <c r="R5">
        <v>2024</v>
      </c>
      <c r="S5" s="41">
        <v>2024</v>
      </c>
      <c r="T5" s="41">
        <v>2024</v>
      </c>
      <c r="U5" s="41">
        <v>2024</v>
      </c>
      <c r="V5" s="41">
        <v>2024</v>
      </c>
      <c r="W5" s="41">
        <v>2024</v>
      </c>
      <c r="X5" s="41">
        <v>2024</v>
      </c>
      <c r="Y5" s="41">
        <v>2024</v>
      </c>
      <c r="Z5" s="41">
        <v>2024</v>
      </c>
      <c r="AA5" s="41">
        <v>2024</v>
      </c>
      <c r="AB5" s="41">
        <v>2025</v>
      </c>
      <c r="AC5" s="41">
        <v>2025</v>
      </c>
      <c r="AD5" s="41">
        <v>2025</v>
      </c>
      <c r="AE5" s="41">
        <v>2025</v>
      </c>
      <c r="AF5" s="41">
        <v>2025</v>
      </c>
      <c r="AG5" s="41">
        <v>2025</v>
      </c>
      <c r="AH5" s="41">
        <v>2025</v>
      </c>
      <c r="AI5" s="41">
        <v>2025</v>
      </c>
      <c r="AJ5" s="41">
        <v>2025</v>
      </c>
      <c r="AK5" s="41">
        <v>2025</v>
      </c>
      <c r="AL5" s="41">
        <v>2025</v>
      </c>
      <c r="AM5" s="41">
        <v>2025</v>
      </c>
      <c r="AN5" s="41">
        <v>2026</v>
      </c>
      <c r="AO5" s="41">
        <v>2026</v>
      </c>
      <c r="AP5" s="41">
        <v>2026</v>
      </c>
      <c r="AQ5">
        <v>2026</v>
      </c>
      <c r="AR5">
        <v>2026</v>
      </c>
      <c r="AS5">
        <v>2026</v>
      </c>
      <c r="AT5">
        <v>2026</v>
      </c>
      <c r="AU5">
        <v>2026</v>
      </c>
      <c r="AV5">
        <v>2026</v>
      </c>
      <c r="AW5">
        <v>2026</v>
      </c>
      <c r="AX5">
        <v>2026</v>
      </c>
      <c r="AY5">
        <v>2026</v>
      </c>
      <c r="AZ5">
        <v>2027</v>
      </c>
      <c r="BA5">
        <v>2027</v>
      </c>
      <c r="BB5">
        <v>2027</v>
      </c>
    </row>
    <row r="6" spans="2:74" x14ac:dyDescent="0.3">
      <c r="D6" s="41"/>
      <c r="E6" s="41"/>
      <c r="F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BE6" t="s">
        <v>1585</v>
      </c>
      <c r="BF6" t="s">
        <v>1458</v>
      </c>
      <c r="BG6" t="s">
        <v>1586</v>
      </c>
    </row>
    <row r="7" spans="2:74" x14ac:dyDescent="0.3">
      <c r="D7" s="41"/>
      <c r="E7" s="41"/>
      <c r="F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BE7">
        <v>250000</v>
      </c>
    </row>
    <row r="8" spans="2:74" x14ac:dyDescent="0.3">
      <c r="B8" s="50" t="s">
        <v>1587</v>
      </c>
      <c r="D8" s="44">
        <v>0</v>
      </c>
      <c r="E8" s="44">
        <v>0</v>
      </c>
      <c r="F8" s="44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>
        <v>0</v>
      </c>
      <c r="AX8" s="8">
        <v>0</v>
      </c>
      <c r="AY8" s="8">
        <v>0</v>
      </c>
      <c r="AZ8" s="8">
        <v>0</v>
      </c>
      <c r="BA8" s="8">
        <v>0</v>
      </c>
      <c r="BB8" s="8">
        <v>0</v>
      </c>
      <c r="BC8" s="8"/>
      <c r="BE8">
        <v>380000</v>
      </c>
      <c r="BF8">
        <v>2023</v>
      </c>
    </row>
    <row r="9" spans="2:74" x14ac:dyDescent="0.3">
      <c r="B9" t="s">
        <v>1588</v>
      </c>
      <c r="D9" s="41">
        <v>86</v>
      </c>
      <c r="E9" s="41">
        <v>38</v>
      </c>
      <c r="F9" s="41">
        <v>40</v>
      </c>
      <c r="G9">
        <v>35</v>
      </c>
      <c r="H9">
        <v>29</v>
      </c>
      <c r="I9">
        <v>26</v>
      </c>
      <c r="J9">
        <v>60</v>
      </c>
      <c r="K9">
        <v>32</v>
      </c>
      <c r="L9">
        <v>26</v>
      </c>
      <c r="M9">
        <v>39</v>
      </c>
      <c r="N9">
        <v>77</v>
      </c>
      <c r="O9">
        <v>41</v>
      </c>
      <c r="P9">
        <v>63</v>
      </c>
      <c r="Q9">
        <v>14</v>
      </c>
      <c r="R9">
        <v>9</v>
      </c>
      <c r="S9" s="41">
        <v>28</v>
      </c>
      <c r="T9" s="41">
        <v>33</v>
      </c>
      <c r="U9" s="41">
        <v>25</v>
      </c>
      <c r="V9" s="41">
        <v>38</v>
      </c>
      <c r="W9" s="41">
        <v>74</v>
      </c>
      <c r="X9" s="41">
        <v>44</v>
      </c>
      <c r="Y9" s="41">
        <v>27</v>
      </c>
      <c r="Z9" s="41">
        <v>52</v>
      </c>
      <c r="AA9" s="41">
        <v>187</v>
      </c>
      <c r="AB9" s="41">
        <v>305</v>
      </c>
      <c r="AC9" s="41">
        <v>178</v>
      </c>
      <c r="AD9" s="41">
        <v>123</v>
      </c>
      <c r="AE9" s="41">
        <v>48</v>
      </c>
      <c r="AF9" s="41">
        <v>13</v>
      </c>
      <c r="AG9" s="41">
        <v>9</v>
      </c>
      <c r="AH9" s="41">
        <v>12</v>
      </c>
      <c r="AI9" s="41">
        <v>16</v>
      </c>
      <c r="AJ9" s="41">
        <v>212</v>
      </c>
      <c r="AK9" s="41">
        <v>355</v>
      </c>
      <c r="AL9" s="41">
        <v>23</v>
      </c>
      <c r="AM9" s="41">
        <v>6</v>
      </c>
      <c r="AN9" s="41">
        <v>32</v>
      </c>
      <c r="AO9" s="41">
        <v>87</v>
      </c>
      <c r="AP9" s="41">
        <v>530</v>
      </c>
      <c r="AQ9">
        <v>54</v>
      </c>
      <c r="AR9">
        <v>5</v>
      </c>
      <c r="AS9">
        <v>1</v>
      </c>
      <c r="AT9">
        <v>1</v>
      </c>
      <c r="AU9">
        <v>0</v>
      </c>
      <c r="AV9">
        <v>2</v>
      </c>
      <c r="AW9">
        <v>2</v>
      </c>
      <c r="AX9">
        <v>6</v>
      </c>
      <c r="AY9">
        <v>2</v>
      </c>
      <c r="AZ9">
        <v>63</v>
      </c>
      <c r="BA9">
        <v>0</v>
      </c>
      <c r="BB9">
        <v>1</v>
      </c>
      <c r="BE9">
        <v>275000</v>
      </c>
      <c r="BF9">
        <f t="shared" ref="BF9:BF14" si="2">BF8+1</f>
        <v>2024</v>
      </c>
    </row>
    <row r="10" spans="2:74" x14ac:dyDescent="0.3">
      <c r="B10" t="s">
        <v>1589</v>
      </c>
      <c r="D10" s="44">
        <f>SUM(D8:D9)</f>
        <v>86</v>
      </c>
      <c r="E10" s="44">
        <f t="shared" ref="E10:BB10" si="3">SUM(E8:E9)</f>
        <v>38</v>
      </c>
      <c r="F10" s="44">
        <f t="shared" si="3"/>
        <v>40</v>
      </c>
      <c r="G10" s="8">
        <f t="shared" si="3"/>
        <v>35</v>
      </c>
      <c r="H10" s="8">
        <f t="shared" si="3"/>
        <v>29</v>
      </c>
      <c r="I10" s="8">
        <f t="shared" si="3"/>
        <v>26</v>
      </c>
      <c r="J10" s="8">
        <f t="shared" si="3"/>
        <v>60</v>
      </c>
      <c r="K10" s="8">
        <f t="shared" si="3"/>
        <v>32</v>
      </c>
      <c r="L10" s="8">
        <f t="shared" si="3"/>
        <v>26</v>
      </c>
      <c r="M10" s="8">
        <f t="shared" si="3"/>
        <v>39</v>
      </c>
      <c r="N10" s="8">
        <f t="shared" si="3"/>
        <v>77</v>
      </c>
      <c r="O10" s="8">
        <f t="shared" si="3"/>
        <v>41</v>
      </c>
      <c r="P10" s="8">
        <f t="shared" si="3"/>
        <v>63</v>
      </c>
      <c r="Q10" s="8">
        <f t="shared" si="3"/>
        <v>14</v>
      </c>
      <c r="R10" s="8">
        <f t="shared" si="3"/>
        <v>9</v>
      </c>
      <c r="S10" s="44">
        <f t="shared" si="3"/>
        <v>28</v>
      </c>
      <c r="T10" s="44">
        <f t="shared" si="3"/>
        <v>33</v>
      </c>
      <c r="U10" s="44">
        <f t="shared" si="3"/>
        <v>25</v>
      </c>
      <c r="V10" s="44">
        <f t="shared" si="3"/>
        <v>38</v>
      </c>
      <c r="W10" s="44">
        <f t="shared" si="3"/>
        <v>74</v>
      </c>
      <c r="X10" s="44">
        <f t="shared" si="3"/>
        <v>44</v>
      </c>
      <c r="Y10" s="44">
        <f t="shared" si="3"/>
        <v>27</v>
      </c>
      <c r="Z10" s="44">
        <f t="shared" si="3"/>
        <v>52</v>
      </c>
      <c r="AA10" s="44">
        <f t="shared" si="3"/>
        <v>187</v>
      </c>
      <c r="AB10" s="44">
        <f t="shared" si="3"/>
        <v>305</v>
      </c>
      <c r="AC10" s="44">
        <f t="shared" si="3"/>
        <v>178</v>
      </c>
      <c r="AD10" s="44">
        <f t="shared" si="3"/>
        <v>123</v>
      </c>
      <c r="AE10" s="44">
        <f t="shared" si="3"/>
        <v>48</v>
      </c>
      <c r="AF10" s="44">
        <f t="shared" si="3"/>
        <v>13</v>
      </c>
      <c r="AG10" s="44">
        <f t="shared" si="3"/>
        <v>9</v>
      </c>
      <c r="AH10" s="44">
        <f t="shared" si="3"/>
        <v>12</v>
      </c>
      <c r="AI10" s="44">
        <f t="shared" si="3"/>
        <v>16</v>
      </c>
      <c r="AJ10" s="44">
        <f t="shared" si="3"/>
        <v>212</v>
      </c>
      <c r="AK10" s="44">
        <f t="shared" si="3"/>
        <v>355</v>
      </c>
      <c r="AL10" s="44">
        <f t="shared" si="3"/>
        <v>23</v>
      </c>
      <c r="AM10" s="44">
        <f t="shared" si="3"/>
        <v>6</v>
      </c>
      <c r="AN10" s="44">
        <f t="shared" si="3"/>
        <v>32</v>
      </c>
      <c r="AO10" s="44">
        <f t="shared" si="3"/>
        <v>87</v>
      </c>
      <c r="AP10" s="44">
        <f t="shared" si="3"/>
        <v>530</v>
      </c>
      <c r="AQ10" s="8">
        <f t="shared" si="3"/>
        <v>54</v>
      </c>
      <c r="AR10" s="8">
        <f t="shared" si="3"/>
        <v>5</v>
      </c>
      <c r="AS10" s="8">
        <f t="shared" si="3"/>
        <v>1</v>
      </c>
      <c r="AT10" s="8">
        <f t="shared" si="3"/>
        <v>1</v>
      </c>
      <c r="AU10" s="8">
        <f t="shared" si="3"/>
        <v>0</v>
      </c>
      <c r="AV10" s="8">
        <f t="shared" si="3"/>
        <v>2</v>
      </c>
      <c r="AW10" s="8">
        <f t="shared" si="3"/>
        <v>2</v>
      </c>
      <c r="AX10" s="8">
        <f t="shared" si="3"/>
        <v>6</v>
      </c>
      <c r="AY10" s="8">
        <f t="shared" si="3"/>
        <v>2</v>
      </c>
      <c r="AZ10" s="8">
        <f t="shared" si="3"/>
        <v>63</v>
      </c>
      <c r="BA10" s="8">
        <f t="shared" si="3"/>
        <v>0</v>
      </c>
      <c r="BB10" s="8">
        <f t="shared" si="3"/>
        <v>1</v>
      </c>
      <c r="BC10" s="8"/>
      <c r="BE10">
        <v>275000</v>
      </c>
      <c r="BF10">
        <f t="shared" si="2"/>
        <v>2025</v>
      </c>
    </row>
    <row r="11" spans="2:74" x14ac:dyDescent="0.3">
      <c r="D11" s="41"/>
      <c r="E11" s="41"/>
      <c r="F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BE11">
        <v>150000</v>
      </c>
      <c r="BF11">
        <f t="shared" si="2"/>
        <v>2026</v>
      </c>
    </row>
    <row r="12" spans="2:74" x14ac:dyDescent="0.3">
      <c r="B12" t="s">
        <v>1590</v>
      </c>
      <c r="C12" t="s">
        <v>1460</v>
      </c>
      <c r="D12" s="44">
        <f>SUMIFS(RV_m[RV],RV_m[CY],D5)*D8+D13</f>
        <v>0</v>
      </c>
      <c r="E12" s="44">
        <f>SUMIFS(RV_m[RV],RV_m[CY],E5)*E8+E13</f>
        <v>0</v>
      </c>
      <c r="F12" s="44">
        <f>SUMIFS(RV_m[RV],RV_m[CY],F5)*F8+F13</f>
        <v>0</v>
      </c>
      <c r="G12" s="8">
        <f>SUMIFS(RV_m[RV],RV_m[CY],G5)*G8+G13</f>
        <v>0</v>
      </c>
      <c r="H12" s="8">
        <f>SUMIFS(RV_m[RV],RV_m[CY],H5)*H8+H13</f>
        <v>0</v>
      </c>
      <c r="I12" s="8">
        <f>SUMIFS(RV_m[RV],RV_m[CY],I5)*I8+I13</f>
        <v>0</v>
      </c>
      <c r="J12" s="8">
        <f>SUMIFS(RV_m[RV],RV_m[CY],J5)*J8+J13</f>
        <v>0</v>
      </c>
      <c r="K12" s="8">
        <f>SUMIFS(RV_m[RV],RV_m[CY],K5)*K8+K13</f>
        <v>0</v>
      </c>
      <c r="L12" s="8">
        <f>SUMIFS(RV_m[RV],RV_m[CY],L5)*L8+L13</f>
        <v>0</v>
      </c>
      <c r="M12" s="8">
        <f>SUMIFS(RV_m[RV],RV_m[CY],M5)*M8+M13</f>
        <v>0</v>
      </c>
      <c r="N12" s="8">
        <f>SUMIFS(RV_m[RV],RV_m[CY],N5)*N8+N13</f>
        <v>0</v>
      </c>
      <c r="O12" s="8">
        <f>SUMIFS(RV_m[RV],RV_m[CY],O5)*O8+O13*-1</f>
        <v>0</v>
      </c>
      <c r="P12" s="8">
        <f>SUMIFS(RV_m[RV],RV_m[CY],P5)*P8+P13*-1</f>
        <v>0</v>
      </c>
      <c r="Q12" s="8">
        <f>SUMIFS(RV_m[RV],RV_m[CY],Q5)*Q8+Q13*-1</f>
        <v>0</v>
      </c>
      <c r="R12" s="8">
        <f>SUMIFS(RV_m[RV],RV_m[CY],R5)*R8+R13*-1</f>
        <v>0</v>
      </c>
      <c r="S12" s="44">
        <f>SUMIFS(RV_m[RV],RV_m[CY],S5)*S8+S13*-1</f>
        <v>0</v>
      </c>
      <c r="T12" s="44">
        <f>SUMIFS(RV_m[RV],RV_m[CY],T5)*T8+T13*-1</f>
        <v>0</v>
      </c>
      <c r="U12" s="44">
        <f>SUMIFS(RV_m[RV],RV_m[CY],U5)*U8+U13*-1</f>
        <v>0</v>
      </c>
      <c r="V12" s="44">
        <f>SUMIFS(RV_m[RV],RV_m[CY],V5)*V8+V13*-1</f>
        <v>0</v>
      </c>
      <c r="W12" s="44">
        <f>SUMIFS(RV_m[RV],RV_m[CY],W5)*W8+W13*-1</f>
        <v>0</v>
      </c>
      <c r="X12" s="44">
        <f>SUMIFS(RV_m[RV],RV_m[CY],X5)*X8+X13*-1</f>
        <v>0</v>
      </c>
      <c r="Y12" s="44">
        <f>SUMIFS(RV_m[RV],RV_m[CY],Y5)*Y8+Y13*-1</f>
        <v>0</v>
      </c>
      <c r="Z12" s="44">
        <f>SUMIFS(RV_m[RV],RV_m[CY],Z5)*Z8+Z13*-1</f>
        <v>0</v>
      </c>
      <c r="AA12" s="44">
        <f>SUMIFS(RV_m[RV],RV_m[CY],AA5)*AA8+AA13*-1</f>
        <v>0</v>
      </c>
      <c r="AB12" s="44">
        <f>SUMIFS(RV_m[RV],RV_m[CY],AB5)*AB8+AB13*-1</f>
        <v>0</v>
      </c>
      <c r="AC12" s="44">
        <f>SUMIFS(RV_m[RV],RV_m[CY],AC5)*AC8+AC13*-1</f>
        <v>0</v>
      </c>
      <c r="AD12" s="44">
        <f>SUMIFS(RV_m[RV],RV_m[CY],AD5)*AD8+AD13*-1</f>
        <v>0</v>
      </c>
      <c r="AE12" s="44">
        <f>SUMIFS(RV_m[RV],RV_m[CY],AE5)*AE8+AE13*-1</f>
        <v>0</v>
      </c>
      <c r="AF12" s="44">
        <f>SUMIFS(RV_m[RV],RV_m[CY],AF5)*AF8+AF13*-1</f>
        <v>0</v>
      </c>
      <c r="AG12" s="44">
        <f>SUMIFS(RV_m[RV],RV_m[CY],AG5)*AG8+AG13*-1</f>
        <v>0</v>
      </c>
      <c r="AH12" s="44">
        <f>SUMIFS(RV_m[RV],RV_m[CY],AH5)*AH8+AH13*-1</f>
        <v>0</v>
      </c>
      <c r="AI12" s="44">
        <f>SUMIFS(RV_m[RV],RV_m[CY],AI5)*AI8+AI13*-1</f>
        <v>0</v>
      </c>
      <c r="AJ12" s="44">
        <f>SUMIFS(RV_m[RV],RV_m[CY],AJ5)*AJ8+AJ13*-1</f>
        <v>0</v>
      </c>
      <c r="AK12" s="44">
        <f>SUMIFS(RV_m[RV],RV_m[CY],AK5)*AK8+AK13*-1</f>
        <v>0</v>
      </c>
      <c r="AL12" s="44">
        <f>SUMIFS(RV_m[RV],RV_m[CY],AL5)*AL8+AL13*-1</f>
        <v>0</v>
      </c>
      <c r="AM12" s="44">
        <f>SUMIFS(RV_m[RV],RV_m[CY],AM5)*AM8+AM13*-1</f>
        <v>0</v>
      </c>
      <c r="AN12" s="44">
        <f>SUMIFS(RV_m[RV],RV_m[CY],AN5)*AN8+AN13*-1</f>
        <v>0</v>
      </c>
      <c r="AO12" s="44">
        <f>SUMIFS(RV_m[RV],RV_m[CY],AO5)*AO8+AO13*-1</f>
        <v>0</v>
      </c>
      <c r="AP12" s="44">
        <f>SUMIFS(RV_m[RV],RV_m[CY],AP5)*AP8+AP13*-1</f>
        <v>0</v>
      </c>
      <c r="AQ12" s="8">
        <f>SUMIFS(RV_m[RV],RV_m[CY],AQ5)*AQ8+AQ13*-1</f>
        <v>0</v>
      </c>
      <c r="AR12" s="8">
        <f>SUMIFS(RV_m[RV],RV_m[CY],AR5)*AR8+AR13*-1</f>
        <v>0</v>
      </c>
      <c r="AS12" s="8">
        <f>SUMIFS(RV_m[RV],RV_m[CY],AS5)*AS8+AS13*-1</f>
        <v>0</v>
      </c>
      <c r="AT12" s="8">
        <f>SUMIFS(RV_m[RV],RV_m[CY],AT5)*AT8+AT13*-1</f>
        <v>0</v>
      </c>
      <c r="AU12" s="8">
        <f>SUMIFS(RV_m[RV],RV_m[CY],AU5)*AU8+AU13*-1</f>
        <v>0</v>
      </c>
      <c r="AV12" s="8">
        <f>SUMIFS(RV_m[RV],RV_m[CY],AV5)*AV8+AV13*-1</f>
        <v>0</v>
      </c>
      <c r="AW12" s="8">
        <f>SUMIFS(RV_m[RV],RV_m[CY],AW5)*AW8+AW13*-1</f>
        <v>0</v>
      </c>
      <c r="AX12" s="8">
        <f>SUMIFS(RV_m[RV],RV_m[CY],AX5)*AX8+AX13*-1</f>
        <v>0</v>
      </c>
      <c r="AY12" s="8">
        <f>SUMIFS(RV_m[RV],RV_m[CY],AY5)*AY8+AY13*-1</f>
        <v>0</v>
      </c>
      <c r="AZ12" s="8">
        <f>SUMIFS(RV_m[RV],RV_m[CY],AZ5)*AZ8+AZ13*-1</f>
        <v>0</v>
      </c>
      <c r="BA12" s="8">
        <f>SUMIFS(RV_m[RV],RV_m[CY],BA5)*BA8+BA13*-1</f>
        <v>0</v>
      </c>
      <c r="BB12" s="8">
        <f>SUMIFS(RV_m[RV],RV_m[CY],BB5)*BB8+BB13*-1</f>
        <v>0</v>
      </c>
      <c r="BC12" s="8"/>
      <c r="BE12">
        <v>150000</v>
      </c>
      <c r="BF12">
        <f t="shared" si="2"/>
        <v>2027</v>
      </c>
    </row>
    <row r="13" spans="2:74" x14ac:dyDescent="0.3">
      <c r="B13" t="s">
        <v>1591</v>
      </c>
      <c r="C13" t="s">
        <v>1460</v>
      </c>
      <c r="D13" s="44">
        <v>0</v>
      </c>
      <c r="E13" s="44">
        <v>0</v>
      </c>
      <c r="F13" s="44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8">
        <v>0</v>
      </c>
      <c r="AR13" s="8">
        <v>0</v>
      </c>
      <c r="AS13" s="8">
        <v>0</v>
      </c>
      <c r="AT13" s="8">
        <v>0</v>
      </c>
      <c r="AU13" s="8">
        <v>0</v>
      </c>
      <c r="AV13" s="8">
        <v>0</v>
      </c>
      <c r="AW13" s="8">
        <v>0</v>
      </c>
      <c r="AX13" s="8">
        <v>0</v>
      </c>
      <c r="AY13" s="8">
        <v>0</v>
      </c>
      <c r="AZ13" s="8">
        <v>0</v>
      </c>
      <c r="BA13" s="8">
        <v>0</v>
      </c>
      <c r="BB13" s="8">
        <v>0</v>
      </c>
      <c r="BC13" s="8"/>
      <c r="BE13">
        <v>150000</v>
      </c>
      <c r="BF13">
        <f t="shared" si="2"/>
        <v>2028</v>
      </c>
    </row>
    <row r="14" spans="2:74" x14ac:dyDescent="0.3">
      <c r="D14" s="41"/>
      <c r="E14" s="41"/>
      <c r="F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BE14">
        <v>150000</v>
      </c>
      <c r="BF14">
        <f t="shared" si="2"/>
        <v>2029</v>
      </c>
    </row>
    <row r="15" spans="2:74" x14ac:dyDescent="0.3">
      <c r="B15" t="s">
        <v>1592</v>
      </c>
      <c r="D15" s="44">
        <f>SUMIFS(RV_m[RV],RV_m[CY],D5)*D9+1000000*D9</f>
        <v>118680000</v>
      </c>
      <c r="E15" s="44">
        <f>SUMIFS(RV_m[RV],RV_m[CY],E5)*E9+1000000*E9</f>
        <v>52440000</v>
      </c>
      <c r="F15" s="44">
        <f>SUMIFS(RV_m[RV],RV_m[CY],F5)*F9+1000000*F9</f>
        <v>55200000</v>
      </c>
      <c r="G15" s="8">
        <f>380000*G9+1000000*G9</f>
        <v>48300000</v>
      </c>
      <c r="H15" s="8">
        <f t="shared" ref="H15:R15" si="4">380000*H9+1000000*H9</f>
        <v>40020000</v>
      </c>
      <c r="I15" s="8">
        <f t="shared" si="4"/>
        <v>35880000</v>
      </c>
      <c r="J15" s="8">
        <f t="shared" si="4"/>
        <v>82800000</v>
      </c>
      <c r="K15" s="8">
        <f t="shared" si="4"/>
        <v>44160000</v>
      </c>
      <c r="L15" s="8">
        <f t="shared" si="4"/>
        <v>35880000</v>
      </c>
      <c r="M15" s="8">
        <f t="shared" si="4"/>
        <v>53820000</v>
      </c>
      <c r="N15" s="8">
        <f t="shared" si="4"/>
        <v>106260000</v>
      </c>
      <c r="O15" s="8">
        <f t="shared" si="4"/>
        <v>56580000</v>
      </c>
      <c r="P15" s="8">
        <f t="shared" si="4"/>
        <v>86940000</v>
      </c>
      <c r="Q15" s="8">
        <f t="shared" si="4"/>
        <v>19320000</v>
      </c>
      <c r="R15" s="8">
        <f t="shared" si="4"/>
        <v>12420000</v>
      </c>
      <c r="S15" s="44">
        <f>SUMIFS(RV_m[RV],RV_m[CY],S5)*S9+1000000*S9</f>
        <v>35700000</v>
      </c>
      <c r="T15" s="44">
        <f>SUMIFS(RV_m[RV],RV_m[CY],T5)*T9+1000000*T9</f>
        <v>42075000</v>
      </c>
      <c r="U15" s="44">
        <f>SUMIFS(RV_m[RV],RV_m[CY],U5)*U9+1000000*U9</f>
        <v>31875000</v>
      </c>
      <c r="V15" s="44">
        <f>SUMIFS(RV_m[RV],RV_m[CY],V5)*V9+1000000*V9</f>
        <v>48450000</v>
      </c>
      <c r="W15" s="44">
        <f>SUMIFS(RV_m[RV],RV_m[CY],W5)*W9+1000000*W9</f>
        <v>94350000</v>
      </c>
      <c r="X15" s="44">
        <f>SUMIFS(RV_m[RV],RV_m[CY],X5)*X9+1000000*X9</f>
        <v>56100000</v>
      </c>
      <c r="Y15" s="44">
        <f>SUMIFS(RV_m[RV],RV_m[CY],Y5)*Y9+1000000*Y9</f>
        <v>34425000</v>
      </c>
      <c r="Z15" s="44">
        <f>SUMIFS(RV_m[RV],RV_m[CY],Z5)*Z9+1000000*Z9</f>
        <v>66300000</v>
      </c>
      <c r="AA15" s="44">
        <f>SUMIFS(RV_m[RV],RV_m[CY],AA5)*AA9+1000000*AA9</f>
        <v>238425000</v>
      </c>
      <c r="AB15" s="44">
        <f>SUMIFS(RV_m[RV],RV_m[CY],AB5)*AB9+1000000*AB9</f>
        <v>388875000</v>
      </c>
      <c r="AC15" s="44">
        <f>SUMIFS(RV_m[RV],RV_m[CY],AC5)*AC9+1000000*AC9</f>
        <v>226950000</v>
      </c>
      <c r="AD15" s="44">
        <f>SUMIFS(RV_m[RV],RV_m[CY],AD5)*AD9+1000000*AD9</f>
        <v>156825000</v>
      </c>
      <c r="AE15" s="44">
        <f>SUMIFS(RV_m[RV],RV_m[CY],AE5)*AE9+1000000*AE9</f>
        <v>61200000</v>
      </c>
      <c r="AF15" s="44">
        <f>SUMIFS(RV_m[RV],RV_m[CY],AF5)*AF9+1000000*AF9</f>
        <v>16575000</v>
      </c>
      <c r="AG15" s="44">
        <f>SUMIFS(RV_m[RV],RV_m[CY],AG5)*AG9+1000000*AG9</f>
        <v>11475000</v>
      </c>
      <c r="AH15" s="44">
        <f>SUMIFS(RV_m[RV],RV_m[CY],AH5)*AH9+1000000*AH9</f>
        <v>15300000</v>
      </c>
      <c r="AI15" s="44">
        <f>SUMIFS(RV_m[RV],RV_m[CY],AI5)*AI9+1000000*AI9</f>
        <v>20400000</v>
      </c>
      <c r="AJ15" s="44">
        <f>SUMIFS(RV_m[RV],RV_m[CY],AJ5)*AJ9+1000000*AJ9</f>
        <v>270300000</v>
      </c>
      <c r="AK15" s="44">
        <f>SUMIFS(RV_m[RV],RV_m[CY],AK5)*AK9+1000000*AK9</f>
        <v>452625000</v>
      </c>
      <c r="AL15" s="44">
        <f>SUMIFS(RV_m[RV],RV_m[CY],AL5)*AL9+1000000*AL9</f>
        <v>29325000</v>
      </c>
      <c r="AM15" s="44">
        <f>SUMIFS(RV_m[RV],RV_m[CY],AM5)*AM9+1000000*AM9</f>
        <v>7650000</v>
      </c>
      <c r="AN15" s="44">
        <f>SUMIFS(RV_m[RV],RV_m[CY],AN5)*AN9+1000000*AN9</f>
        <v>36800000</v>
      </c>
      <c r="AO15" s="44">
        <f>SUMIFS(RV_m[RV],RV_m[CY],AO5)*AO9+1000000*AO9</f>
        <v>100050000</v>
      </c>
      <c r="AP15" s="44">
        <f>SUMIFS(RV_m[RV],RV_m[CY],AP5)*AP9+1000000*AP9</f>
        <v>609500000</v>
      </c>
      <c r="AQ15" s="8">
        <f>SUMIFS(RV_m[RV],RV_m[CY],AQ5)*AQ9+1000000*AQ9</f>
        <v>62100000</v>
      </c>
      <c r="AR15" s="8">
        <f>SUMIFS(RV_m[RV],RV_m[CY],AR5)*AR9+1000000*AR9</f>
        <v>5750000</v>
      </c>
      <c r="AS15" s="8">
        <f>SUMIFS(RV_m[RV],RV_m[CY],AS5)*AS9+1000000*AS9</f>
        <v>1150000</v>
      </c>
      <c r="AT15" s="8">
        <f>SUMIFS(RV_m[RV],RV_m[CY],AT5)*AT9+1000000*AT9</f>
        <v>1150000</v>
      </c>
      <c r="AU15" s="8">
        <f>SUMIFS(RV_m[RV],RV_m[CY],AU5)*AU9+1000000*AU9</f>
        <v>0</v>
      </c>
      <c r="AV15" s="8">
        <f>SUMIFS(RV_m[RV],RV_m[CY],AV5)*AV9+1000000*AV9</f>
        <v>2300000</v>
      </c>
      <c r="AW15" s="8">
        <f>SUMIFS(RV_m[RV],RV_m[CY],AW5)*AW9+1000000*AW9</f>
        <v>2300000</v>
      </c>
      <c r="AX15" s="8">
        <f>SUMIFS(RV_m[RV],RV_m[CY],AX5)*AX9+1000000*AX9</f>
        <v>6900000</v>
      </c>
      <c r="AY15" s="8">
        <f>SUMIFS(RV_m[RV],RV_m[CY],AY5)*AY9+1000000*AY9</f>
        <v>2300000</v>
      </c>
      <c r="AZ15" s="8">
        <f>SUMIFS(RV_m[RV],RV_m[CY],AZ5)*AZ9+1000000*AZ9</f>
        <v>72450000</v>
      </c>
      <c r="BA15" s="8">
        <f>SUMIFS(RV_m[RV],RV_m[CY],BA5)*BA9+1000000*BA9</f>
        <v>0</v>
      </c>
      <c r="BB15" s="8">
        <f>SUMIFS(RV_m[RV],RV_m[CY],BB5)*BB9+1000000*BB9</f>
        <v>1150000</v>
      </c>
      <c r="BG15">
        <f>BG14+1</f>
        <v>1</v>
      </c>
      <c r="BK15" s="8">
        <f>SUM($G15:G15)</f>
        <v>48300000</v>
      </c>
      <c r="BL15" s="8">
        <f>SUM($G$15:H15)</f>
        <v>88320000</v>
      </c>
      <c r="BM15" s="8">
        <f>SUM($G$15:I15)</f>
        <v>124200000</v>
      </c>
      <c r="BN15" s="8">
        <f>SUM($G$15:J15)</f>
        <v>207000000</v>
      </c>
      <c r="BO15" s="8">
        <f>SUM($G$15:K15)</f>
        <v>251160000</v>
      </c>
      <c r="BP15" s="8">
        <f>SUM($G$15:L15)</f>
        <v>287040000</v>
      </c>
      <c r="BQ15" s="8">
        <f>SUM($G$15:M15)</f>
        <v>340860000</v>
      </c>
      <c r="BR15" s="8">
        <f>SUM($G$15:N15)</f>
        <v>447120000</v>
      </c>
      <c r="BS15" s="8">
        <f>SUM($G$15:O15)</f>
        <v>503700000</v>
      </c>
      <c r="BT15" s="8">
        <f>SUM($G$15:P15)</f>
        <v>590640000</v>
      </c>
      <c r="BU15" s="8">
        <f>SUM($G$15:Q15)</f>
        <v>609960000</v>
      </c>
      <c r="BV15" s="8">
        <f>SUM($G$15:R15)</f>
        <v>622380000</v>
      </c>
    </row>
    <row r="16" spans="2:74" x14ac:dyDescent="0.3">
      <c r="B16" t="s">
        <v>1593</v>
      </c>
      <c r="D16" s="44">
        <f>-1000000*D9</f>
        <v>-86000000</v>
      </c>
      <c r="E16" s="44">
        <f t="shared" ref="E16:BB16" si="5">-1000000*E9</f>
        <v>-38000000</v>
      </c>
      <c r="F16" s="44">
        <f t="shared" si="5"/>
        <v>-40000000</v>
      </c>
      <c r="G16" s="8">
        <f t="shared" si="5"/>
        <v>-35000000</v>
      </c>
      <c r="H16" s="8">
        <f t="shared" si="5"/>
        <v>-29000000</v>
      </c>
      <c r="I16" s="8">
        <f t="shared" si="5"/>
        <v>-26000000</v>
      </c>
      <c r="J16" s="8">
        <f t="shared" si="5"/>
        <v>-60000000</v>
      </c>
      <c r="K16" s="8">
        <f t="shared" si="5"/>
        <v>-32000000</v>
      </c>
      <c r="L16" s="8">
        <f t="shared" si="5"/>
        <v>-26000000</v>
      </c>
      <c r="M16" s="8">
        <f t="shared" si="5"/>
        <v>-39000000</v>
      </c>
      <c r="N16" s="8">
        <f t="shared" si="5"/>
        <v>-77000000</v>
      </c>
      <c r="O16" s="8">
        <f t="shared" si="5"/>
        <v>-41000000</v>
      </c>
      <c r="P16" s="8">
        <f t="shared" si="5"/>
        <v>-63000000</v>
      </c>
      <c r="Q16" s="8">
        <f t="shared" si="5"/>
        <v>-14000000</v>
      </c>
      <c r="R16" s="8">
        <f t="shared" si="5"/>
        <v>-9000000</v>
      </c>
      <c r="S16" s="44">
        <f t="shared" si="5"/>
        <v>-28000000</v>
      </c>
      <c r="T16" s="44">
        <f t="shared" si="5"/>
        <v>-33000000</v>
      </c>
      <c r="U16" s="44">
        <f t="shared" si="5"/>
        <v>-25000000</v>
      </c>
      <c r="V16" s="44">
        <f t="shared" si="5"/>
        <v>-38000000</v>
      </c>
      <c r="W16" s="44">
        <f t="shared" si="5"/>
        <v>-74000000</v>
      </c>
      <c r="X16" s="44">
        <f t="shared" si="5"/>
        <v>-44000000</v>
      </c>
      <c r="Y16" s="44">
        <f t="shared" si="5"/>
        <v>-27000000</v>
      </c>
      <c r="Z16" s="44">
        <f t="shared" si="5"/>
        <v>-52000000</v>
      </c>
      <c r="AA16" s="44">
        <f t="shared" si="5"/>
        <v>-187000000</v>
      </c>
      <c r="AB16" s="44">
        <f t="shared" si="5"/>
        <v>-305000000</v>
      </c>
      <c r="AC16" s="44">
        <f t="shared" si="5"/>
        <v>-178000000</v>
      </c>
      <c r="AD16" s="44">
        <f t="shared" si="5"/>
        <v>-123000000</v>
      </c>
      <c r="AE16" s="44">
        <f t="shared" si="5"/>
        <v>-48000000</v>
      </c>
      <c r="AF16" s="44">
        <f t="shared" si="5"/>
        <v>-13000000</v>
      </c>
      <c r="AG16" s="44">
        <f t="shared" si="5"/>
        <v>-9000000</v>
      </c>
      <c r="AH16" s="44">
        <f t="shared" si="5"/>
        <v>-12000000</v>
      </c>
      <c r="AI16" s="44">
        <f t="shared" si="5"/>
        <v>-16000000</v>
      </c>
      <c r="AJ16" s="44">
        <f t="shared" si="5"/>
        <v>-212000000</v>
      </c>
      <c r="AK16" s="44">
        <f t="shared" si="5"/>
        <v>-355000000</v>
      </c>
      <c r="AL16" s="44">
        <f t="shared" si="5"/>
        <v>-23000000</v>
      </c>
      <c r="AM16" s="44">
        <f t="shared" si="5"/>
        <v>-6000000</v>
      </c>
      <c r="AN16" s="44">
        <f t="shared" si="5"/>
        <v>-32000000</v>
      </c>
      <c r="AO16" s="44">
        <f t="shared" si="5"/>
        <v>-87000000</v>
      </c>
      <c r="AP16" s="44">
        <f t="shared" si="5"/>
        <v>-530000000</v>
      </c>
      <c r="AQ16" s="8">
        <f t="shared" si="5"/>
        <v>-54000000</v>
      </c>
      <c r="AR16" s="8">
        <f t="shared" si="5"/>
        <v>-5000000</v>
      </c>
      <c r="AS16" s="8">
        <f t="shared" si="5"/>
        <v>-1000000</v>
      </c>
      <c r="AT16" s="8">
        <f t="shared" si="5"/>
        <v>-1000000</v>
      </c>
      <c r="AU16" s="8">
        <f t="shared" si="5"/>
        <v>0</v>
      </c>
      <c r="AV16" s="8">
        <f t="shared" si="5"/>
        <v>-2000000</v>
      </c>
      <c r="AW16" s="8">
        <f t="shared" si="5"/>
        <v>-2000000</v>
      </c>
      <c r="AX16" s="8">
        <f t="shared" si="5"/>
        <v>-6000000</v>
      </c>
      <c r="AY16" s="8">
        <f t="shared" si="5"/>
        <v>-2000000</v>
      </c>
      <c r="AZ16" s="8">
        <f t="shared" si="5"/>
        <v>-63000000</v>
      </c>
      <c r="BA16" s="8">
        <f t="shared" si="5"/>
        <v>0</v>
      </c>
      <c r="BB16" s="8">
        <f t="shared" si="5"/>
        <v>-1000000</v>
      </c>
      <c r="BK16" s="8">
        <f>SUM($G16:G16)</f>
        <v>-35000000</v>
      </c>
      <c r="BL16" s="8">
        <f>SUM($G16:H16)</f>
        <v>-64000000</v>
      </c>
      <c r="BM16" s="8">
        <f>SUM($G16:I16)</f>
        <v>-90000000</v>
      </c>
      <c r="BN16" s="8">
        <f>SUM($G16:J16)</f>
        <v>-150000000</v>
      </c>
      <c r="BO16" s="8">
        <f>SUM($G16:K16)</f>
        <v>-182000000</v>
      </c>
      <c r="BP16" s="8">
        <f>SUM($G16:L16)</f>
        <v>-208000000</v>
      </c>
      <c r="BQ16" s="8">
        <f>SUM($G16:M16)</f>
        <v>-247000000</v>
      </c>
      <c r="BR16" s="8">
        <f>SUM($G16:N16)</f>
        <v>-324000000</v>
      </c>
      <c r="BS16" s="8">
        <f>SUM($G16:O16)</f>
        <v>-365000000</v>
      </c>
      <c r="BT16" s="8">
        <f>SUM($G16:P16)</f>
        <v>-428000000</v>
      </c>
      <c r="BU16" s="8">
        <f>SUM($G16:Q16)</f>
        <v>-442000000</v>
      </c>
      <c r="BV16" s="8">
        <f>SUM($G16:R16)</f>
        <v>-451000000</v>
      </c>
    </row>
    <row r="17" spans="2:74" x14ac:dyDescent="0.3">
      <c r="D17" s="41"/>
      <c r="E17" s="41"/>
      <c r="F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8"/>
      <c r="AR17" s="8"/>
      <c r="AS17" s="8"/>
      <c r="AT17" s="8"/>
      <c r="AU17" s="8"/>
      <c r="AV17" s="8"/>
      <c r="AW17" s="8"/>
    </row>
    <row r="18" spans="2:74" x14ac:dyDescent="0.3">
      <c r="B18" t="s">
        <v>1594</v>
      </c>
      <c r="D18" s="41">
        <f>-15000*D10</f>
        <v>-1290000</v>
      </c>
      <c r="E18" s="41">
        <f t="shared" ref="E18:V18" si="6">-15000*E10</f>
        <v>-570000</v>
      </c>
      <c r="F18" s="41">
        <f t="shared" si="6"/>
        <v>-600000</v>
      </c>
      <c r="G18">
        <f t="shared" si="6"/>
        <v>-525000</v>
      </c>
      <c r="H18">
        <f t="shared" si="6"/>
        <v>-435000</v>
      </c>
      <c r="I18">
        <f t="shared" si="6"/>
        <v>-390000</v>
      </c>
      <c r="J18">
        <f t="shared" si="6"/>
        <v>-900000</v>
      </c>
      <c r="K18">
        <f t="shared" si="6"/>
        <v>-480000</v>
      </c>
      <c r="L18">
        <f t="shared" si="6"/>
        <v>-390000</v>
      </c>
      <c r="M18">
        <f t="shared" si="6"/>
        <v>-585000</v>
      </c>
      <c r="N18">
        <f t="shared" si="6"/>
        <v>-1155000</v>
      </c>
      <c r="O18">
        <f t="shared" si="6"/>
        <v>-615000</v>
      </c>
      <c r="P18">
        <f t="shared" si="6"/>
        <v>-945000</v>
      </c>
      <c r="Q18">
        <f t="shared" si="6"/>
        <v>-210000</v>
      </c>
      <c r="R18">
        <f t="shared" si="6"/>
        <v>-135000</v>
      </c>
      <c r="S18" s="41">
        <f t="shared" si="6"/>
        <v>-420000</v>
      </c>
      <c r="T18" s="41">
        <f t="shared" si="6"/>
        <v>-495000</v>
      </c>
      <c r="U18" s="41">
        <f t="shared" si="6"/>
        <v>-375000</v>
      </c>
      <c r="V18" s="41">
        <f t="shared" si="6"/>
        <v>-570000</v>
      </c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BK18" s="8">
        <f>SUM($G18:G18)</f>
        <v>-525000</v>
      </c>
      <c r="BL18" s="8">
        <f>SUM($G18:H18)</f>
        <v>-960000</v>
      </c>
      <c r="BM18" s="8">
        <f>SUM($G18:I18)</f>
        <v>-1350000</v>
      </c>
      <c r="BN18" s="8">
        <f>SUM($G18:J18)</f>
        <v>-2250000</v>
      </c>
      <c r="BO18" s="8">
        <f>SUM($G18:K18)</f>
        <v>-2730000</v>
      </c>
      <c r="BP18" s="8">
        <f>SUM($G18:L18)</f>
        <v>-3120000</v>
      </c>
      <c r="BQ18" s="8">
        <f>SUM($G18:M18)</f>
        <v>-3705000</v>
      </c>
      <c r="BR18" s="8">
        <f>SUM($G18:N18)</f>
        <v>-4860000</v>
      </c>
      <c r="BS18" s="8">
        <f>SUM($G18:O18)</f>
        <v>-5475000</v>
      </c>
      <c r="BT18" s="8">
        <f>SUM($G18:P18)</f>
        <v>-6420000</v>
      </c>
      <c r="BU18" s="8">
        <f>SUM($G18:Q18)</f>
        <v>-6630000</v>
      </c>
      <c r="BV18" s="8">
        <f>SUM($G18:R18)</f>
        <v>-6765000</v>
      </c>
    </row>
    <row r="19" spans="2:74" x14ac:dyDescent="0.3">
      <c r="D19" s="41"/>
      <c r="E19" s="41"/>
      <c r="F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74" x14ac:dyDescent="0.3">
      <c r="D20" s="41"/>
      <c r="E20" s="41"/>
      <c r="F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74" x14ac:dyDescent="0.3">
      <c r="B21" t="s">
        <v>1575</v>
      </c>
      <c r="D21" s="44">
        <v>-432065.93463473622</v>
      </c>
      <c r="E21" s="44">
        <v>-390387.54865710885</v>
      </c>
      <c r="F21" s="44">
        <v>-390387.54865710885</v>
      </c>
      <c r="G21" s="8">
        <v>-390387.54865710885</v>
      </c>
      <c r="H21" s="8">
        <v>-390387.54865710885</v>
      </c>
      <c r="I21" s="8">
        <v>-390387.54865710885</v>
      </c>
      <c r="J21" s="8">
        <v>-407267.29497804795</v>
      </c>
      <c r="K21" s="8">
        <v>-407267.29497804795</v>
      </c>
      <c r="L21" s="8">
        <v>-407267.29497804795</v>
      </c>
      <c r="M21" s="8">
        <v>-407267.29497804795</v>
      </c>
      <c r="N21" s="8">
        <v>-407267.29497804795</v>
      </c>
      <c r="O21" s="8">
        <v>-407267.29497804795</v>
      </c>
      <c r="P21" s="8">
        <v>-407267.29497804795</v>
      </c>
      <c r="Q21" s="8">
        <v>-407267.29497804795</v>
      </c>
      <c r="R21" s="8">
        <v>-407267.29497804795</v>
      </c>
      <c r="S21" s="44">
        <v>-407267.29497804795</v>
      </c>
      <c r="T21" s="44">
        <v>-407267.29497804795</v>
      </c>
      <c r="U21" s="44">
        <v>-407267.29497804795</v>
      </c>
      <c r="V21" s="44">
        <v>-390387.54865710885</v>
      </c>
      <c r="W21" s="44">
        <v>-390387.54865710885</v>
      </c>
      <c r="X21" s="44">
        <v>-390387.54865710885</v>
      </c>
      <c r="Y21" s="44">
        <v>-390387.54865710885</v>
      </c>
      <c r="Z21" s="44">
        <v>-390387.54865710885</v>
      </c>
      <c r="AA21" s="44">
        <v>-390387.54865710885</v>
      </c>
      <c r="AB21" s="44">
        <v>-390387.54865710885</v>
      </c>
      <c r="AC21" s="44">
        <v>-390387.54865710885</v>
      </c>
      <c r="AD21" s="44">
        <v>-390387.54865710885</v>
      </c>
      <c r="AE21" s="44">
        <v>-390387.54865710885</v>
      </c>
      <c r="AF21" s="44">
        <v>-390387.54865710885</v>
      </c>
      <c r="AG21" s="44">
        <v>-390387.54865710885</v>
      </c>
      <c r="AH21" s="44">
        <v>-390387.54865710885</v>
      </c>
      <c r="AI21" s="44">
        <v>-390387.54865710885</v>
      </c>
      <c r="AJ21" s="44">
        <v>-390387.54865710885</v>
      </c>
      <c r="AK21" s="44">
        <v>-390387.54865710885</v>
      </c>
      <c r="AL21" s="44">
        <v>-390387.54865710885</v>
      </c>
      <c r="AM21" s="44">
        <v>-390387.54865710885</v>
      </c>
      <c r="AN21" s="44">
        <v>-390387.54865710885</v>
      </c>
      <c r="AO21" s="44">
        <v>-390387.54865710885</v>
      </c>
      <c r="AP21" s="44">
        <v>-390387.54865710885</v>
      </c>
      <c r="AQ21" s="8">
        <v>0</v>
      </c>
      <c r="AR21" s="8">
        <v>0</v>
      </c>
      <c r="AS21" s="8">
        <v>0</v>
      </c>
      <c r="AT21" s="8">
        <v>0</v>
      </c>
      <c r="AU21" s="8">
        <v>0</v>
      </c>
      <c r="AV21" s="8">
        <v>0</v>
      </c>
      <c r="AW21" s="8">
        <v>0</v>
      </c>
      <c r="AX21" s="8">
        <v>0</v>
      </c>
      <c r="AY21" s="8">
        <v>0</v>
      </c>
      <c r="AZ21" s="8">
        <v>0</v>
      </c>
      <c r="BK21" s="8">
        <f>SUM($G21:G23)</f>
        <v>-2354266.8038651715</v>
      </c>
      <c r="BL21" s="8">
        <f>SUM($G21:H23)</f>
        <v>-4708533.607730343</v>
      </c>
      <c r="BM21" s="8">
        <f>SUM($G21:I23)</f>
        <v>-7082800.411595514</v>
      </c>
      <c r="BN21" s="8">
        <f>SUM($G21:J23)</f>
        <v>-9497048.5738819037</v>
      </c>
      <c r="BO21" s="8">
        <f>SUM($G21:K23)</f>
        <v>-11911296.736168293</v>
      </c>
      <c r="BP21" s="8">
        <f>SUM($G21:L23)</f>
        <v>-14445544.898454683</v>
      </c>
      <c r="BQ21" s="8">
        <f>SUM($G21:M23)</f>
        <v>-16859793.060741071</v>
      </c>
      <c r="BR21" s="8">
        <f>SUM($G21:N23)</f>
        <v>-19304041.223027457</v>
      </c>
      <c r="BS21" s="8">
        <f>SUM($G21:O23)</f>
        <v>-21738289.385313846</v>
      </c>
      <c r="BT21" s="8">
        <f>SUM($G21:P23)</f>
        <v>-24152537.547600236</v>
      </c>
      <c r="BU21" s="8">
        <f>SUM($G21:Q23)</f>
        <v>-26566785.709886625</v>
      </c>
      <c r="BV21" s="8">
        <f>SUM($G21:R23)</f>
        <v>-29000933.872173011</v>
      </c>
    </row>
    <row r="22" spans="2:74" x14ac:dyDescent="0.3">
      <c r="B22" t="s">
        <v>1576</v>
      </c>
      <c r="D22" s="44">
        <v>-1103259.371455661</v>
      </c>
      <c r="E22" s="44">
        <v>-996835.63787472935</v>
      </c>
      <c r="F22" s="44">
        <v>-996835.63787472935</v>
      </c>
      <c r="G22" s="8">
        <v>-996835.63787472935</v>
      </c>
      <c r="H22" s="8">
        <v>-996835.63787472935</v>
      </c>
      <c r="I22" s="8">
        <v>-996835.63787472935</v>
      </c>
      <c r="J22" s="8">
        <v>-1039937.2499750068</v>
      </c>
      <c r="K22" s="8">
        <v>-1039937.2499750068</v>
      </c>
      <c r="L22" s="8">
        <v>-1039937.2499750068</v>
      </c>
      <c r="M22" s="8">
        <v>-1039937.2499750068</v>
      </c>
      <c r="N22" s="8">
        <v>-1039937.2499750068</v>
      </c>
      <c r="O22" s="8">
        <v>-1039937.2499750068</v>
      </c>
      <c r="P22" s="8">
        <v>-1039937.2499750068</v>
      </c>
      <c r="Q22" s="8">
        <v>-1039937.2499750068</v>
      </c>
      <c r="R22" s="8">
        <v>-1039937.2499750068</v>
      </c>
      <c r="S22" s="44">
        <v>-1039937.2499750068</v>
      </c>
      <c r="T22" s="44">
        <v>-1039937.2499750068</v>
      </c>
      <c r="U22" s="44">
        <v>-1039937.2499750068</v>
      </c>
      <c r="V22" s="44">
        <v>-996835.63787472935</v>
      </c>
      <c r="W22" s="44">
        <v>-996835.63787472935</v>
      </c>
      <c r="X22" s="44">
        <v>-996835.63787472935</v>
      </c>
      <c r="Y22" s="44">
        <v>-996835.63787472935</v>
      </c>
      <c r="Z22" s="44">
        <v>-996835.63787472935</v>
      </c>
      <c r="AA22" s="44">
        <v>-996835.63787472935</v>
      </c>
      <c r="AB22" s="44">
        <v>-996835.63787472935</v>
      </c>
      <c r="AC22" s="44">
        <v>-996835.63787472935</v>
      </c>
      <c r="AD22" s="44">
        <v>-996835.63787472935</v>
      </c>
      <c r="AE22" s="44">
        <v>-996835.63787472935</v>
      </c>
      <c r="AF22" s="44">
        <v>-996835.63787472935</v>
      </c>
      <c r="AG22" s="44">
        <v>-996835.63787472935</v>
      </c>
      <c r="AH22" s="44">
        <v>-996835.63787472935</v>
      </c>
      <c r="AI22" s="44">
        <v>-996835.63787472935</v>
      </c>
      <c r="AJ22" s="44">
        <v>-996835.63787472935</v>
      </c>
      <c r="AK22" s="44">
        <v>-996835.63787472935</v>
      </c>
      <c r="AL22" s="44">
        <v>-996835.63787472935</v>
      </c>
      <c r="AM22" s="44">
        <v>-996835.63787472935</v>
      </c>
      <c r="AN22" s="44">
        <v>-996835.63787472935</v>
      </c>
      <c r="AO22" s="44">
        <v>-996835.63787472935</v>
      </c>
      <c r="AP22" s="44">
        <v>-996835.63787472935</v>
      </c>
      <c r="AQ22" s="8">
        <v>0</v>
      </c>
      <c r="AR22" s="8">
        <v>0</v>
      </c>
      <c r="AS22" s="8">
        <v>0</v>
      </c>
      <c r="AT22" s="8">
        <v>0</v>
      </c>
      <c r="AU22" s="8">
        <v>0</v>
      </c>
      <c r="AV22" s="8">
        <v>0</v>
      </c>
      <c r="AW22" s="8">
        <v>0</v>
      </c>
      <c r="AX22" s="8">
        <v>0</v>
      </c>
      <c r="AY22" s="8">
        <v>0</v>
      </c>
      <c r="AZ22" s="8">
        <v>0</v>
      </c>
    </row>
    <row r="23" spans="2:74" x14ac:dyDescent="0.3">
      <c r="B23" t="s">
        <v>1577</v>
      </c>
      <c r="D23" s="44">
        <v>-986629.59400000004</v>
      </c>
      <c r="E23" s="44">
        <v>-904238.3559999998</v>
      </c>
      <c r="F23" s="44">
        <v>-939238.3559999998</v>
      </c>
      <c r="G23" s="8">
        <v>-967043.61733333324</v>
      </c>
      <c r="H23" s="8">
        <v>-967043.61733333324</v>
      </c>
      <c r="I23" s="8">
        <v>-987043.61733333324</v>
      </c>
      <c r="J23" s="8">
        <v>-967043.61733333324</v>
      </c>
      <c r="K23" s="8">
        <v>-967043.61733333324</v>
      </c>
      <c r="L23" s="8">
        <v>-1087043.6173333332</v>
      </c>
      <c r="M23" s="8">
        <v>-967043.61733333324</v>
      </c>
      <c r="N23" s="8">
        <v>-997043.61733333324</v>
      </c>
      <c r="O23" s="8">
        <v>-987043.61733333324</v>
      </c>
      <c r="P23" s="8">
        <v>-967043.61733333324</v>
      </c>
      <c r="Q23" s="8">
        <v>-967043.61733333324</v>
      </c>
      <c r="R23" s="8">
        <v>-986943.61733333324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8"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v>0</v>
      </c>
      <c r="AX23" s="8">
        <v>0</v>
      </c>
      <c r="AY23" s="8">
        <v>0</v>
      </c>
      <c r="AZ23" s="8">
        <v>0</v>
      </c>
    </row>
    <row r="24" spans="2:74" x14ac:dyDescent="0.3">
      <c r="D24" s="41"/>
      <c r="E24" s="41"/>
      <c r="F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74" x14ac:dyDescent="0.3">
      <c r="D25" s="41"/>
      <c r="E25" s="41"/>
      <c r="F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74" x14ac:dyDescent="0.3">
      <c r="D26" s="41"/>
      <c r="E26" s="41"/>
      <c r="F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74" x14ac:dyDescent="0.3">
      <c r="D27" s="41"/>
      <c r="E27" s="41"/>
      <c r="F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74" x14ac:dyDescent="0.3">
      <c r="D28" s="41"/>
      <c r="E28" s="41"/>
      <c r="F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</row>
    <row r="29" spans="2:74" x14ac:dyDescent="0.3">
      <c r="D29" s="41"/>
      <c r="E29" s="41"/>
      <c r="F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74" x14ac:dyDescent="0.3">
      <c r="D30" s="41"/>
      <c r="E30" s="41"/>
      <c r="F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74" x14ac:dyDescent="0.3">
      <c r="B31" t="s">
        <v>1390</v>
      </c>
      <c r="D31" s="44">
        <f>SUMIF(D$12:D30,"&gt;0",D$12:D30)</f>
        <v>118680000</v>
      </c>
      <c r="E31" s="44">
        <f>SUMIF(E$12:E30,"&gt;0",E$12:E30)</f>
        <v>52440000</v>
      </c>
      <c r="F31" s="44">
        <f>SUMIF(F$12:F30,"&gt;0",F$12:F30)</f>
        <v>55200000</v>
      </c>
      <c r="G31" s="8">
        <f>SUMIF(G$12:G30,"&gt;0",G$12:G30)</f>
        <v>48300000</v>
      </c>
      <c r="H31" s="8">
        <f>SUMIF(H$12:H30,"&gt;0",H$12:H30)</f>
        <v>40020000</v>
      </c>
      <c r="I31" s="8">
        <f>SUMIF(I$12:I30,"&gt;0",I$12:I30)</f>
        <v>35880000</v>
      </c>
      <c r="J31" s="8">
        <f>SUMIF(J$12:J30,"&gt;0",J$12:J30)</f>
        <v>82800000</v>
      </c>
      <c r="K31" s="8">
        <f>SUMIF(K$12:K30,"&gt;0",K$12:K30)</f>
        <v>44160000</v>
      </c>
      <c r="L31" s="8">
        <f>SUMIF(L$12:L30,"&gt;0",L$12:L30)</f>
        <v>35880000</v>
      </c>
      <c r="M31" s="8">
        <f>SUMIF(M$12:M30,"&gt;0",M$12:M30)</f>
        <v>53820000</v>
      </c>
      <c r="N31" s="8">
        <f>SUMIF(N$12:N30,"&gt;0",N$12:N30)</f>
        <v>106260000</v>
      </c>
      <c r="O31" s="8">
        <f>SUMIF(O$12:O30,"&gt;0",O$12:O30)</f>
        <v>56580000</v>
      </c>
      <c r="P31" s="8">
        <f>SUMIF(P$12:P30,"&gt;0",P$12:P30)</f>
        <v>86940000</v>
      </c>
      <c r="Q31" s="8">
        <f>SUMIF(Q$12:Q30,"&gt;0",Q$12:Q30)</f>
        <v>19320000</v>
      </c>
      <c r="R31" s="8">
        <f>SUMIF(R$12:R30,"&gt;0",R$12:R30)</f>
        <v>12420000</v>
      </c>
      <c r="S31" s="44">
        <f>SUMIF(S$12:S30,"&gt;0",S$12:S30)</f>
        <v>35700000</v>
      </c>
      <c r="T31" s="44">
        <f>SUMIF(T$12:T30,"&gt;0",T$12:T30)</f>
        <v>42075000</v>
      </c>
      <c r="U31" s="44">
        <f>SUMIF(U$12:U30,"&gt;0",U$12:U30)</f>
        <v>31875000</v>
      </c>
      <c r="V31" s="44">
        <f>SUMIF(V$12:V30,"&gt;0",V$12:V30)</f>
        <v>48450000</v>
      </c>
      <c r="W31" s="44">
        <f>SUMIF(W$12:W30,"&gt;0",W$12:W30)</f>
        <v>94350000</v>
      </c>
      <c r="X31" s="44">
        <f>SUMIF(X$12:X30,"&gt;0",X$12:X30)</f>
        <v>56100000</v>
      </c>
      <c r="Y31" s="44">
        <f>SUMIF(Y$12:Y30,"&gt;0",Y$12:Y30)</f>
        <v>34425000</v>
      </c>
      <c r="Z31" s="44">
        <f>SUMIF(Z$12:Z30,"&gt;0",Z$12:Z30)</f>
        <v>66300000</v>
      </c>
      <c r="AA31" s="44">
        <f>SUMIF(AA$12:AA30,"&gt;0",AA$12:AA30)</f>
        <v>238425000</v>
      </c>
      <c r="AB31" s="44">
        <f>SUMIF(AB$12:AB30,"&gt;0",AB$12:AB30)</f>
        <v>388875000</v>
      </c>
      <c r="AC31" s="44">
        <f>SUMIF(AC$12:AC30,"&gt;0",AC$12:AC30)</f>
        <v>226950000</v>
      </c>
      <c r="AD31" s="44">
        <f>SUMIF(AD$12:AD30,"&gt;0",AD$12:AD30)</f>
        <v>156825000</v>
      </c>
      <c r="AE31" s="44">
        <f>SUMIF(AE$12:AE30,"&gt;0",AE$12:AE30)</f>
        <v>61200000</v>
      </c>
      <c r="AF31" s="44">
        <f>SUMIF(AF$12:AF30,"&gt;0",AF$12:AF30)</f>
        <v>16575000</v>
      </c>
      <c r="AG31" s="44">
        <f>SUMIF(AG$12:AG30,"&gt;0",AG$12:AG30)</f>
        <v>11475000</v>
      </c>
      <c r="AH31" s="44">
        <f>SUMIF(AH$12:AH30,"&gt;0",AH$12:AH30)</f>
        <v>15300000</v>
      </c>
      <c r="AI31" s="44">
        <f>SUMIF(AI$12:AI30,"&gt;0",AI$12:AI30)</f>
        <v>20400000</v>
      </c>
      <c r="AJ31" s="44">
        <f>SUMIF(AJ$12:AJ30,"&gt;0",AJ$12:AJ30)</f>
        <v>270300000</v>
      </c>
      <c r="AK31" s="44">
        <f>SUMIF(AK$12:AK30,"&gt;0",AK$12:AK30)</f>
        <v>452625000</v>
      </c>
      <c r="AL31" s="44">
        <f>SUMIF(AL$12:AL30,"&gt;0",AL$12:AL30)</f>
        <v>29325000</v>
      </c>
      <c r="AM31" s="44">
        <f>SUMIF(AM$12:AM30,"&gt;0",AM$12:AM30)</f>
        <v>7650000</v>
      </c>
      <c r="AN31" s="44">
        <f>SUMIF(AN$12:AN30,"&gt;0",AN$12:AN30)</f>
        <v>36800000</v>
      </c>
      <c r="AO31" s="44">
        <f>SUMIF(AO$12:AO30,"&gt;0",AO$12:AO30)</f>
        <v>100050000</v>
      </c>
      <c r="AP31" s="44">
        <f>SUMIF(AP$12:AP30,"&gt;0",AP$12:AP30)</f>
        <v>609500000</v>
      </c>
      <c r="AQ31" s="8">
        <f>SUMIF(AQ$12:AQ30,"&gt;0",AQ$12:AQ30)</f>
        <v>62100000</v>
      </c>
      <c r="AR31" s="8">
        <f>SUMIF(AR$12:AR30,"&gt;0",AR$12:AR30)</f>
        <v>5750000</v>
      </c>
      <c r="AS31" s="8">
        <f>SUMIF(AS$12:AS30,"&gt;0",AS$12:AS30)</f>
        <v>1150000</v>
      </c>
      <c r="AT31" s="8">
        <f>SUMIF(AT$12:AT30,"&gt;0",AT$12:AT30)</f>
        <v>1150000</v>
      </c>
      <c r="AU31" s="8">
        <f>SUMIF(AU$12:AU30,"&gt;0",AU$12:AU30)</f>
        <v>0</v>
      </c>
      <c r="AV31" s="8">
        <f>SUMIF(AV$12:AV30,"&gt;0",AV$12:AV30)</f>
        <v>2300000</v>
      </c>
      <c r="AW31" s="8">
        <f>SUMIF(AW$12:AW30,"&gt;0",AW$12:AW30)</f>
        <v>2300000</v>
      </c>
      <c r="AX31" s="8">
        <f>SUMIF(AX$12:AX30,"&gt;0",AX$12:AX30)</f>
        <v>6900000</v>
      </c>
      <c r="AY31" s="8">
        <f>SUMIF(AY$12:AY30,"&gt;0",AY$12:AY30)</f>
        <v>2300000</v>
      </c>
      <c r="AZ31" s="8">
        <f>SUMIF(AZ$12:AZ30,"&gt;0",AZ$12:AZ30)</f>
        <v>72450000</v>
      </c>
      <c r="BA31" s="8">
        <f>SUMIF(BA$12:BA30,"&gt;0",BA$12:BA30)</f>
        <v>0</v>
      </c>
      <c r="BB31" s="8">
        <f>SUMIF(BB$12:BB30,"&gt;0",BB$12:BB30)</f>
        <v>1150000</v>
      </c>
      <c r="BC31" s="8"/>
    </row>
    <row r="32" spans="2:74" x14ac:dyDescent="0.3">
      <c r="B32" t="s">
        <v>1400</v>
      </c>
      <c r="D32" s="44">
        <f>SUMIF(D$12:D30,"&lt;0",D$12:D30)</f>
        <v>-89811954.900090382</v>
      </c>
      <c r="E32" s="44">
        <f>SUMIF(E$12:E30,"&lt;0",E$12:E30)</f>
        <v>-40861461.542531841</v>
      </c>
      <c r="F32" s="44">
        <f>SUMIF(F$12:F30,"&lt;0",F$12:F30)</f>
        <v>-42926461.542531841</v>
      </c>
      <c r="G32" s="8">
        <f>SUMIF(G$12:G30,"&lt;0",G$12:G30)</f>
        <v>-37879266.803865172</v>
      </c>
      <c r="H32" s="8">
        <f>SUMIF(H$12:H30,"&lt;0",H$12:H30)</f>
        <v>-31789266.803865172</v>
      </c>
      <c r="I32" s="8">
        <f>SUMIF(I$12:I30,"&lt;0",I$12:I30)</f>
        <v>-28764266.803865172</v>
      </c>
      <c r="J32" s="8">
        <f>SUMIF(J$12:J30,"&lt;0",J$12:J30)</f>
        <v>-63314248.162286378</v>
      </c>
      <c r="K32" s="8">
        <f>SUMIF(K$12:K30,"&lt;0",K$12:K30)</f>
        <v>-34894248.162286386</v>
      </c>
      <c r="L32" s="8">
        <f>SUMIF(L$12:L30,"&lt;0",L$12:L30)</f>
        <v>-28924248.16228639</v>
      </c>
      <c r="M32" s="8">
        <f>SUMIF(M$12:M30,"&lt;0",M$12:M30)</f>
        <v>-41999248.162286378</v>
      </c>
      <c r="N32" s="8">
        <f>SUMIF(N$12:N30,"&lt;0",N$12:N30)</f>
        <v>-80599248.162286401</v>
      </c>
      <c r="O32" s="8">
        <f>SUMIF(O$12:O30,"&lt;0",O$12:O30)</f>
        <v>-44049248.162286378</v>
      </c>
      <c r="P32" s="8">
        <f>SUMIF(P$12:P30,"&lt;0",P$12:P30)</f>
        <v>-66359248.162286378</v>
      </c>
      <c r="Q32" s="8">
        <f>SUMIF(Q$12:Q30,"&lt;0",Q$12:Q30)</f>
        <v>-16624248.16228639</v>
      </c>
      <c r="R32" s="8">
        <f>SUMIF(R$12:R30,"&lt;0",R$12:R30)</f>
        <v>-11569148.16228639</v>
      </c>
      <c r="S32" s="44">
        <f>SUMIF(S$12:S30,"&lt;0",S$12:S30)</f>
        <v>-29867204.544953056</v>
      </c>
      <c r="T32" s="44">
        <f>SUMIF(T$12:T30,"&lt;0",T$12:T30)</f>
        <v>-34942204.544953048</v>
      </c>
      <c r="U32" s="44">
        <f>SUMIF(U$12:U30,"&lt;0",U$12:U30)</f>
        <v>-26822204.544953056</v>
      </c>
      <c r="V32" s="44">
        <f>SUMIF(V$12:V30,"&lt;0",V$12:V30)</f>
        <v>-39957223.186531842</v>
      </c>
      <c r="W32" s="44">
        <f>SUMIF(W$12:W30,"&lt;0",W$12:W30)</f>
        <v>-75387223.186531827</v>
      </c>
      <c r="X32" s="44">
        <f>SUMIF(X$12:X30,"&lt;0",X$12:X30)</f>
        <v>-45387223.186531842</v>
      </c>
      <c r="Y32" s="44">
        <f>SUMIF(Y$12:Y30,"&lt;0",Y$12:Y30)</f>
        <v>-28387223.186531838</v>
      </c>
      <c r="Z32" s="44">
        <f>SUMIF(Z$12:Z30,"&lt;0",Z$12:Z30)</f>
        <v>-53387223.186531842</v>
      </c>
      <c r="AA32" s="44">
        <f>SUMIF(AA$12:AA30,"&lt;0",AA$12:AA30)</f>
        <v>-188387223.18653184</v>
      </c>
      <c r="AB32" s="44">
        <f>SUMIF(AB$12:AB30,"&lt;0",AB$12:AB30)</f>
        <v>-306387223.18653184</v>
      </c>
      <c r="AC32" s="44">
        <f>SUMIF(AC$12:AC30,"&lt;0",AC$12:AC30)</f>
        <v>-179387223.18653184</v>
      </c>
      <c r="AD32" s="44">
        <f>SUMIF(AD$12:AD30,"&lt;0",AD$12:AD30)</f>
        <v>-124387223.18653183</v>
      </c>
      <c r="AE32" s="44">
        <f>SUMIF(AE$12:AE30,"&lt;0",AE$12:AE30)</f>
        <v>-49387223.186531842</v>
      </c>
      <c r="AF32" s="44">
        <f>SUMIF(AF$12:AF30,"&lt;0",AF$12:AF30)</f>
        <v>-14387223.186531838</v>
      </c>
      <c r="AG32" s="44">
        <f>SUMIF(AG$12:AG30,"&lt;0",AG$12:AG30)</f>
        <v>-10387223.186531838</v>
      </c>
      <c r="AH32" s="44">
        <f>SUMIF(AH$12:AH30,"&lt;0",AH$12:AH30)</f>
        <v>-13387223.186531838</v>
      </c>
      <c r="AI32" s="44">
        <f>SUMIF(AI$12:AI30,"&lt;0",AI$12:AI30)</f>
        <v>-17387223.186531838</v>
      </c>
      <c r="AJ32" s="44">
        <f>SUMIF(AJ$12:AJ30,"&lt;0",AJ$12:AJ30)</f>
        <v>-213387223.18653184</v>
      </c>
      <c r="AK32" s="44">
        <f>SUMIF(AK$12:AK30,"&lt;0",AK$12:AK30)</f>
        <v>-356387223.18653184</v>
      </c>
      <c r="AL32" s="44">
        <f>SUMIF(AL$12:AL30,"&lt;0",AL$12:AL30)</f>
        <v>-24387223.186531838</v>
      </c>
      <c r="AM32" s="44">
        <f>SUMIF(AM$12:AM30,"&lt;0",AM$12:AM30)</f>
        <v>-7387223.186531838</v>
      </c>
      <c r="AN32" s="44">
        <f>SUMIF(AN$12:AN30,"&lt;0",AN$12:AN30)</f>
        <v>-33387223.186531838</v>
      </c>
      <c r="AO32" s="44">
        <f>SUMIF(AO$12:AO30,"&lt;0",AO$12:AO30)</f>
        <v>-88387223.186531827</v>
      </c>
      <c r="AP32" s="44">
        <f>SUMIF(AP$12:AP30,"&lt;0",AP$12:AP30)</f>
        <v>-531387223.18653184</v>
      </c>
      <c r="AQ32" s="8">
        <f>SUMIF(AQ$12:AQ30,"&lt;0",AQ$12:AQ30)</f>
        <v>-54000000</v>
      </c>
      <c r="AR32" s="8">
        <f>SUMIF(AR$12:AR30,"&lt;0",AR$12:AR30)</f>
        <v>-5000000</v>
      </c>
      <c r="AS32" s="8">
        <f>SUMIF(AS$12:AS30,"&lt;0",AS$12:AS30)</f>
        <v>-1000000</v>
      </c>
      <c r="AT32" s="8">
        <f>SUMIF(AT$12:AT30,"&lt;0",AT$12:AT30)</f>
        <v>-1000000</v>
      </c>
      <c r="AU32" s="8">
        <f>SUMIF(AU$12:AU30,"&lt;0",AU$12:AU30)</f>
        <v>0</v>
      </c>
      <c r="AV32" s="8">
        <f>SUMIF(AV$12:AV30,"&lt;0",AV$12:AV30)</f>
        <v>-2000000</v>
      </c>
      <c r="AW32" s="8">
        <f>SUMIF(AW$12:AW30,"&lt;0",AW$12:AW30)</f>
        <v>-2000000</v>
      </c>
      <c r="AX32" s="8">
        <f>SUMIF(AX$12:AX30,"&lt;0",AX$12:AX30)</f>
        <v>-6000000</v>
      </c>
      <c r="AY32" s="8">
        <f>SUMIF(AY$12:AY30,"&lt;0",AY$12:AY30)</f>
        <v>-2000000</v>
      </c>
      <c r="AZ32" s="8">
        <f>SUMIF(AZ$12:AZ30,"&lt;0",AZ$12:AZ30)</f>
        <v>-63000000</v>
      </c>
      <c r="BA32" s="8">
        <f>SUMIF(BA$12:BA30,"&lt;0",BA$12:BA30)</f>
        <v>0</v>
      </c>
      <c r="BB32" s="8">
        <f>SUMIF(BB$12:BB30,"&lt;0",BB$12:BB30)</f>
        <v>-1000000</v>
      </c>
      <c r="BC32" s="8"/>
    </row>
    <row r="33" spans="2:75" x14ac:dyDescent="0.3">
      <c r="D33" s="44"/>
      <c r="E33" s="44"/>
      <c r="F33" s="4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</row>
    <row r="34" spans="2:75" x14ac:dyDescent="0.3">
      <c r="D34" s="44"/>
      <c r="E34" s="44"/>
      <c r="F34" s="4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</row>
    <row r="35" spans="2:75" x14ac:dyDescent="0.3">
      <c r="B35" t="s">
        <v>1575</v>
      </c>
      <c r="D35" s="44">
        <v>-432065.93463473622</v>
      </c>
      <c r="E35" s="44">
        <v>-390387.54865710885</v>
      </c>
      <c r="F35" s="44">
        <v>-390387.54865710885</v>
      </c>
      <c r="G35" s="8">
        <v>-390387.54865710885</v>
      </c>
      <c r="H35" s="8">
        <v>-390387.54865710885</v>
      </c>
      <c r="I35" s="8">
        <v>-390387.54865710885</v>
      </c>
      <c r="J35" s="8">
        <v>-407267.29497804795</v>
      </c>
      <c r="K35" s="8">
        <v>-407267.29497804795</v>
      </c>
      <c r="L35" s="8">
        <v>-407267.29497804795</v>
      </c>
      <c r="M35" s="8">
        <v>-407267.29497804795</v>
      </c>
      <c r="N35" s="8">
        <v>-407267.29497804795</v>
      </c>
      <c r="O35" s="8">
        <v>-407267.29497804795</v>
      </c>
      <c r="P35" s="8">
        <v>-407267.29497804795</v>
      </c>
      <c r="Q35" s="8">
        <v>-407267.29497804795</v>
      </c>
      <c r="R35" s="8">
        <v>-407267.29497804795</v>
      </c>
      <c r="S35" s="44">
        <v>-407267.29497804795</v>
      </c>
      <c r="T35" s="44">
        <v>-407267.29497804795</v>
      </c>
      <c r="U35" s="44">
        <v>-407267.29497804795</v>
      </c>
      <c r="V35" s="44">
        <v>-390387.54865710885</v>
      </c>
      <c r="W35" s="44">
        <v>-390387.54865710885</v>
      </c>
      <c r="X35" s="44">
        <v>-390387.54865710885</v>
      </c>
      <c r="Y35" s="44">
        <v>-390387.54865710885</v>
      </c>
      <c r="Z35" s="44">
        <v>-390387.54865710885</v>
      </c>
      <c r="AA35" s="44">
        <v>-390387.54865710885</v>
      </c>
      <c r="AB35" s="44">
        <v>-390387.54865710885</v>
      </c>
      <c r="AC35" s="44">
        <v>-390387.54865710885</v>
      </c>
      <c r="AD35" s="44">
        <v>-390387.54865710885</v>
      </c>
      <c r="AE35" s="44">
        <v>-390387.54865710885</v>
      </c>
      <c r="AF35" s="44">
        <v>-390387.54865710885</v>
      </c>
      <c r="AG35" s="44">
        <v>-390387.54865710885</v>
      </c>
      <c r="AH35" s="44">
        <v>-390387.54865710885</v>
      </c>
      <c r="AI35" s="44">
        <v>-390387.54865710885</v>
      </c>
      <c r="AJ35" s="44">
        <v>-390387.54865710885</v>
      </c>
      <c r="AK35" s="44">
        <v>-390387.54865710885</v>
      </c>
      <c r="AL35" s="44">
        <v>-390387.54865710885</v>
      </c>
      <c r="AM35" s="44">
        <v>-390387.54865710885</v>
      </c>
      <c r="AN35" s="44">
        <v>-390387.54865710885</v>
      </c>
      <c r="AO35" s="44">
        <v>-390387.54865710885</v>
      </c>
      <c r="AP35" s="44">
        <v>-390387.54865710885</v>
      </c>
      <c r="AQ35" s="8">
        <v>0</v>
      </c>
      <c r="AR35" s="8">
        <v>0</v>
      </c>
      <c r="AS35" s="8">
        <v>0</v>
      </c>
      <c r="AT35" s="8">
        <v>0</v>
      </c>
      <c r="AU35" s="8">
        <v>0</v>
      </c>
      <c r="AV35" s="8">
        <v>0</v>
      </c>
      <c r="AW35" s="8">
        <v>0</v>
      </c>
      <c r="AX35" s="8">
        <v>0</v>
      </c>
      <c r="AY35" s="8">
        <v>0</v>
      </c>
      <c r="AZ35" s="8">
        <v>0</v>
      </c>
      <c r="BA35" s="8"/>
      <c r="BB35" s="8"/>
      <c r="BC35" s="8"/>
      <c r="BK35" s="8">
        <f>SUM($G35:G35)</f>
        <v>-390387.54865710885</v>
      </c>
      <c r="BL35" s="8">
        <f>SUM($G35:H35)</f>
        <v>-780775.09731421771</v>
      </c>
      <c r="BM35" s="8">
        <f>SUM($G35:I35)</f>
        <v>-1171162.6459713266</v>
      </c>
      <c r="BN35" s="8">
        <f>SUM($G35:J35)</f>
        <v>-1578429.9409493746</v>
      </c>
      <c r="BO35" s="8">
        <f>SUM($G35:K35)</f>
        <v>-1985697.2359274225</v>
      </c>
      <c r="BP35" s="8">
        <f>SUM($G35:L35)</f>
        <v>-2392964.5309054703</v>
      </c>
      <c r="BQ35" s="8">
        <f>SUM($G35:M35)</f>
        <v>-2800231.825883518</v>
      </c>
      <c r="BR35" s="8">
        <f>SUM($G35:N35)</f>
        <v>-3207499.1208615657</v>
      </c>
      <c r="BS35" s="8">
        <f>SUM($G35:O35)</f>
        <v>-3614766.4158396134</v>
      </c>
      <c r="BT35" s="8">
        <f>SUM($G35:P35)</f>
        <v>-4022033.7108176611</v>
      </c>
      <c r="BU35" s="8">
        <f>SUM($G35:Q35)</f>
        <v>-4429301.0057957089</v>
      </c>
      <c r="BV35" s="8">
        <f>SUM($G35:R35)</f>
        <v>-4836568.3007737566</v>
      </c>
      <c r="BW35" s="8"/>
    </row>
    <row r="36" spans="2:75" x14ac:dyDescent="0.3">
      <c r="B36" t="s">
        <v>1576</v>
      </c>
      <c r="D36" s="44">
        <v>-1103259.371455661</v>
      </c>
      <c r="E36" s="44">
        <v>-996835.63787472935</v>
      </c>
      <c r="F36" s="44">
        <v>-996835.63787472935</v>
      </c>
      <c r="G36" s="8">
        <v>-996835.63787472935</v>
      </c>
      <c r="H36" s="8">
        <v>-996835.63787472935</v>
      </c>
      <c r="I36" s="8">
        <v>-996835.63787472935</v>
      </c>
      <c r="J36" s="8">
        <v>-1039937.2499750068</v>
      </c>
      <c r="K36" s="8">
        <v>-1039937.2499750068</v>
      </c>
      <c r="L36" s="8">
        <v>-1039937.2499750068</v>
      </c>
      <c r="M36" s="8">
        <v>-1039937.2499750068</v>
      </c>
      <c r="N36" s="8">
        <v>-1039937.2499750068</v>
      </c>
      <c r="O36" s="8">
        <v>-1039937.2499750068</v>
      </c>
      <c r="P36" s="8">
        <v>-1039937.2499750068</v>
      </c>
      <c r="Q36" s="8">
        <v>-1039937.2499750068</v>
      </c>
      <c r="R36" s="8">
        <v>-1039937.2499750068</v>
      </c>
      <c r="S36" s="44">
        <v>-1039937.2499750068</v>
      </c>
      <c r="T36" s="44">
        <v>-1039937.2499750068</v>
      </c>
      <c r="U36" s="44">
        <v>-1039937.2499750068</v>
      </c>
      <c r="V36" s="44">
        <v>-996835.63787472935</v>
      </c>
      <c r="W36" s="44">
        <v>-996835.63787472935</v>
      </c>
      <c r="X36" s="44">
        <v>-996835.63787472935</v>
      </c>
      <c r="Y36" s="44">
        <v>-996835.63787472935</v>
      </c>
      <c r="Z36" s="44">
        <v>-996835.63787472935</v>
      </c>
      <c r="AA36" s="44">
        <v>-996835.63787472935</v>
      </c>
      <c r="AB36" s="44">
        <v>-996835.63787472935</v>
      </c>
      <c r="AC36" s="44">
        <v>-996835.63787472935</v>
      </c>
      <c r="AD36" s="44">
        <v>-996835.63787472935</v>
      </c>
      <c r="AE36" s="44">
        <v>-996835.63787472935</v>
      </c>
      <c r="AF36" s="44">
        <v>-996835.63787472935</v>
      </c>
      <c r="AG36" s="44">
        <v>-996835.63787472935</v>
      </c>
      <c r="AH36" s="44">
        <v>-996835.63787472935</v>
      </c>
      <c r="AI36" s="44">
        <v>-996835.63787472935</v>
      </c>
      <c r="AJ36" s="44">
        <v>-996835.63787472935</v>
      </c>
      <c r="AK36" s="44">
        <v>-996835.63787472935</v>
      </c>
      <c r="AL36" s="44">
        <v>-996835.63787472935</v>
      </c>
      <c r="AM36" s="44">
        <v>-996835.63787472935</v>
      </c>
      <c r="AN36" s="44">
        <v>-996835.63787472935</v>
      </c>
      <c r="AO36" s="44">
        <v>-996835.63787472935</v>
      </c>
      <c r="AP36" s="44">
        <v>-996835.63787472935</v>
      </c>
      <c r="AQ36" s="8">
        <v>0</v>
      </c>
      <c r="AR36" s="8">
        <v>0</v>
      </c>
      <c r="AS36" s="8">
        <v>0</v>
      </c>
      <c r="AT36" s="8">
        <v>0</v>
      </c>
      <c r="AU36" s="8">
        <v>0</v>
      </c>
      <c r="AV36" s="8">
        <v>0</v>
      </c>
      <c r="AW36" s="8">
        <v>0</v>
      </c>
      <c r="AX36" s="8">
        <v>0</v>
      </c>
      <c r="AY36" s="8">
        <v>0</v>
      </c>
      <c r="AZ36" s="8">
        <v>0</v>
      </c>
      <c r="BA36" s="8"/>
      <c r="BB36" s="8"/>
      <c r="BC36" s="8"/>
      <c r="BK36" s="8">
        <f>SUM($G36:G36)</f>
        <v>-996835.63787472935</v>
      </c>
      <c r="BL36" s="8">
        <f>SUM($G36:H36)</f>
        <v>-1993671.2757494587</v>
      </c>
      <c r="BM36" s="8">
        <f>SUM($G36:I36)</f>
        <v>-2990506.9136241879</v>
      </c>
      <c r="BN36" s="8">
        <f>SUM($G36:J36)</f>
        <v>-4030444.163599195</v>
      </c>
      <c r="BO36" s="8">
        <f>SUM($G36:K36)</f>
        <v>-5070381.413574202</v>
      </c>
      <c r="BP36" s="8">
        <f>SUM($G36:L36)</f>
        <v>-6110318.663549209</v>
      </c>
      <c r="BQ36" s="8">
        <f>SUM($G36:M36)</f>
        <v>-7150255.913524216</v>
      </c>
      <c r="BR36" s="8">
        <f>SUM($G36:N36)</f>
        <v>-8190193.1634992231</v>
      </c>
      <c r="BS36" s="8">
        <f>SUM($G36:O36)</f>
        <v>-9230130.4134742301</v>
      </c>
      <c r="BT36" s="8">
        <f>SUM($G36:P36)</f>
        <v>-10270067.663449237</v>
      </c>
      <c r="BU36" s="8">
        <f>SUM($G36:Q36)</f>
        <v>-11310004.913424244</v>
      </c>
      <c r="BV36" s="8">
        <f>SUM($G36:R36)</f>
        <v>-12349942.163399251</v>
      </c>
      <c r="BW36" s="8"/>
    </row>
    <row r="37" spans="2:75" x14ac:dyDescent="0.3">
      <c r="B37" t="s">
        <v>1577</v>
      </c>
      <c r="D37" s="44">
        <v>-986629.59400000004</v>
      </c>
      <c r="E37" s="44">
        <v>-904238.3559999998</v>
      </c>
      <c r="F37" s="44">
        <v>-939238.3559999998</v>
      </c>
      <c r="G37" s="8">
        <v>-967043.61733333324</v>
      </c>
      <c r="H37" s="8">
        <v>-967043.61733333324</v>
      </c>
      <c r="I37" s="8">
        <v>-987043.61733333324</v>
      </c>
      <c r="J37" s="8">
        <v>-967043.61733333324</v>
      </c>
      <c r="K37" s="8">
        <v>-967043.61733333324</v>
      </c>
      <c r="L37" s="8">
        <v>-1087043.6173333332</v>
      </c>
      <c r="M37" s="8">
        <v>-967043.61733333324</v>
      </c>
      <c r="N37" s="8">
        <v>-997043.61733333324</v>
      </c>
      <c r="O37" s="8">
        <v>-987043.61733333324</v>
      </c>
      <c r="P37" s="8">
        <v>-967043.61733333324</v>
      </c>
      <c r="Q37" s="8">
        <v>-967043.61733333324</v>
      </c>
      <c r="R37" s="8">
        <v>-986943.61733333324</v>
      </c>
      <c r="S37" s="44">
        <v>0</v>
      </c>
      <c r="T37" s="44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8">
        <v>0</v>
      </c>
      <c r="AR37" s="8">
        <v>0</v>
      </c>
      <c r="AS37" s="8">
        <v>0</v>
      </c>
      <c r="AT37" s="8">
        <v>0</v>
      </c>
      <c r="AU37" s="8">
        <v>0</v>
      </c>
      <c r="AV37" s="8">
        <v>0</v>
      </c>
      <c r="AW37" s="8">
        <v>0</v>
      </c>
      <c r="AX37" s="8">
        <v>0</v>
      </c>
      <c r="AY37" s="8">
        <v>0</v>
      </c>
      <c r="AZ37" s="8">
        <v>0</v>
      </c>
      <c r="BA37" s="8"/>
      <c r="BB37" s="8"/>
      <c r="BC37" s="8"/>
      <c r="BK37" s="8">
        <f>SUM($G37:G37)</f>
        <v>-967043.61733333324</v>
      </c>
      <c r="BL37" s="8">
        <f>SUM($G37:H37)</f>
        <v>-1934087.2346666665</v>
      </c>
      <c r="BM37" s="8">
        <f>SUM($G37:I37)</f>
        <v>-2921130.852</v>
      </c>
      <c r="BN37" s="8">
        <f>SUM($G37:J37)</f>
        <v>-3888174.469333333</v>
      </c>
      <c r="BO37" s="8">
        <f>SUM($G37:K37)</f>
        <v>-4855218.086666666</v>
      </c>
      <c r="BP37" s="8">
        <f>SUM($G37:L37)</f>
        <v>-5942261.703999999</v>
      </c>
      <c r="BQ37" s="8">
        <f>SUM($G37:M37)</f>
        <v>-6909305.321333332</v>
      </c>
      <c r="BR37" s="8">
        <f>SUM($G37:N37)</f>
        <v>-7906348.938666665</v>
      </c>
      <c r="BS37" s="8">
        <f>SUM($G37:O37)</f>
        <v>-8893392.555999998</v>
      </c>
      <c r="BT37" s="8">
        <f>SUM($G37:P37)</f>
        <v>-9860436.1733333319</v>
      </c>
      <c r="BU37" s="8">
        <f>SUM($G37:Q37)</f>
        <v>-10827479.790666666</v>
      </c>
      <c r="BV37" s="8">
        <f>SUM($G37:R37)</f>
        <v>-11814423.408</v>
      </c>
      <c r="BW37" s="8"/>
    </row>
    <row r="38" spans="2:75" x14ac:dyDescent="0.3">
      <c r="D38" s="44"/>
      <c r="E38" s="44"/>
      <c r="F38" s="4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2:75" x14ac:dyDescent="0.3">
      <c r="D39" s="44"/>
      <c r="E39" s="44"/>
      <c r="F39" s="4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2:75" x14ac:dyDescent="0.3">
      <c r="D40" s="44"/>
      <c r="E40" s="44"/>
      <c r="F40" s="4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2:75" x14ac:dyDescent="0.3">
      <c r="D41" s="44"/>
      <c r="E41" s="44"/>
      <c r="F41" s="4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</row>
    <row r="42" spans="2:75" x14ac:dyDescent="0.3">
      <c r="B42" t="s">
        <v>1595</v>
      </c>
      <c r="D42" s="44">
        <f>SUM(D31:D41)</f>
        <v>26346090.199819218</v>
      </c>
      <c r="E42" s="44">
        <f t="shared" ref="E42:BB42" si="7">SUM(E31:E41)</f>
        <v>9287076.9149363209</v>
      </c>
      <c r="F42" s="44">
        <f t="shared" si="7"/>
        <v>9947076.9149363209</v>
      </c>
      <c r="G42" s="8">
        <f t="shared" si="7"/>
        <v>8066466.392269657</v>
      </c>
      <c r="H42" s="8">
        <f t="shared" si="7"/>
        <v>5876466.392269657</v>
      </c>
      <c r="I42" s="8">
        <f t="shared" si="7"/>
        <v>4741466.392269657</v>
      </c>
      <c r="J42" s="8">
        <f t="shared" si="7"/>
        <v>17071503.675427232</v>
      </c>
      <c r="K42" s="8">
        <f t="shared" si="7"/>
        <v>6851503.6754272254</v>
      </c>
      <c r="L42" s="8">
        <f t="shared" si="7"/>
        <v>4421503.6754272226</v>
      </c>
      <c r="M42" s="8">
        <f t="shared" si="7"/>
        <v>9406503.6754272319</v>
      </c>
      <c r="N42" s="8">
        <f t="shared" si="7"/>
        <v>23216503.67542721</v>
      </c>
      <c r="O42" s="8">
        <f t="shared" si="7"/>
        <v>10096503.675427232</v>
      </c>
      <c r="P42" s="8">
        <f t="shared" si="7"/>
        <v>18166503.675427232</v>
      </c>
      <c r="Q42" s="8">
        <f t="shared" si="7"/>
        <v>281503.67542722262</v>
      </c>
      <c r="R42" s="8">
        <f t="shared" si="7"/>
        <v>-1583296.3245727776</v>
      </c>
      <c r="S42" s="44">
        <f t="shared" si="7"/>
        <v>4385590.9100938896</v>
      </c>
      <c r="T42" s="44">
        <f t="shared" si="7"/>
        <v>5685590.910093897</v>
      </c>
      <c r="U42" s="44">
        <f t="shared" si="7"/>
        <v>3605590.9100938896</v>
      </c>
      <c r="V42" s="44">
        <f t="shared" si="7"/>
        <v>7105553.6269363202</v>
      </c>
      <c r="W42" s="44">
        <f t="shared" si="7"/>
        <v>17575553.626936335</v>
      </c>
      <c r="X42" s="44">
        <f t="shared" si="7"/>
        <v>9325553.6269363202</v>
      </c>
      <c r="Y42" s="44">
        <f t="shared" si="7"/>
        <v>4650553.6269363239</v>
      </c>
      <c r="Z42" s="44">
        <f t="shared" si="7"/>
        <v>11525553.62693632</v>
      </c>
      <c r="AA42" s="44">
        <f t="shared" si="7"/>
        <v>48650553.626936316</v>
      </c>
      <c r="AB42" s="44">
        <f t="shared" si="7"/>
        <v>81100553.626936331</v>
      </c>
      <c r="AC42" s="44">
        <f t="shared" si="7"/>
        <v>46175553.626936316</v>
      </c>
      <c r="AD42" s="44">
        <f t="shared" si="7"/>
        <v>31050553.626936335</v>
      </c>
      <c r="AE42" s="44">
        <f t="shared" si="7"/>
        <v>10425553.62693632</v>
      </c>
      <c r="AF42" s="44">
        <f t="shared" si="7"/>
        <v>800553.62693632382</v>
      </c>
      <c r="AG42" s="44">
        <f t="shared" si="7"/>
        <v>-299446.37306367618</v>
      </c>
      <c r="AH42" s="44">
        <f t="shared" si="7"/>
        <v>525553.62693632382</v>
      </c>
      <c r="AI42" s="44">
        <f t="shared" si="7"/>
        <v>1625553.6269363235</v>
      </c>
      <c r="AJ42" s="44">
        <f t="shared" si="7"/>
        <v>55525553.626936316</v>
      </c>
      <c r="AK42" s="44">
        <f t="shared" si="7"/>
        <v>94850553.626936331</v>
      </c>
      <c r="AL42" s="44">
        <f t="shared" si="7"/>
        <v>3550553.6269363235</v>
      </c>
      <c r="AM42" s="44">
        <f t="shared" si="7"/>
        <v>-1124446.3730636763</v>
      </c>
      <c r="AN42" s="44">
        <f t="shared" si="7"/>
        <v>2025553.6269363235</v>
      </c>
      <c r="AO42" s="44">
        <f t="shared" si="7"/>
        <v>10275553.626936335</v>
      </c>
      <c r="AP42" s="44">
        <f t="shared" si="7"/>
        <v>76725553.626936331</v>
      </c>
      <c r="AQ42" s="8">
        <f t="shared" si="7"/>
        <v>8100000</v>
      </c>
      <c r="AR42" s="8">
        <f t="shared" si="7"/>
        <v>750000</v>
      </c>
      <c r="AS42" s="8">
        <f t="shared" si="7"/>
        <v>150000</v>
      </c>
      <c r="AT42" s="8">
        <f t="shared" si="7"/>
        <v>150000</v>
      </c>
      <c r="AU42" s="8">
        <f t="shared" si="7"/>
        <v>0</v>
      </c>
      <c r="AV42" s="8">
        <f t="shared" si="7"/>
        <v>300000</v>
      </c>
      <c r="AW42" s="8">
        <f t="shared" si="7"/>
        <v>300000</v>
      </c>
      <c r="AX42" s="8">
        <f t="shared" si="7"/>
        <v>900000</v>
      </c>
      <c r="AY42" s="8">
        <f t="shared" si="7"/>
        <v>300000</v>
      </c>
      <c r="AZ42" s="8">
        <f t="shared" si="7"/>
        <v>9450000</v>
      </c>
      <c r="BA42" s="8">
        <f t="shared" si="7"/>
        <v>0</v>
      </c>
      <c r="BB42" s="8">
        <f t="shared" si="7"/>
        <v>150000</v>
      </c>
      <c r="BC42" s="8"/>
      <c r="BK42" s="8">
        <f>SUM(G21:G23)</f>
        <v>-2354266.8038651715</v>
      </c>
      <c r="BL42" s="8">
        <f t="shared" ref="BL42:BV42" si="8">SUM(H21:H23)</f>
        <v>-2354266.8038651715</v>
      </c>
      <c r="BM42" s="8">
        <f t="shared" si="8"/>
        <v>-2374266.8038651715</v>
      </c>
      <c r="BN42" s="8">
        <f t="shared" si="8"/>
        <v>-2414248.1622863878</v>
      </c>
      <c r="BO42" s="8">
        <f t="shared" si="8"/>
        <v>-2414248.1622863878</v>
      </c>
      <c r="BP42" s="8">
        <f t="shared" si="8"/>
        <v>-2534248.1622863878</v>
      </c>
      <c r="BQ42" s="8">
        <f t="shared" si="8"/>
        <v>-2414248.1622863878</v>
      </c>
      <c r="BR42" s="8">
        <f t="shared" si="8"/>
        <v>-2444248.1622863878</v>
      </c>
      <c r="BS42" s="8">
        <f t="shared" si="8"/>
        <v>-2434248.1622863878</v>
      </c>
      <c r="BT42" s="8">
        <f t="shared" si="8"/>
        <v>-2414248.1622863878</v>
      </c>
      <c r="BU42" s="8">
        <f t="shared" si="8"/>
        <v>-2414248.1622863878</v>
      </c>
      <c r="BV42" s="8">
        <f t="shared" si="8"/>
        <v>-2434148.1622863878</v>
      </c>
    </row>
  </sheetData>
  <conditionalFormatting sqref="BF8:BF14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9DA85-A119-4DBC-A793-A427C7046963}">
  <sheetPr codeName="Sheet5"/>
  <dimension ref="C1:CI103"/>
  <sheetViews>
    <sheetView zoomScale="55" zoomScaleNormal="55" workbookViewId="0">
      <pane xSplit="5" ySplit="4" topLeftCell="AS34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RowHeight="14.4" x14ac:dyDescent="0.3"/>
  <cols>
    <col min="3" max="3" width="40.33203125" bestFit="1" customWidth="1"/>
    <col min="6" max="6" width="11.5546875" customWidth="1"/>
    <col min="7" max="7" width="15" bestFit="1" customWidth="1"/>
    <col min="8" max="19" width="12.33203125" bestFit="1" customWidth="1"/>
    <col min="20" max="21" width="12" bestFit="1" customWidth="1"/>
    <col min="22" max="33" width="12" style="41" bestFit="1" customWidth="1"/>
    <col min="34" max="45" width="12" bestFit="1" customWidth="1"/>
    <col min="46" max="50" width="12" style="41" bestFit="1" customWidth="1"/>
    <col min="51" max="54" width="10.88671875" style="41" bestFit="1" customWidth="1"/>
    <col min="55" max="57" width="10.88671875" style="41" customWidth="1"/>
    <col min="60" max="60" width="11.6640625" customWidth="1"/>
    <col min="61" max="61" width="12.33203125" bestFit="1" customWidth="1"/>
    <col min="62" max="62" width="12.33203125" customWidth="1"/>
    <col min="63" max="63" width="17.77734375" bestFit="1" customWidth="1"/>
    <col min="64" max="64" width="10.88671875" bestFit="1" customWidth="1"/>
    <col min="65" max="67" width="12.21875" bestFit="1" customWidth="1"/>
    <col min="68" max="75" width="12" bestFit="1" customWidth="1"/>
  </cols>
  <sheetData>
    <row r="1" spans="3:87" x14ac:dyDescent="0.3">
      <c r="F1" t="s">
        <v>1454</v>
      </c>
      <c r="G1" s="1">
        <v>44927</v>
      </c>
      <c r="H1" s="1">
        <f>EOMONTH(G1,0)+1</f>
        <v>44958</v>
      </c>
      <c r="I1" s="1">
        <f t="shared" ref="I1:BE1" si="0">EOMONTH(H1,0)+1</f>
        <v>44986</v>
      </c>
      <c r="J1" s="1">
        <f t="shared" si="0"/>
        <v>45017</v>
      </c>
      <c r="K1" s="1">
        <f t="shared" si="0"/>
        <v>45047</v>
      </c>
      <c r="L1" s="1">
        <f t="shared" si="0"/>
        <v>45078</v>
      </c>
      <c r="M1" s="1">
        <f t="shared" si="0"/>
        <v>45108</v>
      </c>
      <c r="N1" s="1">
        <f t="shared" si="0"/>
        <v>45139</v>
      </c>
      <c r="O1" s="1">
        <f t="shared" si="0"/>
        <v>45170</v>
      </c>
      <c r="P1" s="1">
        <f t="shared" si="0"/>
        <v>45200</v>
      </c>
      <c r="Q1" s="1">
        <f t="shared" si="0"/>
        <v>45231</v>
      </c>
      <c r="R1" s="1">
        <f t="shared" si="0"/>
        <v>45261</v>
      </c>
      <c r="S1" s="1">
        <f t="shared" si="0"/>
        <v>45292</v>
      </c>
      <c r="T1" s="1">
        <f t="shared" si="0"/>
        <v>45323</v>
      </c>
      <c r="U1" s="1">
        <f t="shared" si="0"/>
        <v>45352</v>
      </c>
      <c r="V1" s="40">
        <f t="shared" si="0"/>
        <v>45383</v>
      </c>
      <c r="W1" s="40">
        <f t="shared" si="0"/>
        <v>45413</v>
      </c>
      <c r="X1" s="40">
        <f t="shared" si="0"/>
        <v>45444</v>
      </c>
      <c r="Y1" s="40">
        <f t="shared" si="0"/>
        <v>45474</v>
      </c>
      <c r="Z1" s="40">
        <f t="shared" si="0"/>
        <v>45505</v>
      </c>
      <c r="AA1" s="40">
        <f t="shared" si="0"/>
        <v>45536</v>
      </c>
      <c r="AB1" s="40">
        <f t="shared" si="0"/>
        <v>45566</v>
      </c>
      <c r="AC1" s="40">
        <f t="shared" si="0"/>
        <v>45597</v>
      </c>
      <c r="AD1" s="40">
        <f t="shared" si="0"/>
        <v>45627</v>
      </c>
      <c r="AE1" s="40">
        <f t="shared" si="0"/>
        <v>45658</v>
      </c>
      <c r="AF1" s="40">
        <f t="shared" si="0"/>
        <v>45689</v>
      </c>
      <c r="AG1" s="40">
        <f t="shared" si="0"/>
        <v>45717</v>
      </c>
      <c r="AH1" s="1">
        <f t="shared" si="0"/>
        <v>45748</v>
      </c>
      <c r="AI1" s="1">
        <f t="shared" si="0"/>
        <v>45778</v>
      </c>
      <c r="AJ1" s="1">
        <f t="shared" si="0"/>
        <v>45809</v>
      </c>
      <c r="AK1" s="1">
        <f t="shared" si="0"/>
        <v>45839</v>
      </c>
      <c r="AL1" s="1">
        <f t="shared" si="0"/>
        <v>45870</v>
      </c>
      <c r="AM1" s="1">
        <f t="shared" si="0"/>
        <v>45901</v>
      </c>
      <c r="AN1" s="1">
        <f t="shared" si="0"/>
        <v>45931</v>
      </c>
      <c r="AO1" s="1">
        <f t="shared" si="0"/>
        <v>45962</v>
      </c>
      <c r="AP1" s="1">
        <f t="shared" si="0"/>
        <v>45992</v>
      </c>
      <c r="AQ1" s="1">
        <f t="shared" si="0"/>
        <v>46023</v>
      </c>
      <c r="AR1" s="1">
        <f t="shared" si="0"/>
        <v>46054</v>
      </c>
      <c r="AS1" s="1">
        <f t="shared" si="0"/>
        <v>46082</v>
      </c>
      <c r="AT1" s="40">
        <f t="shared" si="0"/>
        <v>46113</v>
      </c>
      <c r="AU1" s="40">
        <f t="shared" si="0"/>
        <v>46143</v>
      </c>
      <c r="AV1" s="40">
        <f t="shared" si="0"/>
        <v>46174</v>
      </c>
      <c r="AW1" s="40">
        <f t="shared" si="0"/>
        <v>46204</v>
      </c>
      <c r="AX1" s="40">
        <f t="shared" si="0"/>
        <v>46235</v>
      </c>
      <c r="AY1" s="40">
        <f t="shared" si="0"/>
        <v>46266</v>
      </c>
      <c r="AZ1" s="40">
        <f t="shared" si="0"/>
        <v>46296</v>
      </c>
      <c r="BA1" s="40">
        <f t="shared" si="0"/>
        <v>46327</v>
      </c>
      <c r="BB1" s="40">
        <f t="shared" si="0"/>
        <v>46357</v>
      </c>
      <c r="BC1" s="40">
        <f t="shared" si="0"/>
        <v>46388</v>
      </c>
      <c r="BD1" s="40">
        <f t="shared" si="0"/>
        <v>46419</v>
      </c>
      <c r="BE1" s="40">
        <f t="shared" si="0"/>
        <v>46447</v>
      </c>
    </row>
    <row r="2" spans="3:87" x14ac:dyDescent="0.3">
      <c r="F2" t="s">
        <v>1455</v>
      </c>
      <c r="G2" s="1">
        <f>EOMONTH(G1,0)</f>
        <v>44957</v>
      </c>
      <c r="H2" s="1">
        <f t="shared" ref="H2:BE2" si="1">EOMONTH(H1,0)</f>
        <v>44985</v>
      </c>
      <c r="I2" s="1">
        <f t="shared" si="1"/>
        <v>45016</v>
      </c>
      <c r="J2" s="1">
        <f t="shared" si="1"/>
        <v>45046</v>
      </c>
      <c r="K2" s="1">
        <f t="shared" si="1"/>
        <v>45077</v>
      </c>
      <c r="L2" s="1">
        <f t="shared" si="1"/>
        <v>45107</v>
      </c>
      <c r="M2" s="1">
        <f t="shared" si="1"/>
        <v>45138</v>
      </c>
      <c r="N2" s="1">
        <f t="shared" si="1"/>
        <v>45169</v>
      </c>
      <c r="O2" s="1">
        <f t="shared" si="1"/>
        <v>45199</v>
      </c>
      <c r="P2" s="1">
        <f t="shared" si="1"/>
        <v>45230</v>
      </c>
      <c r="Q2" s="1">
        <f t="shared" si="1"/>
        <v>45260</v>
      </c>
      <c r="R2" s="1">
        <f t="shared" si="1"/>
        <v>45291</v>
      </c>
      <c r="S2" s="1">
        <f t="shared" si="1"/>
        <v>45322</v>
      </c>
      <c r="T2" s="1">
        <f t="shared" si="1"/>
        <v>45351</v>
      </c>
      <c r="U2" s="1">
        <f t="shared" si="1"/>
        <v>45382</v>
      </c>
      <c r="V2" s="40">
        <f t="shared" si="1"/>
        <v>45412</v>
      </c>
      <c r="W2" s="40">
        <f t="shared" si="1"/>
        <v>45443</v>
      </c>
      <c r="X2" s="40">
        <f t="shared" si="1"/>
        <v>45473</v>
      </c>
      <c r="Y2" s="40">
        <f t="shared" si="1"/>
        <v>45504</v>
      </c>
      <c r="Z2" s="40">
        <f t="shared" si="1"/>
        <v>45535</v>
      </c>
      <c r="AA2" s="40">
        <f t="shared" si="1"/>
        <v>45565</v>
      </c>
      <c r="AB2" s="40">
        <f t="shared" si="1"/>
        <v>45596</v>
      </c>
      <c r="AC2" s="40">
        <f t="shared" si="1"/>
        <v>45626</v>
      </c>
      <c r="AD2" s="40">
        <f t="shared" si="1"/>
        <v>45657</v>
      </c>
      <c r="AE2" s="40">
        <f t="shared" si="1"/>
        <v>45688</v>
      </c>
      <c r="AF2" s="40">
        <f t="shared" si="1"/>
        <v>45716</v>
      </c>
      <c r="AG2" s="40">
        <f t="shared" si="1"/>
        <v>45747</v>
      </c>
      <c r="AH2" s="1">
        <f t="shared" si="1"/>
        <v>45777</v>
      </c>
      <c r="AI2" s="1">
        <f t="shared" si="1"/>
        <v>45808</v>
      </c>
      <c r="AJ2" s="1">
        <f t="shared" si="1"/>
        <v>45838</v>
      </c>
      <c r="AK2" s="1">
        <f t="shared" si="1"/>
        <v>45869</v>
      </c>
      <c r="AL2" s="1">
        <f t="shared" si="1"/>
        <v>45900</v>
      </c>
      <c r="AM2" s="1">
        <f t="shared" si="1"/>
        <v>45930</v>
      </c>
      <c r="AN2" s="1">
        <f t="shared" si="1"/>
        <v>45961</v>
      </c>
      <c r="AO2" s="1">
        <f t="shared" si="1"/>
        <v>45991</v>
      </c>
      <c r="AP2" s="1">
        <f t="shared" si="1"/>
        <v>46022</v>
      </c>
      <c r="AQ2" s="1">
        <f t="shared" si="1"/>
        <v>46053</v>
      </c>
      <c r="AR2" s="1">
        <f t="shared" si="1"/>
        <v>46081</v>
      </c>
      <c r="AS2" s="1">
        <f t="shared" si="1"/>
        <v>46112</v>
      </c>
      <c r="AT2" s="40">
        <f t="shared" si="1"/>
        <v>46142</v>
      </c>
      <c r="AU2" s="40">
        <f t="shared" si="1"/>
        <v>46173</v>
      </c>
      <c r="AV2" s="40">
        <f t="shared" si="1"/>
        <v>46203</v>
      </c>
      <c r="AW2" s="40">
        <f t="shared" si="1"/>
        <v>46234</v>
      </c>
      <c r="AX2" s="40">
        <f t="shared" si="1"/>
        <v>46265</v>
      </c>
      <c r="AY2" s="40">
        <f t="shared" si="1"/>
        <v>46295</v>
      </c>
      <c r="AZ2" s="40">
        <f t="shared" si="1"/>
        <v>46326</v>
      </c>
      <c r="BA2" s="40">
        <f t="shared" si="1"/>
        <v>46356</v>
      </c>
      <c r="BB2" s="40">
        <f t="shared" si="1"/>
        <v>46387</v>
      </c>
      <c r="BC2" s="40">
        <f t="shared" si="1"/>
        <v>46418</v>
      </c>
      <c r="BD2" s="40">
        <f t="shared" si="1"/>
        <v>46446</v>
      </c>
      <c r="BE2" s="40">
        <f t="shared" si="1"/>
        <v>46477</v>
      </c>
    </row>
    <row r="3" spans="3:87" x14ac:dyDescent="0.3">
      <c r="F3" t="s">
        <v>1388</v>
      </c>
      <c r="G3" t="s">
        <v>1373</v>
      </c>
      <c r="H3" t="s">
        <v>1374</v>
      </c>
      <c r="I3" t="s">
        <v>1375</v>
      </c>
      <c r="J3" t="s">
        <v>1490</v>
      </c>
      <c r="K3" t="s">
        <v>1491</v>
      </c>
      <c r="L3" t="s">
        <v>1492</v>
      </c>
      <c r="M3" t="s">
        <v>1493</v>
      </c>
      <c r="N3" t="s">
        <v>1494</v>
      </c>
      <c r="O3" t="s">
        <v>1495</v>
      </c>
      <c r="P3" t="s">
        <v>1496</v>
      </c>
      <c r="Q3" t="s">
        <v>1497</v>
      </c>
      <c r="R3" t="s">
        <v>1498</v>
      </c>
      <c r="S3" t="s">
        <v>1499</v>
      </c>
      <c r="T3" t="s">
        <v>1500</v>
      </c>
      <c r="U3" t="s">
        <v>1501</v>
      </c>
      <c r="V3" s="41" t="s">
        <v>1502</v>
      </c>
      <c r="W3" s="41" t="s">
        <v>1503</v>
      </c>
      <c r="X3" s="41" t="s">
        <v>1504</v>
      </c>
      <c r="Y3" s="41" t="s">
        <v>1505</v>
      </c>
      <c r="Z3" s="41" t="s">
        <v>1506</v>
      </c>
      <c r="AA3" s="41" t="s">
        <v>1507</v>
      </c>
      <c r="AB3" s="41" t="s">
        <v>1508</v>
      </c>
      <c r="AC3" s="41" t="s">
        <v>1509</v>
      </c>
      <c r="AD3" s="41" t="s">
        <v>1510</v>
      </c>
      <c r="AE3" s="41" t="s">
        <v>1511</v>
      </c>
      <c r="AF3" s="41" t="s">
        <v>1512</v>
      </c>
      <c r="AG3" s="41" t="s">
        <v>1513</v>
      </c>
      <c r="AH3" t="s">
        <v>1514</v>
      </c>
      <c r="AI3" t="s">
        <v>1515</v>
      </c>
      <c r="AJ3" t="s">
        <v>1516</v>
      </c>
      <c r="AK3" t="s">
        <v>1517</v>
      </c>
      <c r="AL3" t="s">
        <v>1518</v>
      </c>
      <c r="AM3" t="s">
        <v>1519</v>
      </c>
      <c r="AN3" t="s">
        <v>1520</v>
      </c>
      <c r="AO3" t="s">
        <v>1521</v>
      </c>
      <c r="AP3" t="s">
        <v>1522</v>
      </c>
      <c r="AQ3" t="s">
        <v>1523</v>
      </c>
      <c r="AR3" t="s">
        <v>1524</v>
      </c>
      <c r="AS3" t="s">
        <v>1525</v>
      </c>
      <c r="AT3" s="41" t="s">
        <v>1526</v>
      </c>
      <c r="AU3" s="41" t="s">
        <v>1527</v>
      </c>
      <c r="AV3" s="41" t="s">
        <v>1528</v>
      </c>
      <c r="AW3" s="41" t="s">
        <v>1529</v>
      </c>
      <c r="AX3" s="41" t="s">
        <v>1530</v>
      </c>
      <c r="AY3" s="41" t="s">
        <v>1531</v>
      </c>
      <c r="AZ3" s="41" t="s">
        <v>1532</v>
      </c>
      <c r="BA3" s="41" t="s">
        <v>1533</v>
      </c>
      <c r="BB3" s="41" t="s">
        <v>1534</v>
      </c>
      <c r="BC3" s="41" t="s">
        <v>1535</v>
      </c>
      <c r="BD3" s="41" t="s">
        <v>1536</v>
      </c>
      <c r="BE3" s="41" t="s">
        <v>1537</v>
      </c>
    </row>
    <row r="4" spans="3:87" x14ac:dyDescent="0.3">
      <c r="F4" t="s">
        <v>1372</v>
      </c>
      <c r="G4" t="s">
        <v>1538</v>
      </c>
      <c r="H4" t="s">
        <v>1538</v>
      </c>
      <c r="I4" t="s">
        <v>1538</v>
      </c>
      <c r="J4" t="s">
        <v>1539</v>
      </c>
      <c r="K4" t="s">
        <v>1539</v>
      </c>
      <c r="L4" t="s">
        <v>1539</v>
      </c>
      <c r="M4" t="s">
        <v>1539</v>
      </c>
      <c r="N4" t="s">
        <v>1539</v>
      </c>
      <c r="O4" t="s">
        <v>1539</v>
      </c>
      <c r="P4" t="s">
        <v>1539</v>
      </c>
      <c r="Q4" t="s">
        <v>1539</v>
      </c>
      <c r="R4" t="s">
        <v>1539</v>
      </c>
      <c r="S4" t="s">
        <v>1539</v>
      </c>
      <c r="T4" t="s">
        <v>1539</v>
      </c>
      <c r="U4" t="s">
        <v>1539</v>
      </c>
      <c r="V4" s="41" t="s">
        <v>1540</v>
      </c>
      <c r="W4" s="41" t="s">
        <v>1540</v>
      </c>
      <c r="X4" s="41" t="s">
        <v>1540</v>
      </c>
      <c r="Y4" s="41" t="s">
        <v>1540</v>
      </c>
      <c r="Z4" s="41" t="s">
        <v>1540</v>
      </c>
      <c r="AA4" s="41" t="s">
        <v>1540</v>
      </c>
      <c r="AB4" s="41" t="s">
        <v>1540</v>
      </c>
      <c r="AC4" s="41" t="s">
        <v>1540</v>
      </c>
      <c r="AD4" s="41" t="s">
        <v>1540</v>
      </c>
      <c r="AE4" s="41" t="s">
        <v>1540</v>
      </c>
      <c r="AF4" s="41" t="s">
        <v>1540</v>
      </c>
      <c r="AG4" s="41" t="s">
        <v>1540</v>
      </c>
      <c r="AH4" t="s">
        <v>1541</v>
      </c>
      <c r="AI4" t="s">
        <v>1541</v>
      </c>
      <c r="AJ4" t="s">
        <v>1541</v>
      </c>
      <c r="AK4" t="s">
        <v>1541</v>
      </c>
      <c r="AL4" t="s">
        <v>1541</v>
      </c>
      <c r="AM4" t="s">
        <v>1541</v>
      </c>
      <c r="AN4" t="s">
        <v>1541</v>
      </c>
      <c r="AO4" t="s">
        <v>1541</v>
      </c>
      <c r="AP4" t="s">
        <v>1541</v>
      </c>
      <c r="AQ4" t="s">
        <v>1541</v>
      </c>
      <c r="AR4" t="s">
        <v>1541</v>
      </c>
      <c r="AS4" t="s">
        <v>1541</v>
      </c>
      <c r="AT4" s="41" t="s">
        <v>1542</v>
      </c>
      <c r="AU4" s="41" t="s">
        <v>1542</v>
      </c>
      <c r="AV4" s="41" t="s">
        <v>1542</v>
      </c>
      <c r="AW4" s="41" t="s">
        <v>1542</v>
      </c>
      <c r="AX4" s="41" t="s">
        <v>1542</v>
      </c>
      <c r="AY4" s="41" t="s">
        <v>1542</v>
      </c>
      <c r="AZ4" s="41" t="s">
        <v>1542</v>
      </c>
      <c r="BA4" s="41" t="s">
        <v>1542</v>
      </c>
      <c r="BB4" s="41" t="s">
        <v>1542</v>
      </c>
      <c r="BC4" s="41" t="s">
        <v>1542</v>
      </c>
      <c r="BD4" s="41" t="s">
        <v>1542</v>
      </c>
      <c r="BE4" s="41" t="s">
        <v>1542</v>
      </c>
    </row>
    <row r="9" spans="3:87" x14ac:dyDescent="0.3">
      <c r="C9" t="s">
        <v>1622</v>
      </c>
      <c r="D9" t="s">
        <v>1545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0</v>
      </c>
      <c r="AG9" s="44">
        <v>0</v>
      </c>
      <c r="AH9" s="8">
        <v>0</v>
      </c>
      <c r="AI9" s="8">
        <v>0</v>
      </c>
      <c r="AJ9" s="8">
        <v>0</v>
      </c>
      <c r="AK9" s="8">
        <v>0</v>
      </c>
      <c r="AL9" s="8">
        <v>0</v>
      </c>
      <c r="AM9" s="8">
        <v>0</v>
      </c>
      <c r="AN9" s="8">
        <v>0</v>
      </c>
      <c r="AO9" s="8">
        <v>0</v>
      </c>
      <c r="AP9" s="8">
        <v>0</v>
      </c>
      <c r="AQ9" s="8">
        <v>0</v>
      </c>
      <c r="AR9" s="8">
        <v>0</v>
      </c>
      <c r="AS9" s="8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8"/>
      <c r="BG9" s="8"/>
      <c r="BH9" s="8" t="str">
        <f>C9</f>
        <v>IntIncome</v>
      </c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</row>
    <row r="10" spans="3:87" x14ac:dyDescent="0.3">
      <c r="C10" t="s">
        <v>1622</v>
      </c>
      <c r="D10" t="s">
        <v>1546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8">
        <v>0</v>
      </c>
      <c r="AI10" s="8">
        <v>0</v>
      </c>
      <c r="AJ10" s="8">
        <v>0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  <c r="AP10" s="8">
        <v>0</v>
      </c>
      <c r="AQ10" s="8">
        <v>0</v>
      </c>
      <c r="AR10" s="8">
        <v>0</v>
      </c>
      <c r="AS10" s="8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8"/>
      <c r="BG10" s="8"/>
      <c r="BH10" s="8" t="str">
        <f>C10</f>
        <v>IntIncome</v>
      </c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</row>
    <row r="11" spans="3:87" x14ac:dyDescent="0.3">
      <c r="C11" t="s">
        <v>1622</v>
      </c>
      <c r="D11" t="s">
        <v>1547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0</v>
      </c>
      <c r="AG11" s="44">
        <v>0</v>
      </c>
      <c r="AH11" s="8">
        <v>0</v>
      </c>
      <c r="AI11" s="8">
        <v>0</v>
      </c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>
        <v>0</v>
      </c>
      <c r="AQ11" s="8">
        <v>0</v>
      </c>
      <c r="AR11" s="8">
        <v>0</v>
      </c>
      <c r="AS11" s="8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8"/>
      <c r="BG11" s="8"/>
      <c r="BH11" s="8" t="str">
        <f>C11</f>
        <v>IntIncome</v>
      </c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</row>
    <row r="12" spans="3:87" x14ac:dyDescent="0.3">
      <c r="C12" t="s">
        <v>1622</v>
      </c>
      <c r="D12" t="s">
        <v>1548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8">
        <v>0</v>
      </c>
      <c r="AI12" s="8">
        <v>0</v>
      </c>
      <c r="AJ12" s="8">
        <v>0</v>
      </c>
      <c r="AK12" s="8">
        <v>0</v>
      </c>
      <c r="AL12" s="8">
        <v>0</v>
      </c>
      <c r="AM12" s="8">
        <v>0</v>
      </c>
      <c r="AN12" s="8">
        <v>0</v>
      </c>
      <c r="AO12" s="8">
        <v>0</v>
      </c>
      <c r="AP12" s="8">
        <v>0</v>
      </c>
      <c r="AQ12" s="8">
        <v>0</v>
      </c>
      <c r="AR12" s="8">
        <v>0</v>
      </c>
      <c r="AS12" s="8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8"/>
      <c r="BG12" s="8"/>
      <c r="BH12" s="8" t="str">
        <f>C12</f>
        <v>IntIncome</v>
      </c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</row>
    <row r="13" spans="3:87" x14ac:dyDescent="0.3">
      <c r="C13" t="s">
        <v>1622</v>
      </c>
      <c r="D13" t="s">
        <v>1549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8">
        <v>0</v>
      </c>
      <c r="AI13" s="8">
        <v>0</v>
      </c>
      <c r="AJ13" s="8">
        <v>0</v>
      </c>
      <c r="AK13" s="8">
        <v>0</v>
      </c>
      <c r="AL13" s="8">
        <v>0</v>
      </c>
      <c r="AM13" s="8">
        <v>0</v>
      </c>
      <c r="AN13" s="8">
        <v>0</v>
      </c>
      <c r="AO13" s="8">
        <v>0</v>
      </c>
      <c r="AP13" s="8">
        <v>0</v>
      </c>
      <c r="AQ13" s="8">
        <v>0</v>
      </c>
      <c r="AR13" s="8">
        <v>0</v>
      </c>
      <c r="AS13" s="8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</row>
    <row r="14" spans="3:87" x14ac:dyDescent="0.3"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</row>
    <row r="15" spans="3:87" x14ac:dyDescent="0.3">
      <c r="C15" t="s">
        <v>1623</v>
      </c>
      <c r="G15" s="8">
        <v>27908624.070000064</v>
      </c>
      <c r="H15" s="8">
        <v>24323024.13000001</v>
      </c>
      <c r="I15" s="8">
        <v>25785958.340000153</v>
      </c>
      <c r="J15" s="8">
        <v>23955410.760000054</v>
      </c>
      <c r="K15" s="8">
        <v>23518561.460000079</v>
      </c>
      <c r="L15" s="8">
        <v>21350795.250000034</v>
      </c>
      <c r="M15" s="8">
        <v>20540538.519999951</v>
      </c>
      <c r="N15" s="8">
        <v>19047664.54000001</v>
      </c>
      <c r="O15" s="8">
        <v>17022966.319999963</v>
      </c>
      <c r="P15" s="8">
        <v>16100627.029999958</v>
      </c>
      <c r="Q15" s="8">
        <v>14383451.959999993</v>
      </c>
      <c r="R15" s="8">
        <v>13916254.059999974</v>
      </c>
      <c r="S15" s="8">
        <v>12981762.440000016</v>
      </c>
      <c r="T15" s="8">
        <v>11371820.340000009</v>
      </c>
      <c r="U15" s="8">
        <v>11322520.619999999</v>
      </c>
      <c r="V15" s="44">
        <v>10227290.240000026</v>
      </c>
      <c r="W15" s="44">
        <v>9664286.7699999791</v>
      </c>
      <c r="X15" s="44">
        <v>7582814.9500000151</v>
      </c>
      <c r="Y15" s="44">
        <v>6602480.840000011</v>
      </c>
      <c r="Z15" s="44">
        <v>5576183.6100000031</v>
      </c>
      <c r="AA15" s="44">
        <v>4428853.0399999833</v>
      </c>
      <c r="AB15" s="44">
        <v>3627180.6300000083</v>
      </c>
      <c r="AC15" s="44">
        <v>2809832.2499999986</v>
      </c>
      <c r="AD15" s="44">
        <v>2514491.4600000056</v>
      </c>
      <c r="AE15" s="44">
        <v>2214639.5999999992</v>
      </c>
      <c r="AF15" s="44">
        <v>1785479.9</v>
      </c>
      <c r="AG15" s="44">
        <v>1733497.8400000029</v>
      </c>
      <c r="AH15" s="8">
        <v>1434757.8499999996</v>
      </c>
      <c r="AI15" s="8">
        <v>1325050.7699999986</v>
      </c>
      <c r="AJ15" s="8">
        <v>1119097.6399999973</v>
      </c>
      <c r="AK15" s="8">
        <v>986806.92000000249</v>
      </c>
      <c r="AL15" s="8">
        <v>846904.01000000024</v>
      </c>
      <c r="AM15" s="8">
        <v>686265.96999999962</v>
      </c>
      <c r="AN15" s="8">
        <v>591665.34999999905</v>
      </c>
      <c r="AO15" s="8">
        <v>483517.59</v>
      </c>
      <c r="AP15" s="8">
        <v>431477.58000000025</v>
      </c>
      <c r="AQ15" s="8">
        <v>381026.51000000024</v>
      </c>
      <c r="AR15" s="8">
        <v>303740.9700000002</v>
      </c>
      <c r="AS15" s="8">
        <v>290862.22000000003</v>
      </c>
      <c r="AT15" s="44">
        <v>244493.19999999995</v>
      </c>
      <c r="AU15" s="44">
        <v>219075.75</v>
      </c>
      <c r="AV15" s="44">
        <v>181709.01</v>
      </c>
      <c r="AW15" s="44">
        <v>155500.28</v>
      </c>
      <c r="AX15" s="44">
        <v>126440.79999999999</v>
      </c>
      <c r="AY15" s="44">
        <v>95598.420000000013</v>
      </c>
      <c r="AZ15" s="44">
        <v>71408.92</v>
      </c>
      <c r="BA15" s="44">
        <v>44564.22</v>
      </c>
      <c r="BB15" s="44">
        <v>23960.58</v>
      </c>
      <c r="BC15" s="44">
        <v>6412.4800000000005</v>
      </c>
      <c r="BD15" s="44">
        <v>1462.16</v>
      </c>
      <c r="BE15" s="44">
        <v>368.62</v>
      </c>
      <c r="BF15" s="8"/>
      <c r="BG15" s="8"/>
      <c r="BH15" s="8" t="str">
        <f>C15</f>
        <v>IntIncome_curr</v>
      </c>
      <c r="BI15" s="8"/>
      <c r="BJ15" s="8"/>
      <c r="BK15" s="8" t="s">
        <v>1641</v>
      </c>
      <c r="BL15" s="8">
        <f>SUM($J15:J15)</f>
        <v>23955410.760000054</v>
      </c>
      <c r="BM15" s="8">
        <f>SUM($J$15:K15)</f>
        <v>47473972.220000133</v>
      </c>
      <c r="BN15" s="8">
        <f>SUM($J$15:L15)</f>
        <v>68824767.470000163</v>
      </c>
      <c r="BO15" s="8">
        <f>SUM($J$15:M15)</f>
        <v>89365305.990000114</v>
      </c>
      <c r="BP15" s="8">
        <f>SUM($J$15:N15)</f>
        <v>108412970.53000012</v>
      </c>
      <c r="BQ15" s="8">
        <f>SUM($J$15:O15)</f>
        <v>125435936.85000008</v>
      </c>
      <c r="BR15" s="8">
        <f>SUM($J$15:P15)</f>
        <v>141536563.88000005</v>
      </c>
      <c r="BS15" s="8">
        <f>SUM($J$15:Q15)</f>
        <v>155920015.84000003</v>
      </c>
      <c r="BT15" s="8">
        <f>SUM($J$15:R15)</f>
        <v>169836269.90000001</v>
      </c>
      <c r="BU15" s="8">
        <f>SUM($J$15:S15)</f>
        <v>182818032.34000003</v>
      </c>
      <c r="BV15" s="8">
        <f>SUM($J$15:T15)</f>
        <v>194189852.68000004</v>
      </c>
      <c r="BW15" s="8">
        <f>SUM($J$15:U15)</f>
        <v>205512373.30000004</v>
      </c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</row>
    <row r="16" spans="3:87" x14ac:dyDescent="0.3"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</row>
    <row r="17" spans="3:87" x14ac:dyDescent="0.3">
      <c r="C17" t="s">
        <v>1624</v>
      </c>
      <c r="D17" t="s">
        <v>1545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8">
        <v>0</v>
      </c>
      <c r="AI17" s="8">
        <v>0</v>
      </c>
      <c r="AJ17" s="8">
        <v>0</v>
      </c>
      <c r="AK17" s="8">
        <v>0</v>
      </c>
      <c r="AL17" s="8">
        <v>0</v>
      </c>
      <c r="AM17" s="8">
        <v>0</v>
      </c>
      <c r="AN17" s="8">
        <v>0</v>
      </c>
      <c r="AO17" s="8">
        <v>0</v>
      </c>
      <c r="AP17" s="8">
        <v>0</v>
      </c>
      <c r="AQ17" s="8">
        <v>0</v>
      </c>
      <c r="AR17" s="8">
        <v>0</v>
      </c>
      <c r="AS17" s="8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8"/>
      <c r="BG17" s="8"/>
      <c r="BH17" s="8" t="str">
        <f>C17</f>
        <v>IntExpenses</v>
      </c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</row>
    <row r="18" spans="3:87" x14ac:dyDescent="0.3">
      <c r="C18" t="s">
        <v>1624</v>
      </c>
      <c r="D18" t="s">
        <v>1546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8"/>
      <c r="BG18" s="8"/>
      <c r="BH18" s="8" t="str">
        <f>C18</f>
        <v>IntExpenses</v>
      </c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</row>
    <row r="19" spans="3:87" x14ac:dyDescent="0.3">
      <c r="C19" t="s">
        <v>1624</v>
      </c>
      <c r="D19" t="s">
        <v>1547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8">
        <v>0</v>
      </c>
      <c r="AI19" s="8">
        <v>0</v>
      </c>
      <c r="AJ19" s="8"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v>0</v>
      </c>
      <c r="AQ19" s="8">
        <v>0</v>
      </c>
      <c r="AR19" s="8">
        <v>0</v>
      </c>
      <c r="AS19" s="8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8"/>
      <c r="BG19" s="8"/>
      <c r="BH19" s="8" t="str">
        <f>C19</f>
        <v>IntExpenses</v>
      </c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</row>
    <row r="20" spans="3:87" x14ac:dyDescent="0.3">
      <c r="C20" t="s">
        <v>1624</v>
      </c>
      <c r="D20" t="s">
        <v>1548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8"/>
      <c r="BG20" s="8"/>
      <c r="BH20" s="8" t="str">
        <f>C20</f>
        <v>IntExpenses</v>
      </c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</row>
    <row r="21" spans="3:87" x14ac:dyDescent="0.3">
      <c r="C21" t="s">
        <v>1624</v>
      </c>
      <c r="D21" t="s">
        <v>1549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8">
        <v>0</v>
      </c>
      <c r="AI21" s="8">
        <v>0</v>
      </c>
      <c r="AJ21" s="8">
        <v>0</v>
      </c>
      <c r="AK21" s="8">
        <v>0</v>
      </c>
      <c r="AL21" s="8">
        <v>0</v>
      </c>
      <c r="AM21" s="8">
        <v>0</v>
      </c>
      <c r="AN21" s="8">
        <v>0</v>
      </c>
      <c r="AO21" s="8">
        <v>0</v>
      </c>
      <c r="AP21" s="8">
        <v>0</v>
      </c>
      <c r="AQ21" s="8">
        <v>0</v>
      </c>
      <c r="AR21" s="8">
        <v>0</v>
      </c>
      <c r="AS21" s="8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8"/>
      <c r="BG21" s="8"/>
      <c r="BH21" s="8" t="str">
        <f>C21</f>
        <v>IntExpenses</v>
      </c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</row>
    <row r="22" spans="3:87" x14ac:dyDescent="0.3"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</row>
    <row r="23" spans="3:87" x14ac:dyDescent="0.3">
      <c r="C23" t="s">
        <v>1557</v>
      </c>
      <c r="D23" t="s">
        <v>1488</v>
      </c>
      <c r="G23" s="8">
        <v>-11821898.874331513</v>
      </c>
      <c r="H23" s="8">
        <v>-9937626.8144561611</v>
      </c>
      <c r="I23" s="8">
        <v>-10403043.778166298</v>
      </c>
      <c r="J23" s="8">
        <v>-9500049.3631235603</v>
      </c>
      <c r="K23" s="8">
        <v>-9228011.163443286</v>
      </c>
      <c r="L23" s="8">
        <v>-8169053.863009315</v>
      </c>
      <c r="M23" s="8">
        <v>-7668042.6723336997</v>
      </c>
      <c r="N23" s="8">
        <v>-6895203.8586049341</v>
      </c>
      <c r="O23" s="8">
        <v>-5941706.428307673</v>
      </c>
      <c r="P23" s="8">
        <v>-5429779.9934819173</v>
      </c>
      <c r="Q23" s="8">
        <v>-4609778.8754276726</v>
      </c>
      <c r="R23" s="8">
        <v>-4308984.962803835</v>
      </c>
      <c r="S23" s="8">
        <v>-3903328.0553802731</v>
      </c>
      <c r="T23" s="8">
        <v>-3273308.5322454781</v>
      </c>
      <c r="U23" s="8">
        <v>-3101960.9850161644</v>
      </c>
      <c r="V23" s="44">
        <v>-2706482.3995591784</v>
      </c>
      <c r="W23" s="44">
        <v>-2409283.3856493151</v>
      </c>
      <c r="X23" s="44">
        <v>-1629113.261829864</v>
      </c>
      <c r="Y23" s="44">
        <v>-1120326.7768457527</v>
      </c>
      <c r="Z23" s="44">
        <v>-726126.98363945249</v>
      </c>
      <c r="AA23" s="44">
        <v>-518083.89659506886</v>
      </c>
      <c r="AB23" s="44">
        <v>-401149.08741643821</v>
      </c>
      <c r="AC23" s="44">
        <v>-275697.3221358906</v>
      </c>
      <c r="AD23" s="44">
        <v>-199446.59052000011</v>
      </c>
      <c r="AE23" s="44">
        <v>-125783.54805698636</v>
      </c>
      <c r="AF23" s="44">
        <v>-83225.942592876672</v>
      </c>
      <c r="AG23" s="44">
        <v>-77944.068035616394</v>
      </c>
      <c r="AH23" s="8">
        <v>-63804.9629589041</v>
      </c>
      <c r="AI23" s="8">
        <v>-53532.029402739783</v>
      </c>
      <c r="AJ23" s="8">
        <v>-40555.402356164399</v>
      </c>
      <c r="AK23" s="8">
        <v>-29894.976123287699</v>
      </c>
      <c r="AL23" s="8">
        <v>-17107.717791780786</v>
      </c>
      <c r="AM23" s="8">
        <v>-1893.68715068493</v>
      </c>
      <c r="AN23" s="8">
        <v>0</v>
      </c>
      <c r="AO23" s="8">
        <v>0</v>
      </c>
      <c r="AP23" s="8">
        <v>0</v>
      </c>
      <c r="AQ23" s="8">
        <v>0</v>
      </c>
      <c r="AR23" s="8">
        <v>0</v>
      </c>
      <c r="AS23" s="8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8"/>
      <c r="BG23" s="8"/>
      <c r="BH23" s="8" t="str">
        <f>C23</f>
        <v>IntExp_curr</v>
      </c>
      <c r="BI23" s="8"/>
      <c r="BJ23" s="8"/>
      <c r="BK23" t="s">
        <v>1645</v>
      </c>
      <c r="BL23" s="8">
        <f>SUM($J23:J23)</f>
        <v>-9500049.3631235603</v>
      </c>
      <c r="BM23" s="8">
        <f>SUM($J23:K23)</f>
        <v>-18728060.526566848</v>
      </c>
      <c r="BN23" s="8">
        <f>SUM($J23:L23)</f>
        <v>-26897114.389576163</v>
      </c>
      <c r="BO23" s="8">
        <f>SUM($J23:M23)</f>
        <v>-34565157.061909862</v>
      </c>
      <c r="BP23" s="8">
        <f>SUM($J23:N23)</f>
        <v>-41460360.920514792</v>
      </c>
      <c r="BQ23" s="8">
        <f>SUM($J23:O23)</f>
        <v>-47402067.348822467</v>
      </c>
      <c r="BR23" s="8">
        <f>SUM($J23:P23)</f>
        <v>-52831847.342304386</v>
      </c>
      <c r="BS23" s="8">
        <f>SUM($J23:Q23)</f>
        <v>-57441626.217732057</v>
      </c>
      <c r="BT23" s="8">
        <f>SUM($J23:R23)</f>
        <v>-61750611.18053589</v>
      </c>
      <c r="BU23" s="8">
        <f>SUM($J23:S23)</f>
        <v>-65653939.23591616</v>
      </c>
      <c r="BV23" s="8">
        <f>SUM($J23:T23)</f>
        <v>-68927247.76816164</v>
      </c>
      <c r="BW23" s="8">
        <f>SUM($J23:U23)</f>
        <v>-72029208.753177807</v>
      </c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</row>
    <row r="24" spans="3:87" x14ac:dyDescent="0.3">
      <c r="C24" t="s">
        <v>1558</v>
      </c>
      <c r="D24" t="s">
        <v>1488</v>
      </c>
      <c r="G24" s="8">
        <v>-611813.79856084939</v>
      </c>
      <c r="H24" s="8">
        <v>-568201.20652913966</v>
      </c>
      <c r="I24" s="8">
        <v>-694203.00621701905</v>
      </c>
      <c r="J24" s="8">
        <v>-677557.22830964369</v>
      </c>
      <c r="K24" s="8">
        <v>-744686.04528636159</v>
      </c>
      <c r="L24" s="8">
        <v>-747116.00529011502</v>
      </c>
      <c r="M24" s="8">
        <v>-786897.68178383005</v>
      </c>
      <c r="N24" s="8">
        <v>-908825.33620040538</v>
      </c>
      <c r="O24" s="8">
        <v>-969178.81036285474</v>
      </c>
      <c r="P24" s="8">
        <v>-1042465.2759438904</v>
      </c>
      <c r="Q24" s="8">
        <v>-1165655.1198044219</v>
      </c>
      <c r="R24" s="8">
        <v>-1225115.7651109973</v>
      </c>
      <c r="S24" s="8">
        <v>-1340578.8815540599</v>
      </c>
      <c r="T24" s="8">
        <v>-1340578.8815540599</v>
      </c>
      <c r="U24" s="8">
        <v>-1380558.9531251343</v>
      </c>
      <c r="V24" s="8">
        <v>-1380558.9531251343</v>
      </c>
      <c r="W24" s="8">
        <v>-1380558.9531251343</v>
      </c>
      <c r="X24" s="8">
        <v>-1380558.9531251343</v>
      </c>
      <c r="Y24" s="8">
        <v>-1380558.9531251343</v>
      </c>
      <c r="Z24" s="8">
        <v>-1380558.9531251343</v>
      </c>
      <c r="AA24" s="8">
        <v>-1380558.9531251343</v>
      </c>
      <c r="AB24" s="8">
        <v>-1380558.9531251343</v>
      </c>
      <c r="AC24" s="8">
        <v>-1380558.9531251343</v>
      </c>
      <c r="AD24" s="8">
        <v>-1380558.9531251343</v>
      </c>
      <c r="AE24" s="8">
        <v>-1380558.9531251343</v>
      </c>
      <c r="AF24" s="8">
        <v>-1380558.9531251343</v>
      </c>
      <c r="AG24" s="8">
        <v>-1380558.9531251343</v>
      </c>
      <c r="AH24" s="8">
        <v>-1380558.9531251343</v>
      </c>
      <c r="AI24" s="8">
        <v>-1380558.9531251343</v>
      </c>
      <c r="AJ24" s="8">
        <v>-1380558.9531251343</v>
      </c>
      <c r="AK24" s="8">
        <v>-1380558.9531251343</v>
      </c>
      <c r="AL24" s="8">
        <v>-1380558.9531251343</v>
      </c>
      <c r="AM24" s="8">
        <v>-1380558.9531251343</v>
      </c>
      <c r="AN24" s="8">
        <v>-1380558.9531251343</v>
      </c>
      <c r="AO24" s="8">
        <v>-1380558.9531251343</v>
      </c>
      <c r="AP24" s="8">
        <v>-1380558.9531251343</v>
      </c>
      <c r="AQ24" s="8">
        <v>-1380558.9531251343</v>
      </c>
      <c r="AR24" s="8">
        <v>-1380558.9531251343</v>
      </c>
      <c r="AS24" s="8">
        <v>-1380558.9531251343</v>
      </c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8"/>
      <c r="BG24" s="8"/>
      <c r="BH24" s="8" t="str">
        <f>C24</f>
        <v>IntExp_curr MCF</v>
      </c>
      <c r="BI24" s="8"/>
      <c r="BJ24" s="8"/>
      <c r="BK24" t="s">
        <v>1645</v>
      </c>
      <c r="BL24" s="8">
        <f>SUM($J24:J24)</f>
        <v>-677557.22830964369</v>
      </c>
      <c r="BM24" s="8">
        <f>SUM($J24:K24)</f>
        <v>-1422243.2735960053</v>
      </c>
      <c r="BN24" s="8">
        <f>SUM($J24:L24)</f>
        <v>-2169359.2788861203</v>
      </c>
      <c r="BO24" s="8">
        <f>SUM($J24:M24)</f>
        <v>-2956256.9606699506</v>
      </c>
      <c r="BP24" s="8">
        <f>SUM($J24:N24)</f>
        <v>-3865082.296870356</v>
      </c>
      <c r="BQ24" s="8">
        <f>SUM($J24:O24)</f>
        <v>-4834261.1072332105</v>
      </c>
      <c r="BR24" s="8">
        <f>SUM($J24:P24)</f>
        <v>-5876726.3831771007</v>
      </c>
      <c r="BS24" s="8">
        <f>SUM($J24:Q24)</f>
        <v>-7042381.5029815231</v>
      </c>
      <c r="BT24" s="8">
        <f>SUM($J24:R24)</f>
        <v>-8267497.2680925205</v>
      </c>
      <c r="BU24" s="8">
        <f>SUM($J24:S24)</f>
        <v>-9608076.1496465802</v>
      </c>
      <c r="BV24" s="8">
        <f>SUM($J24:T24)</f>
        <v>-10948655.03120064</v>
      </c>
      <c r="BW24" s="8">
        <f>SUM($J24:U24)</f>
        <v>-12329213.984325774</v>
      </c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</row>
    <row r="25" spans="3:87" x14ac:dyDescent="0.3"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</row>
    <row r="26" spans="3:87" x14ac:dyDescent="0.3"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</row>
    <row r="27" spans="3:87" ht="22.95" customHeight="1" x14ac:dyDescent="0.3">
      <c r="C27" t="s">
        <v>1559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8">
        <v>0</v>
      </c>
      <c r="AI27" s="8">
        <v>0</v>
      </c>
      <c r="AJ27" s="8"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v>0</v>
      </c>
      <c r="AQ27" s="8">
        <v>0</v>
      </c>
      <c r="AR27" s="8">
        <v>0</v>
      </c>
      <c r="AS27" s="8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8"/>
      <c r="BG27" s="8"/>
      <c r="BH27" s="8" t="str">
        <f>C27</f>
        <v>GurrExp</v>
      </c>
      <c r="BI27" s="8"/>
      <c r="BJ27" s="8"/>
      <c r="BK27" s="8"/>
      <c r="BL27" s="8">
        <f>SUM($J27:J27)</f>
        <v>0</v>
      </c>
      <c r="BM27" s="8">
        <f>SUM($J27:K27)</f>
        <v>0</v>
      </c>
      <c r="BN27" s="8">
        <f>SUM($J27:L27)</f>
        <v>0</v>
      </c>
      <c r="BO27" s="8">
        <f>SUM($J27:M27)</f>
        <v>0</v>
      </c>
      <c r="BP27" s="8">
        <f>SUM($J27:N27)</f>
        <v>0</v>
      </c>
      <c r="BQ27" s="8">
        <f>SUM($J27:O27)</f>
        <v>0</v>
      </c>
      <c r="BR27" s="8">
        <f>SUM($J27:P27)</f>
        <v>0</v>
      </c>
      <c r="BS27" s="8">
        <f>SUM($J27:Q27)</f>
        <v>0</v>
      </c>
      <c r="BT27" s="8">
        <f>SUM($J27:R27)</f>
        <v>0</v>
      </c>
      <c r="BU27" s="8">
        <f>SUM($J27:S27)</f>
        <v>0</v>
      </c>
      <c r="BV27" s="8">
        <f>SUM($J27:T27)</f>
        <v>0</v>
      </c>
      <c r="BW27" s="8">
        <f>SUM($J27:U27)</f>
        <v>0</v>
      </c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</row>
    <row r="28" spans="3:87" ht="22.95" customHeight="1" x14ac:dyDescent="0.3">
      <c r="C28" t="s">
        <v>1561</v>
      </c>
      <c r="G28" s="8">
        <v>-1346838.4075</v>
      </c>
      <c r="H28" s="8">
        <v>-1306400.8529166665</v>
      </c>
      <c r="I28" s="8">
        <v>-1229539.8179166666</v>
      </c>
      <c r="J28" s="8">
        <v>-1158205.1079166667</v>
      </c>
      <c r="K28" s="8">
        <v>-1072562.60375</v>
      </c>
      <c r="L28" s="8">
        <v>-975451.38500000013</v>
      </c>
      <c r="M28" s="8">
        <v>-885511.63</v>
      </c>
      <c r="N28" s="8">
        <v>-793954.66749999998</v>
      </c>
      <c r="O28" s="8">
        <v>-706209.18583333341</v>
      </c>
      <c r="P28" s="8">
        <v>-625914.86791666667</v>
      </c>
      <c r="Q28" s="8">
        <v>-554969.20791666664</v>
      </c>
      <c r="R28" s="8">
        <v>-497593.13041666674</v>
      </c>
      <c r="S28" s="8">
        <v>-445401.09250000003</v>
      </c>
      <c r="T28" s="8">
        <v>-393807.93625000003</v>
      </c>
      <c r="U28" s="8">
        <v>-348281.06291666662</v>
      </c>
      <c r="V28" s="44">
        <v>-309194.93916666665</v>
      </c>
      <c r="W28" s="44">
        <v>-252815.2179166667</v>
      </c>
      <c r="X28" s="44">
        <v>-173870.035</v>
      </c>
      <c r="Y28" s="44">
        <v>-106721.59666666666</v>
      </c>
      <c r="Z28" s="44">
        <v>-69709.420416666675</v>
      </c>
      <c r="AA28" s="44">
        <v>-49537.785833333342</v>
      </c>
      <c r="AB28" s="44">
        <v>-36388.870833333334</v>
      </c>
      <c r="AC28" s="44">
        <v>-25772.088333333333</v>
      </c>
      <c r="AD28" s="44">
        <v>-16735.833333333332</v>
      </c>
      <c r="AE28" s="44">
        <v>-11293.745416666668</v>
      </c>
      <c r="AF28" s="44">
        <v>-8749.3250000000007</v>
      </c>
      <c r="AG28" s="44">
        <v>-7276.7279166666667</v>
      </c>
      <c r="AH28" s="8">
        <v>-6061.6520833333325</v>
      </c>
      <c r="AI28" s="8">
        <v>-4846.5762500000001</v>
      </c>
      <c r="AJ28" s="8">
        <v>-3631.5004166666668</v>
      </c>
      <c r="AK28" s="8">
        <v>-2416.4245833333334</v>
      </c>
      <c r="AL28" s="8">
        <v>-1201.3487500000001</v>
      </c>
      <c r="AM28" s="8">
        <v>-296.90541666666667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8"/>
      <c r="BG28" s="8"/>
      <c r="BH28" s="8" t="str">
        <f>C28</f>
        <v>GurrExp_Curr</v>
      </c>
      <c r="BI28" s="8"/>
      <c r="BJ28" s="8"/>
      <c r="BK28" t="s">
        <v>1650</v>
      </c>
      <c r="BL28" s="8">
        <f>SUM($J28:J28)</f>
        <v>-1158205.1079166667</v>
      </c>
      <c r="BM28" s="8">
        <f>SUM($J28:K28)</f>
        <v>-2230767.7116666669</v>
      </c>
      <c r="BN28" s="8">
        <f>SUM($J28:L28)</f>
        <v>-3206219.0966666671</v>
      </c>
      <c r="BO28" s="8">
        <f>SUM($J28:M28)</f>
        <v>-4091730.726666667</v>
      </c>
      <c r="BP28" s="8">
        <f>SUM($J28:N28)</f>
        <v>-4885685.394166667</v>
      </c>
      <c r="BQ28" s="8">
        <f>SUM($J28:O28)</f>
        <v>-5591894.5800000001</v>
      </c>
      <c r="BR28" s="8">
        <f>SUM($J28:P28)</f>
        <v>-6217809.447916667</v>
      </c>
      <c r="BS28" s="8">
        <f>SUM($J28:Q28)</f>
        <v>-6772778.6558333337</v>
      </c>
      <c r="BT28" s="8">
        <f>SUM($J28:R28)</f>
        <v>-7270371.7862500008</v>
      </c>
      <c r="BU28" s="8">
        <f>SUM($J28:S28)</f>
        <v>-7715772.8787500011</v>
      </c>
      <c r="BV28" s="8">
        <f>SUM($J28:T28)</f>
        <v>-8109580.8150000013</v>
      </c>
      <c r="BW28" s="8">
        <f>SUM($J28:U28)</f>
        <v>-8457861.8779166676</v>
      </c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</row>
    <row r="29" spans="3:87" ht="22.95" customHeight="1" x14ac:dyDescent="0.3">
      <c r="G29" s="43"/>
      <c r="H29" s="43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</row>
    <row r="30" spans="3:87" ht="22.95" customHeight="1" x14ac:dyDescent="0.3">
      <c r="C30" t="s">
        <v>1625</v>
      </c>
      <c r="D30" t="s">
        <v>1545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44">
        <v>0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</row>
    <row r="31" spans="3:87" ht="22.95" customHeight="1" x14ac:dyDescent="0.3">
      <c r="C31" t="s">
        <v>1625</v>
      </c>
      <c r="D31" t="s">
        <v>1546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8">
        <v>0</v>
      </c>
      <c r="AI31" s="8">
        <v>0</v>
      </c>
      <c r="AJ31" s="8">
        <v>0</v>
      </c>
      <c r="AK31" s="8">
        <v>0</v>
      </c>
      <c r="AL31" s="8">
        <v>0</v>
      </c>
      <c r="AM31" s="8">
        <v>0</v>
      </c>
      <c r="AN31" s="8">
        <v>0</v>
      </c>
      <c r="AO31" s="8">
        <v>0</v>
      </c>
      <c r="AP31" s="8">
        <v>0</v>
      </c>
      <c r="AQ31" s="8">
        <v>0</v>
      </c>
      <c r="AR31" s="8">
        <v>0</v>
      </c>
      <c r="AS31" s="8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8"/>
      <c r="BG31" s="8"/>
      <c r="BH31" s="8" t="str">
        <f t="shared" ref="BH31:BH34" si="2">C31</f>
        <v>Telemservices</v>
      </c>
      <c r="BI31" s="8"/>
      <c r="BJ31" s="8"/>
      <c r="BK31" s="8"/>
      <c r="BL31" s="8">
        <f>SUM($J31:J31)</f>
        <v>0</v>
      </c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</row>
    <row r="32" spans="3:87" ht="22.95" customHeight="1" x14ac:dyDescent="0.3">
      <c r="C32" t="s">
        <v>1625</v>
      </c>
      <c r="D32" t="s">
        <v>1547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44">
        <v>0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8">
        <v>0</v>
      </c>
      <c r="AI32" s="8">
        <v>0</v>
      </c>
      <c r="AJ32" s="8">
        <v>0</v>
      </c>
      <c r="AK32" s="8">
        <v>0</v>
      </c>
      <c r="AL32" s="8">
        <v>0</v>
      </c>
      <c r="AM32" s="8">
        <v>0</v>
      </c>
      <c r="AN32" s="8">
        <v>0</v>
      </c>
      <c r="AO32" s="8">
        <v>0</v>
      </c>
      <c r="AP32" s="8">
        <v>0</v>
      </c>
      <c r="AQ32" s="8">
        <v>0</v>
      </c>
      <c r="AR32" s="8">
        <v>0</v>
      </c>
      <c r="AS32" s="8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8"/>
      <c r="BG32" s="8"/>
      <c r="BH32" s="8" t="str">
        <f t="shared" si="2"/>
        <v>Telemservices</v>
      </c>
      <c r="BI32" s="8"/>
      <c r="BJ32" s="8"/>
      <c r="BK32" s="8"/>
      <c r="BL32" s="8">
        <f>SUM($J32:J32)</f>
        <v>0</v>
      </c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</row>
    <row r="33" spans="3:87" ht="22.95" customHeight="1" x14ac:dyDescent="0.3">
      <c r="C33" t="s">
        <v>1625</v>
      </c>
      <c r="D33" t="s">
        <v>1548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44">
        <v>0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8"/>
      <c r="BG33" s="8"/>
      <c r="BH33" s="8" t="str">
        <f t="shared" si="2"/>
        <v>Telemservices</v>
      </c>
      <c r="BI33" s="8"/>
      <c r="BJ33" s="8"/>
      <c r="BK33" s="8"/>
      <c r="BL33" s="8">
        <f>SUM($J33:J33)</f>
        <v>0</v>
      </c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</row>
    <row r="34" spans="3:87" ht="22.95" customHeight="1" x14ac:dyDescent="0.3">
      <c r="C34" t="s">
        <v>1625</v>
      </c>
      <c r="D34" t="s">
        <v>1549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8">
        <v>0</v>
      </c>
      <c r="AI34" s="8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8">
        <v>0</v>
      </c>
      <c r="AS34" s="8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8"/>
      <c r="BG34" s="8"/>
      <c r="BH34" s="8" t="str">
        <f t="shared" si="2"/>
        <v>Telemservices</v>
      </c>
      <c r="BI34" s="8"/>
      <c r="BJ34" s="8"/>
      <c r="BK34" s="8"/>
      <c r="BL34" s="8">
        <f>SUM($J34:J34)</f>
        <v>0</v>
      </c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</row>
    <row r="35" spans="3:87" ht="22.95" customHeight="1" x14ac:dyDescent="0.3"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</row>
    <row r="36" spans="3:87" ht="22.95" customHeight="1" x14ac:dyDescent="0.3">
      <c r="C36" t="s">
        <v>1626</v>
      </c>
      <c r="D36" t="s">
        <v>1545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44">
        <v>0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8">
        <v>0</v>
      </c>
      <c r="AI36" s="8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8">
        <v>0</v>
      </c>
      <c r="AS36" s="8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8"/>
      <c r="BG36" s="8"/>
      <c r="BH36" s="8" t="str">
        <f t="shared" ref="BH36:BH40" si="3">C36</f>
        <v>Insurance</v>
      </c>
      <c r="BI36" s="8"/>
      <c r="BJ36" s="8"/>
      <c r="BK36" s="8"/>
      <c r="BL36" s="8">
        <f>SUM($J36:J36)</f>
        <v>0</v>
      </c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</row>
    <row r="37" spans="3:87" ht="22.95" customHeight="1" x14ac:dyDescent="0.3">
      <c r="C37" t="s">
        <v>1626</v>
      </c>
      <c r="D37" t="s">
        <v>1546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0</v>
      </c>
      <c r="T37" s="8">
        <v>0</v>
      </c>
      <c r="U37" s="8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8">
        <v>0</v>
      </c>
      <c r="AI37" s="8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8">
        <v>0</v>
      </c>
      <c r="AS37" s="8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8"/>
      <c r="BG37" s="8"/>
      <c r="BH37" s="8" t="str">
        <f t="shared" si="3"/>
        <v>Insurance</v>
      </c>
      <c r="BI37" s="8"/>
      <c r="BJ37" s="8"/>
      <c r="BK37" s="8"/>
      <c r="BL37" s="8">
        <f>SUM($J37:J37)</f>
        <v>0</v>
      </c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</row>
    <row r="38" spans="3:87" ht="22.95" customHeight="1" x14ac:dyDescent="0.3">
      <c r="C38" t="s">
        <v>1626</v>
      </c>
      <c r="D38" t="s">
        <v>1547</v>
      </c>
      <c r="G38" s="8">
        <v>0</v>
      </c>
      <c r="H38" s="8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0</v>
      </c>
      <c r="T38" s="8">
        <v>0</v>
      </c>
      <c r="U38" s="8">
        <v>0</v>
      </c>
      <c r="V38" s="44">
        <v>0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8">
        <v>0</v>
      </c>
      <c r="AI38" s="8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8">
        <v>0</v>
      </c>
      <c r="AS38" s="8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8"/>
      <c r="BG38" s="8"/>
      <c r="BH38" s="8" t="str">
        <f t="shared" si="3"/>
        <v>Insurance</v>
      </c>
      <c r="BI38" s="8"/>
      <c r="BJ38" s="8"/>
      <c r="BK38" s="8"/>
      <c r="BL38" s="8">
        <f>SUM($J38:J38)</f>
        <v>0</v>
      </c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</row>
    <row r="39" spans="3:87" ht="22.95" customHeight="1" x14ac:dyDescent="0.3">
      <c r="C39" t="s">
        <v>1626</v>
      </c>
      <c r="D39" t="s">
        <v>1548</v>
      </c>
      <c r="G39" s="8">
        <v>0</v>
      </c>
      <c r="H39" s="8">
        <v>0</v>
      </c>
      <c r="I39" s="8">
        <v>0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  <c r="T39" s="8">
        <v>0</v>
      </c>
      <c r="U39" s="8">
        <v>0</v>
      </c>
      <c r="V39" s="44">
        <v>0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8">
        <v>0</v>
      </c>
      <c r="AI39" s="8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8">
        <v>0</v>
      </c>
      <c r="AS39" s="8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8"/>
      <c r="BG39" s="8"/>
      <c r="BH39" s="8" t="str">
        <f t="shared" si="3"/>
        <v>Insurance</v>
      </c>
      <c r="BI39" s="8"/>
      <c r="BJ39" s="8"/>
      <c r="BK39" s="8"/>
      <c r="BL39" s="8">
        <f>SUM($J39:J39)</f>
        <v>0</v>
      </c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</row>
    <row r="40" spans="3:87" ht="22.95" customHeight="1" x14ac:dyDescent="0.3">
      <c r="C40" t="s">
        <v>1626</v>
      </c>
      <c r="D40" t="s">
        <v>1549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0</v>
      </c>
      <c r="U40" s="8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8">
        <v>0</v>
      </c>
      <c r="AS40" s="8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8"/>
      <c r="BG40" s="8"/>
      <c r="BH40" s="8" t="str">
        <f t="shared" si="3"/>
        <v>Insurance</v>
      </c>
      <c r="BI40" s="8"/>
      <c r="BJ40" s="8"/>
      <c r="BK40" s="8"/>
      <c r="BL40" s="8">
        <f>SUM($J40:J40)</f>
        <v>0</v>
      </c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</row>
    <row r="41" spans="3:87" ht="22.95" customHeight="1" x14ac:dyDescent="0.3"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</row>
    <row r="42" spans="3:87" ht="22.95" customHeight="1" x14ac:dyDescent="0.3">
      <c r="C42" t="s">
        <v>1627</v>
      </c>
      <c r="D42" t="s">
        <v>1628</v>
      </c>
      <c r="G42" s="8">
        <v>-800000</v>
      </c>
      <c r="H42" s="8">
        <v>-800000</v>
      </c>
      <c r="I42" s="8">
        <v>-800000</v>
      </c>
      <c r="J42" s="8">
        <v>-800000</v>
      </c>
      <c r="K42" s="8">
        <v>-800000</v>
      </c>
      <c r="L42" s="8">
        <v>-800000</v>
      </c>
      <c r="M42" s="8">
        <v>-800000</v>
      </c>
      <c r="N42" s="8">
        <v>-800000</v>
      </c>
      <c r="O42" s="8">
        <v>-800000</v>
      </c>
      <c r="P42" s="8">
        <v>-800000</v>
      </c>
      <c r="Q42" s="8">
        <v>-800000</v>
      </c>
      <c r="R42" s="8">
        <v>-800000</v>
      </c>
      <c r="S42" s="8">
        <v>-800000</v>
      </c>
      <c r="T42" s="8">
        <v>-800000</v>
      </c>
      <c r="U42" s="8">
        <v>-800000</v>
      </c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8"/>
      <c r="BG42" s="8"/>
      <c r="BH42" s="8"/>
      <c r="BI42" s="8"/>
      <c r="BJ42" s="8"/>
      <c r="BK42" s="53" t="s">
        <v>1646</v>
      </c>
      <c r="BL42" s="8">
        <f>SUM($J42:J42)</f>
        <v>-800000</v>
      </c>
      <c r="BM42" s="8">
        <f>SUM($J42:K42)</f>
        <v>-1600000</v>
      </c>
      <c r="BN42" s="8">
        <f>SUM($J42:L42)</f>
        <v>-2400000</v>
      </c>
      <c r="BO42" s="8">
        <f>SUM($J42:M42)</f>
        <v>-3200000</v>
      </c>
      <c r="BP42" s="8">
        <f>SUM($J42:N42)</f>
        <v>-4000000</v>
      </c>
      <c r="BQ42" s="8">
        <f>SUM($J42:O42)</f>
        <v>-4800000</v>
      </c>
      <c r="BR42" s="8">
        <f>SUM($J42:P42)</f>
        <v>-5600000</v>
      </c>
      <c r="BS42" s="8">
        <f>SUM($J42:Q42)</f>
        <v>-6400000</v>
      </c>
      <c r="BT42" s="8">
        <f>SUM($J42:R42)</f>
        <v>-7200000</v>
      </c>
      <c r="BU42" s="8">
        <f>SUM($J42:S42)</f>
        <v>-8000000</v>
      </c>
      <c r="BV42" s="8">
        <f>SUM($J42:T42)</f>
        <v>-8800000</v>
      </c>
      <c r="BW42" s="8">
        <f>SUM($J42:U42)</f>
        <v>-9600000</v>
      </c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</row>
    <row r="43" spans="3:87" ht="22.95" customHeight="1" x14ac:dyDescent="0.3"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</row>
    <row r="44" spans="3:87" ht="22.95" customHeight="1" x14ac:dyDescent="0.3"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</row>
    <row r="45" spans="3:87" ht="22.95" customHeight="1" x14ac:dyDescent="0.3"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</row>
    <row r="46" spans="3:87" ht="22.95" customHeight="1" x14ac:dyDescent="0.3"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</row>
    <row r="47" spans="3:87" ht="22.95" customHeight="1" x14ac:dyDescent="0.3"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</row>
    <row r="48" spans="3:87" ht="22.95" customHeight="1" x14ac:dyDescent="0.3">
      <c r="C48" t="s">
        <v>1390</v>
      </c>
      <c r="G48" s="8">
        <f>SUMIF(G$9:G47,"&gt;0",G$9:G47)</f>
        <v>27908624.070000064</v>
      </c>
      <c r="H48" s="8">
        <f>SUMIF(H$9:H47,"&gt;0",H$9:H47)</f>
        <v>24323024.13000001</v>
      </c>
      <c r="I48" s="8">
        <f>SUMIF(I$9:I47,"&gt;0",I$9:I47)</f>
        <v>25785958.340000153</v>
      </c>
      <c r="J48" s="8">
        <f>SUMIF(J$9:J47,"&gt;0",J$9:J47)</f>
        <v>23955410.760000054</v>
      </c>
      <c r="K48" s="8">
        <f>SUMIF(K$9:K47,"&gt;0",K$9:K47)</f>
        <v>23518561.460000079</v>
      </c>
      <c r="L48" s="8">
        <f>SUMIF(L$9:L47,"&gt;0",L$9:L47)</f>
        <v>21350795.250000034</v>
      </c>
      <c r="M48" s="8">
        <f>SUMIF(M$9:M47,"&gt;0",M$9:M47)</f>
        <v>20540538.519999951</v>
      </c>
      <c r="N48" s="8">
        <f>SUMIF(N$9:N47,"&gt;0",N$9:N47)</f>
        <v>19047664.54000001</v>
      </c>
      <c r="O48" s="8">
        <f>SUMIF(O$9:O47,"&gt;0",O$9:O47)</f>
        <v>17022966.319999963</v>
      </c>
      <c r="P48" s="8">
        <f>SUMIF(P$9:P47,"&gt;0",P$9:P47)</f>
        <v>16100627.029999958</v>
      </c>
      <c r="Q48" s="8">
        <f>SUMIF(Q$9:Q47,"&gt;0",Q$9:Q47)</f>
        <v>14383451.959999993</v>
      </c>
      <c r="R48" s="8">
        <f>SUMIF(R$9:R47,"&gt;0",R$9:R47)</f>
        <v>13916254.059999974</v>
      </c>
      <c r="S48" s="8">
        <f>SUMIF(S$9:S47,"&gt;0",S$9:S47)</f>
        <v>12981762.440000016</v>
      </c>
      <c r="T48" s="8">
        <f>SUMIF(T$9:T47,"&gt;0",T$9:T47)</f>
        <v>11371820.340000009</v>
      </c>
      <c r="U48" s="8">
        <f>SUMIF(U$9:U47,"&gt;0",U$9:U47)</f>
        <v>11322520.619999999</v>
      </c>
      <c r="V48" s="44">
        <f>SUMIF(V$9:V47,"&gt;0",V$9:V47)</f>
        <v>10227290.240000026</v>
      </c>
      <c r="W48" s="44">
        <f>SUMIF(W$9:W47,"&gt;0",W$9:W47)</f>
        <v>9664286.7699999791</v>
      </c>
      <c r="X48" s="44">
        <f>SUMIF(X$9:X47,"&gt;0",X$9:X47)</f>
        <v>7582814.9500000151</v>
      </c>
      <c r="Y48" s="44">
        <f>SUMIF(Y$9:Y47,"&gt;0",Y$9:Y47)</f>
        <v>6602480.840000011</v>
      </c>
      <c r="Z48" s="44">
        <f>SUMIF(Z$9:Z47,"&gt;0",Z$9:Z47)</f>
        <v>5576183.6100000031</v>
      </c>
      <c r="AA48" s="44">
        <f>SUMIF(AA$9:AA47,"&gt;0",AA$9:AA47)</f>
        <v>4428853.0399999833</v>
      </c>
      <c r="AB48" s="44">
        <f>SUMIF(AB$9:AB47,"&gt;0",AB$9:AB47)</f>
        <v>3627180.6300000083</v>
      </c>
      <c r="AC48" s="44">
        <f>SUMIF(AC$9:AC47,"&gt;0",AC$9:AC47)</f>
        <v>2809832.2499999986</v>
      </c>
      <c r="AD48" s="44">
        <f>SUMIF(AD$9:AD47,"&gt;0",AD$9:AD47)</f>
        <v>2514491.4600000056</v>
      </c>
      <c r="AE48" s="44">
        <f>SUMIF(AE$9:AE47,"&gt;0",AE$9:AE47)</f>
        <v>2214639.5999999992</v>
      </c>
      <c r="AF48" s="44">
        <f>SUMIF(AF$9:AF47,"&gt;0",AF$9:AF47)</f>
        <v>1785479.9</v>
      </c>
      <c r="AG48" s="44">
        <f>SUMIF(AG$9:AG47,"&gt;0",AG$9:AG47)</f>
        <v>1733497.8400000029</v>
      </c>
      <c r="AH48" s="8">
        <f>SUMIF(AH$9:AH47,"&gt;0",AH$9:AH47)</f>
        <v>1434757.8499999996</v>
      </c>
      <c r="AI48" s="8">
        <f>SUMIF(AI$9:AI47,"&gt;0",AI$9:AI47)</f>
        <v>1325050.7699999986</v>
      </c>
      <c r="AJ48" s="8">
        <f>SUMIF(AJ$9:AJ47,"&gt;0",AJ$9:AJ47)</f>
        <v>1119097.6399999973</v>
      </c>
      <c r="AK48" s="8">
        <f>SUMIF(AK$9:AK47,"&gt;0",AK$9:AK47)</f>
        <v>986806.92000000249</v>
      </c>
      <c r="AL48" s="8">
        <f>SUMIF(AL$9:AL47,"&gt;0",AL$9:AL47)</f>
        <v>846904.01000000024</v>
      </c>
      <c r="AM48" s="8">
        <f>SUMIF(AM$9:AM47,"&gt;0",AM$9:AM47)</f>
        <v>686265.96999999962</v>
      </c>
      <c r="AN48" s="8">
        <f>SUMIF(AN$9:AN47,"&gt;0",AN$9:AN47)</f>
        <v>591665.34999999905</v>
      </c>
      <c r="AO48" s="8">
        <f>SUMIF(AO$9:AO47,"&gt;0",AO$9:AO47)</f>
        <v>483517.59</v>
      </c>
      <c r="AP48" s="8">
        <f>SUMIF(AP$9:AP47,"&gt;0",AP$9:AP47)</f>
        <v>431477.58000000025</v>
      </c>
      <c r="AQ48" s="8">
        <f>SUMIF(AQ$9:AQ47,"&gt;0",AQ$9:AQ47)</f>
        <v>381026.51000000024</v>
      </c>
      <c r="AR48" s="8">
        <f>SUMIF(AR$9:AR47,"&gt;0",AR$9:AR47)</f>
        <v>303740.9700000002</v>
      </c>
      <c r="AS48" s="8">
        <f>SUMIF(AS$9:AS47,"&gt;0",AS$9:AS47)</f>
        <v>290862.22000000003</v>
      </c>
      <c r="AT48" s="44">
        <f>SUMIF(AT$9:AT47,"&gt;0",AT$9:AT47)</f>
        <v>244493.19999999995</v>
      </c>
      <c r="AU48" s="44">
        <f>SUMIF(AU$9:AU47,"&gt;0",AU$9:AU47)</f>
        <v>219075.75</v>
      </c>
      <c r="AV48" s="44">
        <f>SUMIF(AV$9:AV47,"&gt;0",AV$9:AV47)</f>
        <v>181709.01</v>
      </c>
      <c r="AW48" s="44">
        <f>SUMIF(AW$9:AW47,"&gt;0",AW$9:AW47)</f>
        <v>155500.28</v>
      </c>
      <c r="AX48" s="44">
        <f>SUMIF(AX$9:AX47,"&gt;0",AX$9:AX47)</f>
        <v>126440.79999999999</v>
      </c>
      <c r="AY48" s="44">
        <f>SUMIF(AY$9:AY47,"&gt;0",AY$9:AY47)</f>
        <v>95598.420000000013</v>
      </c>
      <c r="AZ48" s="44">
        <f>SUMIF(AZ$9:AZ47,"&gt;0",AZ$9:AZ47)</f>
        <v>71408.92</v>
      </c>
      <c r="BA48" s="44">
        <f>SUMIF(BA$9:BA47,"&gt;0",BA$9:BA47)</f>
        <v>44564.22</v>
      </c>
      <c r="BB48" s="44">
        <f>SUMIF(BB$9:BB47,"&gt;0",BB$9:BB47)</f>
        <v>23960.58</v>
      </c>
      <c r="BC48" s="44">
        <f>SUMIF(BC$9:BC47,"&gt;0",BC$9:BC47)</f>
        <v>6412.4800000000005</v>
      </c>
      <c r="BD48" s="44">
        <f>SUMIF(BD$9:BD47,"&gt;0",BD$9:BD47)</f>
        <v>1462.16</v>
      </c>
      <c r="BE48" s="44">
        <f>SUMIF(BE$9:BE47,"&gt;0",BE$9:BE47)</f>
        <v>368.62</v>
      </c>
      <c r="BF48" s="8"/>
      <c r="BG48" s="8"/>
      <c r="BH48" s="8" t="str">
        <f t="shared" ref="BH48:BH50" si="4">C48</f>
        <v>Revenue</v>
      </c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</row>
    <row r="49" spans="3:87" ht="22.95" customHeight="1" x14ac:dyDescent="0.3">
      <c r="C49" t="s">
        <v>1400</v>
      </c>
      <c r="G49" s="8">
        <f>SUMIF(G$9:G47,"&lt;0",G$9:G47)</f>
        <v>-14580551.080392363</v>
      </c>
      <c r="H49" s="8">
        <f>SUMIF(H$9:H47,"&lt;0",H$9:H47)</f>
        <v>-12612228.873901969</v>
      </c>
      <c r="I49" s="8">
        <f>SUMIF(I$9:I47,"&lt;0",I$9:I47)</f>
        <v>-13126786.602299985</v>
      </c>
      <c r="J49" s="8">
        <f>SUMIF(J$9:J47,"&lt;0",J$9:J47)</f>
        <v>-12135811.699349871</v>
      </c>
      <c r="K49" s="8">
        <f>SUMIF(K$9:K47,"&lt;0",K$9:K47)</f>
        <v>-11845259.812479647</v>
      </c>
      <c r="L49" s="8">
        <f>SUMIF(L$9:L47,"&lt;0",L$9:L47)</f>
        <v>-10691621.25329943</v>
      </c>
      <c r="M49" s="8">
        <f>SUMIF(M$9:M47,"&lt;0",M$9:M47)</f>
        <v>-10140451.98411753</v>
      </c>
      <c r="N49" s="8">
        <f>SUMIF(N$9:N47,"&lt;0",N$9:N47)</f>
        <v>-9397983.8623053394</v>
      </c>
      <c r="O49" s="8">
        <f>SUMIF(O$9:O47,"&lt;0",O$9:O47)</f>
        <v>-8417094.424503861</v>
      </c>
      <c r="P49" s="8">
        <f>SUMIF(P$9:P47,"&lt;0",P$9:P47)</f>
        <v>-7898160.1373424744</v>
      </c>
      <c r="Q49" s="8">
        <f>SUMIF(Q$9:Q47,"&lt;0",Q$9:Q47)</f>
        <v>-7130403.2031487608</v>
      </c>
      <c r="R49" s="8">
        <f>SUMIF(R$9:R47,"&lt;0",R$9:R47)</f>
        <v>-6831693.8583314996</v>
      </c>
      <c r="S49" s="8">
        <f>SUMIF(S$9:S47,"&lt;0",S$9:S47)</f>
        <v>-6489308.0294343336</v>
      </c>
      <c r="T49" s="8">
        <f>SUMIF(T$9:T47,"&lt;0",T$9:T47)</f>
        <v>-5807695.3500495385</v>
      </c>
      <c r="U49" s="8">
        <f>SUMIF(U$9:U47,"&lt;0",U$9:U47)</f>
        <v>-5630801.0010579647</v>
      </c>
      <c r="V49" s="44">
        <f>SUMIF(V$9:V47,"&lt;0",V$9:V47)</f>
        <v>-4396236.2918509794</v>
      </c>
      <c r="W49" s="44">
        <f>SUMIF(W$9:W47,"&lt;0",W$9:W47)</f>
        <v>-4042657.5566911157</v>
      </c>
      <c r="X49" s="44">
        <f>SUMIF(X$9:X47,"&lt;0",X$9:X47)</f>
        <v>-3183542.2499549985</v>
      </c>
      <c r="Y49" s="44">
        <f>SUMIF(Y$9:Y47,"&lt;0",Y$9:Y47)</f>
        <v>-2607607.326637554</v>
      </c>
      <c r="Z49" s="44">
        <f>SUMIF(Z$9:Z47,"&lt;0",Z$9:Z47)</f>
        <v>-2176395.3571812534</v>
      </c>
      <c r="AA49" s="44">
        <f>SUMIF(AA$9:AA47,"&lt;0",AA$9:AA47)</f>
        <v>-1948180.6355535367</v>
      </c>
      <c r="AB49" s="44">
        <f>SUMIF(AB$9:AB47,"&lt;0",AB$9:AB47)</f>
        <v>-1818096.9113749058</v>
      </c>
      <c r="AC49" s="44">
        <f>SUMIF(AC$9:AC47,"&lt;0",AC$9:AC47)</f>
        <v>-1682028.3635943583</v>
      </c>
      <c r="AD49" s="44">
        <f>SUMIF(AD$9:AD47,"&lt;0",AD$9:AD47)</f>
        <v>-1596741.3769784677</v>
      </c>
      <c r="AE49" s="44">
        <f>SUMIF(AE$9:AE47,"&lt;0",AE$9:AE47)</f>
        <v>-1517636.2465987874</v>
      </c>
      <c r="AF49" s="44">
        <f>SUMIF(AF$9:AF47,"&lt;0",AF$9:AF47)</f>
        <v>-1472534.220718011</v>
      </c>
      <c r="AG49" s="44">
        <f>SUMIF(AG$9:AG47,"&lt;0",AG$9:AG47)</f>
        <v>-1465779.7490774174</v>
      </c>
      <c r="AH49" s="8">
        <f>SUMIF(AH$9:AH47,"&lt;0",AH$9:AH47)</f>
        <v>-1450425.5681673719</v>
      </c>
      <c r="AI49" s="8">
        <f>SUMIF(AI$9:AI47,"&lt;0",AI$9:AI47)</f>
        <v>-1438937.5587778741</v>
      </c>
      <c r="AJ49" s="8">
        <f>SUMIF(AJ$9:AJ47,"&lt;0",AJ$9:AJ47)</f>
        <v>-1424745.8558979654</v>
      </c>
      <c r="AK49" s="8">
        <f>SUMIF(AK$9:AK47,"&lt;0",AK$9:AK47)</f>
        <v>-1412870.3538317555</v>
      </c>
      <c r="AL49" s="8">
        <f>SUMIF(AL$9:AL47,"&lt;0",AL$9:AL47)</f>
        <v>-1398868.0196669151</v>
      </c>
      <c r="AM49" s="8">
        <f>SUMIF(AM$9:AM47,"&lt;0",AM$9:AM47)</f>
        <v>-1382749.545692486</v>
      </c>
      <c r="AN49" s="8">
        <f>SUMIF(AN$9:AN47,"&lt;0",AN$9:AN47)</f>
        <v>-1380558.9531251343</v>
      </c>
      <c r="AO49" s="8">
        <f>SUMIF(AO$9:AO47,"&lt;0",AO$9:AO47)</f>
        <v>-1380558.9531251343</v>
      </c>
      <c r="AP49" s="8">
        <f>SUMIF(AP$9:AP47,"&lt;0",AP$9:AP47)</f>
        <v>-1380558.9531251343</v>
      </c>
      <c r="AQ49" s="8">
        <f>SUMIF(AQ$9:AQ47,"&lt;0",AQ$9:AQ47)</f>
        <v>-1380558.9531251343</v>
      </c>
      <c r="AR49" s="8">
        <f>SUMIF(AR$9:AR47,"&lt;0",AR$9:AR47)</f>
        <v>-1380558.9531251343</v>
      </c>
      <c r="AS49" s="8">
        <f>SUMIF(AS$9:AS47,"&lt;0",AS$9:AS47)</f>
        <v>-1380558.9531251343</v>
      </c>
      <c r="AT49" s="44">
        <f>SUMIF(AT$9:AT47,"&lt;0",AT$9:AT47)</f>
        <v>0</v>
      </c>
      <c r="AU49" s="44">
        <f>SUMIF(AU$9:AU47,"&lt;0",AU$9:AU47)</f>
        <v>0</v>
      </c>
      <c r="AV49" s="44">
        <f>SUMIF(AV$9:AV47,"&lt;0",AV$9:AV47)</f>
        <v>0</v>
      </c>
      <c r="AW49" s="44">
        <f>SUMIF(AW$9:AW47,"&lt;0",AW$9:AW47)</f>
        <v>0</v>
      </c>
      <c r="AX49" s="44">
        <f>SUMIF(AX$9:AX47,"&lt;0",AX$9:AX47)</f>
        <v>0</v>
      </c>
      <c r="AY49" s="44">
        <f>SUMIF(AY$9:AY47,"&lt;0",AY$9:AY47)</f>
        <v>0</v>
      </c>
      <c r="AZ49" s="44">
        <f>SUMIF(AZ$9:AZ47,"&lt;0",AZ$9:AZ47)</f>
        <v>0</v>
      </c>
      <c r="BA49" s="44">
        <f>SUMIF(BA$9:BA47,"&lt;0",BA$9:BA47)</f>
        <v>0</v>
      </c>
      <c r="BB49" s="44">
        <f>SUMIF(BB$9:BB47,"&lt;0",BB$9:BB47)</f>
        <v>0</v>
      </c>
      <c r="BC49" s="44">
        <f>SUMIF(BC$9:BC47,"&lt;0",BC$9:BC47)</f>
        <v>0</v>
      </c>
      <c r="BD49" s="44">
        <f>SUMIF(BD$9:BD47,"&lt;0",BD$9:BD47)</f>
        <v>0</v>
      </c>
      <c r="BE49" s="44">
        <f>SUMIF(BE$9:BE47,"&lt;0",BE$9:BE47)</f>
        <v>0</v>
      </c>
      <c r="BF49" s="8"/>
      <c r="BG49" s="8"/>
      <c r="BH49" s="8" t="str">
        <f t="shared" si="4"/>
        <v>Costs</v>
      </c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</row>
    <row r="50" spans="3:87" x14ac:dyDescent="0.3">
      <c r="C50" t="s">
        <v>1470</v>
      </c>
      <c r="F50" t="s">
        <v>1629</v>
      </c>
      <c r="G50" s="48">
        <f>(SUM(G68:G74)-SUM(F68:F74))*SUMIF(LA[FY],G4,LA[LA])*-1*1000</f>
        <v>233623.73388004024</v>
      </c>
      <c r="H50" s="8">
        <f>(SUM(H68:H74)-SUM(G68:G74))*SUMIF(LA[FY],G4,LA[LA])*-1000</f>
        <v>240683.43038997171</v>
      </c>
      <c r="I50" s="8">
        <f>(SUM(I68:I74)-SUM(H68:H74))*SUMIF(LA[FY],H4,LA[LA])*-1000</f>
        <v>234332.6899800247</v>
      </c>
      <c r="J50" s="8">
        <f>(SUM(J68:J74)-SUM(I68:I74))*SUMIF(LA[FY],I4,LA[LA])*-1000</f>
        <v>237557.67944997456</v>
      </c>
      <c r="K50" s="8">
        <f>(SUM(K68:K74)-SUM(J68:J74))*SUMIF(LA[FY],J4,LA[LA])*-1000</f>
        <v>305066.40936000086</v>
      </c>
      <c r="L50" s="8">
        <f>(SUM(L68:L74)-SUM(K68:K74))*SUMIF(LA[FY],K4,LA[LA])*-1000</f>
        <v>307166.59266000101</v>
      </c>
      <c r="M50" s="8">
        <f>(SUM(M68:M74)-SUM(L68:L74))*SUMIF(LA[FY],L4,LA[LA])*-1000</f>
        <v>308471.34464999707</v>
      </c>
      <c r="N50" s="8">
        <f>(SUM(N68:N74)-SUM(M68:M74))*SUMIF(LA[FY],M4,LA[LA])*-1000</f>
        <v>307008.02216998301</v>
      </c>
      <c r="O50" s="8">
        <f>(SUM(O68:O74)-SUM(N68:N74))*SUMIF(LA[FY],N4,LA[LA])*-1000</f>
        <v>304838.79636001121</v>
      </c>
      <c r="P50" s="8">
        <f>(SUM(P68:P74)-SUM(O68:O74))*SUMIF(LA[FY],O4,LA[LA])*-1000</f>
        <v>296515.07564999582</v>
      </c>
      <c r="Q50" s="8">
        <f>(SUM(Q68:Q74)-SUM(P68:P74))*SUMIF(LA[FY],P4,LA[LA])*-1000</f>
        <v>216746.2491599943</v>
      </c>
      <c r="R50" s="8">
        <f>(SUM(R68:R74)-SUM(Q68:Q74))*SUMIF(LA[FY],Q4,LA[LA])*-1000</f>
        <v>220936.32369000072</v>
      </c>
      <c r="S50" s="8">
        <f>(SUM(S68:S74)-SUM(R68:R74))*SUMIF(LA[FY],R4,LA[LA])*-1000</f>
        <v>208245.91143001243</v>
      </c>
      <c r="T50" s="8">
        <f>(SUM(T68:T74)-SUM(S68:S74))*SUMIF(LA[FY],S4,LA[LA])*-1000</f>
        <v>194960.10986999259</v>
      </c>
      <c r="U50" s="8">
        <f>(SUM(U68:U74)-SUM(T68:T74))*SUMIF(LA[FY],T4,LA[LA])*-1000</f>
        <v>185608.99859999155</v>
      </c>
      <c r="V50" s="44">
        <f>(SUM(V68:V74)-SUM(U68:U74))*SUMIF(LA[FY],U4,LA[LA])*-1000</f>
        <v>184032.47676001108</v>
      </c>
      <c r="W50" s="44">
        <f>(SUM(W68:W74)-SUM(V68:V74))*SUMIF(LA[FY],V4,LA[LA])*-1000</f>
        <v>241510.02249000559</v>
      </c>
      <c r="X50" s="44">
        <f>(SUM(X68:X74)-SUM(W68:W74))*SUMIF(LA[FY],W4,LA[LA])*-1000</f>
        <v>414576.54428998881</v>
      </c>
      <c r="Y50" s="44">
        <f>(SUM(Y68:Y74)-SUM(X68:X74))*SUMIF(LA[FY],X4,LA[LA])*-1000</f>
        <v>220674.78171000606</v>
      </c>
      <c r="Z50" s="44">
        <f>(SUM(Z68:Z74)-SUM(Y68:Y74))*SUMIF(LA[FY],Y4,LA[LA])*-1000</f>
        <v>204303.06824999987</v>
      </c>
      <c r="AA50" s="44">
        <f>(SUM(AA68:AA74)-SUM(Z68:Z74))*SUMIF(LA[FY],Z4,LA[LA])*-1000</f>
        <v>204131.39718000032</v>
      </c>
      <c r="AB50" s="44">
        <f>(SUM(AB68:AB74)-SUM(AA68:AA74))*SUMIF(LA[FY],AA4,LA[LA])*-1000</f>
        <v>180946.28060999719</v>
      </c>
      <c r="AC50" s="44">
        <f>(SUM(AC68:AC74)-SUM(AB68:AB74))*SUMIF(LA[FY],AB4,LA[LA])*-1000</f>
        <v>95203.944180000457</v>
      </c>
      <c r="AD50" s="44">
        <f>(SUM(AD68:AD74)-SUM(AC68:AC74))*SUMIF(LA[FY],AC4,LA[LA])*-1000</f>
        <v>76206.036239997688</v>
      </c>
      <c r="AE50" s="44">
        <f>(SUM(AE68:AE74)-SUM(AD68:AD74))*SUMIF(LA[FY],AD4,LA[LA])*-1000</f>
        <v>57826.802820000885</v>
      </c>
      <c r="AF50" s="44">
        <f>(SUM(AF68:AF74)-SUM(AE68:AE74))*SUMIF(LA[FY],AE4,LA[LA])*-1000</f>
        <v>60612.24111000108</v>
      </c>
      <c r="AG50" s="44">
        <f>(SUM(AG68:AG74)-SUM(AF68:AF74))*SUMIF(LA[FY],AF4,LA[LA])*-1000</f>
        <v>60281.130359999181</v>
      </c>
      <c r="AH50" s="8">
        <f>(SUM(AH68:AH74)-SUM(AG68:AG74))*SUMIF(LA[FY],AG4,LA[LA])*-1000</f>
        <v>35013.256739999604</v>
      </c>
      <c r="AI50" s="8">
        <f>(SUM(AI68:AI74)-SUM(AH68:AH74))*SUMIF(LA[FY],AH4,LA[LA])*-1000</f>
        <v>39179.088810000612</v>
      </c>
      <c r="AJ50" s="8">
        <f>(SUM(AJ68:AJ74)-SUM(AI68:AI74))*SUMIF(LA[FY],AI4,LA[LA])*-1000</f>
        <v>38984.566439999777</v>
      </c>
      <c r="AK50" s="8">
        <f>(SUM(AK68:AK74)-SUM(AJ68:AJ74))*SUMIF(LA[FY],AJ4,LA[LA])*-1000</f>
        <v>31397.926829999851</v>
      </c>
      <c r="AL50" s="8">
        <f>(SUM(AL68:AL74)-SUM(AK68:AK74))*SUMIF(LA[FY],AK4,LA[LA])*-1000</f>
        <v>31818.862170000953</v>
      </c>
      <c r="AM50" s="8">
        <f>(SUM(AM68:AM74)-SUM(AL68:AL74))*SUMIF(LA[FY],AL4,LA[LA])*-1000</f>
        <v>31932.718019999415</v>
      </c>
      <c r="AN50" s="8">
        <f>(SUM(AN68:AN74)-SUM(AM68:AM74))*SUMIF(LA[FY],AM4,LA[LA])*-1000</f>
        <v>24075.004979999765</v>
      </c>
      <c r="AO50" s="8">
        <f>(SUM(AO68:AO74)-SUM(AN68:AN74))*SUMIF(LA[FY],AN4,LA[LA])*-1000</f>
        <v>16251.336390000133</v>
      </c>
      <c r="AP50" s="8">
        <f>(SUM(AP68:AP74)-SUM(AO68:AO74))*SUMIF(LA[FY],AO4,LA[LA])*-1000</f>
        <v>11174.711189999973</v>
      </c>
      <c r="AQ50" s="8">
        <f>(SUM(AQ68:AQ74)-SUM(AP68:AP74))*SUMIF(LA[FY],AP4,LA[LA])*-1000</f>
        <v>10305.95274000003</v>
      </c>
      <c r="AR50" s="8">
        <f>(SUM(AR68:AR74)-SUM(AQ68:AQ74))*SUMIF(LA[FY],AQ4,LA[LA])*-1000</f>
        <v>10009.019669999954</v>
      </c>
      <c r="AS50" s="8">
        <f>(SUM(AS68:AS74)-SUM(AR68:AR74))*SUMIF(LA[FY],AR4,LA[LA])*-1000</f>
        <v>8666.3908499999779</v>
      </c>
      <c r="AT50" s="44">
        <f>(SUM(AT68:AT74)-SUM(AS68:AS74))*SUMIF(LA[FY],AS4,LA[LA])*-1000</f>
        <v>8661.1413000000321</v>
      </c>
      <c r="AU50" s="44">
        <f>(SUM(AU68:AU74)-SUM(AT68:AT74))*SUMIF(LA[FY],AT4,LA[LA])*-1000</f>
        <v>6927.0533999999825</v>
      </c>
      <c r="AV50" s="44">
        <f>(SUM(AV68:AV74)-SUM(AU68:AU74))*SUMIF(LA[FY],AU4,LA[LA])*-1000</f>
        <v>6890.315700000021</v>
      </c>
      <c r="AW50" s="44">
        <f>(SUM(AW68:AW74)-SUM(AV68:AV74))*SUMIF(LA[FY],AV4,LA[LA])*-1000</f>
        <v>6849.4081200000037</v>
      </c>
      <c r="AX50" s="44">
        <f>(SUM(AX68:AX74)-SUM(AW68:AW74))*SUMIF(LA[FY],AW4,LA[LA])*-1000</f>
        <v>6037.5049199999794</v>
      </c>
      <c r="AY50" s="44">
        <f>(SUM(AY68:AY74)-SUM(AX68:AX74))*SUMIF(LA[FY],AX4,LA[LA])*-1000</f>
        <v>5827.7278500000011</v>
      </c>
      <c r="AZ50" s="44">
        <f>(SUM(AZ68:AZ74)-SUM(AY68:AY74))*SUMIF(LA[FY],AY4,LA[LA])*-1000</f>
        <v>5637.0243599999985</v>
      </c>
      <c r="BA50" s="44">
        <f>(SUM(BA68:BA74)-SUM(AZ68:AZ74))*SUMIF(LA[FY],AZ4,LA[LA])*-1000</f>
        <v>5018.2293000000045</v>
      </c>
      <c r="BB50" s="44">
        <f>(SUM(BB68:BB74)-SUM(BA68:BA74))*SUMIF(LA[FY],BA4,LA[LA])*-1000</f>
        <v>4670.8658099999984</v>
      </c>
      <c r="BC50" s="44">
        <f>(SUM(BC68:BC74)-SUM(BB68:BB74))*SUMIF(LA[FY],BB4,LA[LA])*-1000</f>
        <v>1935.8541300000002</v>
      </c>
      <c r="BD50" s="44">
        <f>(SUM(BD68:BD74)-SUM(BC68:BC74))*SUMIF(LA[FY],BC4,LA[LA])*-1000</f>
        <v>539.21609999999998</v>
      </c>
      <c r="BE50" s="44">
        <f>(SUM(BE68:BE74)-SUM(BD68:BD74))*SUMIF(LA[FY],BD4,LA[LA])*-1000</f>
        <v>130.73087999999998</v>
      </c>
      <c r="BF50" s="8"/>
      <c r="BG50" s="8"/>
      <c r="BH50" s="8" t="str">
        <f t="shared" si="4"/>
        <v>LA</v>
      </c>
      <c r="BI50" s="8"/>
      <c r="BJ50" s="8"/>
      <c r="BK50" s="53" t="s">
        <v>1654</v>
      </c>
      <c r="BL50" s="8">
        <f>SUM($J50:J50)</f>
        <v>237557.67944997456</v>
      </c>
      <c r="BM50" s="8">
        <f>SUM($J50:K50)</f>
        <v>542624.08880997542</v>
      </c>
      <c r="BN50" s="8">
        <f>SUM($J50:L50)</f>
        <v>849790.68146997644</v>
      </c>
      <c r="BO50" s="8">
        <f>SUM($J50:M50)</f>
        <v>1158262.0261199735</v>
      </c>
      <c r="BP50" s="8">
        <f>SUM($J50:N50)</f>
        <v>1465270.0482899565</v>
      </c>
      <c r="BQ50" s="8">
        <f>SUM($J50:O50)</f>
        <v>1770108.8446499677</v>
      </c>
      <c r="BR50" s="8">
        <f>SUM($J50:P50)</f>
        <v>2066623.9202999636</v>
      </c>
      <c r="BS50" s="8">
        <f>SUM($J50:Q50)</f>
        <v>2283370.1694599576</v>
      </c>
      <c r="BT50" s="8">
        <f>SUM($J50:R50)</f>
        <v>2504306.4931499586</v>
      </c>
      <c r="BU50" s="8">
        <f>SUM($J50:S50)</f>
        <v>2712552.404579971</v>
      </c>
      <c r="BV50" s="8">
        <f>SUM($J50:T50)</f>
        <v>2907512.5144499633</v>
      </c>
      <c r="BW50" s="8">
        <f>SUM($J50:U50)</f>
        <v>3093121.513049955</v>
      </c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</row>
    <row r="51" spans="3:87" x14ac:dyDescent="0.3"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</row>
    <row r="52" spans="3:87" x14ac:dyDescent="0.3"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</row>
    <row r="53" spans="3:87" x14ac:dyDescent="0.3"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</row>
    <row r="54" spans="3:87" x14ac:dyDescent="0.3"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</row>
    <row r="55" spans="3:87" x14ac:dyDescent="0.3">
      <c r="C55" t="s">
        <v>1575</v>
      </c>
      <c r="G55" s="8">
        <v>-2622687.7777199019</v>
      </c>
      <c r="H55" s="8">
        <v>-2369695.3875861489</v>
      </c>
      <c r="I55" s="8">
        <v>-2369695.3875861489</v>
      </c>
      <c r="J55" s="8">
        <v>-2369695.3875861489</v>
      </c>
      <c r="K55" s="8">
        <v>-2369695.3875861489</v>
      </c>
      <c r="L55" s="8">
        <v>-2369695.3875861489</v>
      </c>
      <c r="M55" s="8">
        <v>-2472157.305590319</v>
      </c>
      <c r="N55" s="8">
        <v>-2472157.305590319</v>
      </c>
      <c r="O55" s="8">
        <v>-2472157.305590319</v>
      </c>
      <c r="P55" s="8">
        <v>-2472157.305590319</v>
      </c>
      <c r="Q55" s="8">
        <v>-2472157.305590319</v>
      </c>
      <c r="R55" s="8">
        <v>-2472157.305590319</v>
      </c>
      <c r="S55" s="8">
        <v>-2472157.305590319</v>
      </c>
      <c r="T55" s="8">
        <v>-2472157.305590319</v>
      </c>
      <c r="U55" s="8">
        <v>-2472157.305590319</v>
      </c>
      <c r="V55" s="44">
        <v>-2472157.305590319</v>
      </c>
      <c r="W55" s="44">
        <v>-2472157.305590319</v>
      </c>
      <c r="X55" s="44">
        <v>-2472157.305590319</v>
      </c>
      <c r="Y55" s="44">
        <v>-2369695.3875861489</v>
      </c>
      <c r="Z55" s="44">
        <v>-2369695.3875861489</v>
      </c>
      <c r="AA55" s="44">
        <v>-2369695.3875861489</v>
      </c>
      <c r="AB55" s="44">
        <v>-2369695.3875861489</v>
      </c>
      <c r="AC55" s="44">
        <v>-2369695.3875861489</v>
      </c>
      <c r="AD55" s="44">
        <v>-2369695.3875861489</v>
      </c>
      <c r="AE55" s="44">
        <v>-2369695.3875861489</v>
      </c>
      <c r="AF55" s="44">
        <v>-2369695.3875861489</v>
      </c>
      <c r="AG55" s="44">
        <v>-2369695.3875861489</v>
      </c>
      <c r="AH55" s="8">
        <v>-2369695.3875861489</v>
      </c>
      <c r="AI55" s="8">
        <v>-2369695.3875861489</v>
      </c>
      <c r="AJ55" s="8">
        <v>-2369695.3875861489</v>
      </c>
      <c r="AK55" s="8">
        <v>-2369695.3875861489</v>
      </c>
      <c r="AL55" s="8">
        <v>-2369695.3875861489</v>
      </c>
      <c r="AM55" s="8">
        <v>-2369695.3875861489</v>
      </c>
      <c r="AN55" s="8">
        <v>-2369695.3875861489</v>
      </c>
      <c r="AO55" s="8">
        <v>-2369695.3875861489</v>
      </c>
      <c r="AP55" s="8">
        <v>-2369695.3875861489</v>
      </c>
      <c r="AQ55" s="8">
        <v>-2369695.3875861489</v>
      </c>
      <c r="AR55" s="8">
        <v>-2369695.3875861489</v>
      </c>
      <c r="AS55" s="8">
        <v>-2369695.3875861489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8"/>
      <c r="BG55" s="8"/>
      <c r="BH55" s="8" t="str">
        <f t="shared" ref="BH55:BH57" si="5">C55</f>
        <v>DirectSalary</v>
      </c>
      <c r="BI55" s="8"/>
      <c r="BJ55" s="8"/>
      <c r="BK55" s="8"/>
      <c r="BL55" s="8">
        <f>SUM($J55:J55)</f>
        <v>-2369695.3875861489</v>
      </c>
      <c r="BM55" s="8">
        <f>SUM($J55:K55)</f>
        <v>-4739390.7751722978</v>
      </c>
      <c r="BN55" s="8">
        <f>SUM($J55:L55)</f>
        <v>-7109086.1627584472</v>
      </c>
      <c r="BO55" s="8">
        <f>SUM($J55:M55)</f>
        <v>-9581243.4683487657</v>
      </c>
      <c r="BP55" s="8">
        <f>SUM($J55:N55)</f>
        <v>-12053400.773939084</v>
      </c>
      <c r="BQ55" s="8">
        <f>SUM($J55:O55)</f>
        <v>-14525558.079529403</v>
      </c>
      <c r="BR55" s="8">
        <f>SUM($J55:P55)</f>
        <v>-16997715.385119721</v>
      </c>
      <c r="BS55" s="8">
        <f>SUM($J55:Q55)</f>
        <v>-19469872.690710042</v>
      </c>
      <c r="BT55" s="8">
        <f>SUM($J55:R55)</f>
        <v>-21942029.996300362</v>
      </c>
      <c r="BU55" s="8">
        <f>SUM($J55:S55)</f>
        <v>-24414187.301890682</v>
      </c>
      <c r="BV55" s="8">
        <f>SUM($J55:T55)</f>
        <v>-26886344.607481003</v>
      </c>
      <c r="BW55" s="8">
        <f>SUM($J55:U55)</f>
        <v>-29358501.913071323</v>
      </c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</row>
    <row r="56" spans="3:87" x14ac:dyDescent="0.3">
      <c r="C56" t="s">
        <v>1576</v>
      </c>
      <c r="G56" s="8">
        <v>-2236896.5906998529</v>
      </c>
      <c r="H56" s="8">
        <v>-2021118.7845230186</v>
      </c>
      <c r="I56" s="8">
        <v>-2021118.7845230186</v>
      </c>
      <c r="J56" s="8">
        <v>-2021118.7845230186</v>
      </c>
      <c r="K56" s="8">
        <v>-2021118.7845230186</v>
      </c>
      <c r="L56" s="8">
        <v>-2021118.7845230186</v>
      </c>
      <c r="M56" s="8">
        <v>-2108508.7960246364</v>
      </c>
      <c r="N56" s="8">
        <v>-2108508.7960246364</v>
      </c>
      <c r="O56" s="8">
        <v>-2108508.7960246364</v>
      </c>
      <c r="P56" s="8">
        <v>-2108508.7960246364</v>
      </c>
      <c r="Q56" s="8">
        <v>-2108508.7960246364</v>
      </c>
      <c r="R56" s="8">
        <v>-2108508.7960246364</v>
      </c>
      <c r="S56" s="8">
        <v>-2108508.7960246364</v>
      </c>
      <c r="T56" s="8">
        <v>-2108508.7960246364</v>
      </c>
      <c r="U56" s="8">
        <v>-2108508.7960246364</v>
      </c>
      <c r="V56" s="44">
        <v>-2108508.7960246364</v>
      </c>
      <c r="W56" s="44">
        <v>-2108508.7960246364</v>
      </c>
      <c r="X56" s="44">
        <v>-2108508.7960246364</v>
      </c>
      <c r="Y56" s="44">
        <v>-2021118.7845230186</v>
      </c>
      <c r="Z56" s="44">
        <v>-2021118.7845230186</v>
      </c>
      <c r="AA56" s="44">
        <v>-2021118.7845230186</v>
      </c>
      <c r="AB56" s="44">
        <v>-2021118.7845230186</v>
      </c>
      <c r="AC56" s="44">
        <v>-2021118.7845230186</v>
      </c>
      <c r="AD56" s="44">
        <v>-2021118.7845230186</v>
      </c>
      <c r="AE56" s="44">
        <v>-2021118.7845230186</v>
      </c>
      <c r="AF56" s="44">
        <v>-2021118.7845230186</v>
      </c>
      <c r="AG56" s="44">
        <v>-2021118.7845230186</v>
      </c>
      <c r="AH56" s="8">
        <v>-2021118.7845230186</v>
      </c>
      <c r="AI56" s="8">
        <v>-2021118.7845230186</v>
      </c>
      <c r="AJ56" s="8">
        <v>-2021118.7845230186</v>
      </c>
      <c r="AK56" s="8">
        <v>-2021118.7845230186</v>
      </c>
      <c r="AL56" s="8">
        <v>-2021118.7845230186</v>
      </c>
      <c r="AM56" s="8">
        <v>-2021118.7845230186</v>
      </c>
      <c r="AN56" s="8">
        <v>-2021118.7845230186</v>
      </c>
      <c r="AO56" s="8">
        <v>-2021118.7845230186</v>
      </c>
      <c r="AP56" s="8">
        <v>-2021118.7845230186</v>
      </c>
      <c r="AQ56" s="8">
        <v>-2021118.7845230186</v>
      </c>
      <c r="AR56" s="8">
        <v>-2021118.7845230186</v>
      </c>
      <c r="AS56" s="8">
        <v>-2021118.7845230186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8"/>
      <c r="BG56" s="8"/>
      <c r="BH56" s="8" t="str">
        <f t="shared" si="5"/>
        <v>IndirectSalary</v>
      </c>
      <c r="BI56" s="8"/>
      <c r="BJ56" s="8"/>
      <c r="BK56" s="8"/>
      <c r="BL56" s="8">
        <f>SUM($J56:J56)</f>
        <v>-2021118.7845230186</v>
      </c>
      <c r="BM56" s="8">
        <f>SUM($J56:K56)</f>
        <v>-4042237.5690460373</v>
      </c>
      <c r="BN56" s="8">
        <f>SUM($J56:L56)</f>
        <v>-6063356.3535690559</v>
      </c>
      <c r="BO56" s="8">
        <f>SUM($J56:M56)</f>
        <v>-8171865.1495936923</v>
      </c>
      <c r="BP56" s="8">
        <f>SUM($J56:N56)</f>
        <v>-10280373.945618328</v>
      </c>
      <c r="BQ56" s="8">
        <f>SUM($J56:O56)</f>
        <v>-12388882.741642963</v>
      </c>
      <c r="BR56" s="8">
        <f>SUM($J56:P56)</f>
        <v>-14497391.537667599</v>
      </c>
      <c r="BS56" s="8">
        <f>SUM($J56:Q56)</f>
        <v>-16605900.333692234</v>
      </c>
      <c r="BT56" s="8">
        <f>SUM($J56:R56)</f>
        <v>-18714409.129716869</v>
      </c>
      <c r="BU56" s="8">
        <f>SUM($J56:S56)</f>
        <v>-20822917.925741505</v>
      </c>
      <c r="BV56" s="8">
        <f>SUM($J56:T56)</f>
        <v>-22931426.72176614</v>
      </c>
      <c r="BW56" s="8">
        <f>SUM($J56:U56)</f>
        <v>-25039935.517790776</v>
      </c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</row>
    <row r="57" spans="3:87" x14ac:dyDescent="0.3">
      <c r="C57" t="s">
        <v>1577</v>
      </c>
      <c r="G57" s="8">
        <v>-2805397.5729999994</v>
      </c>
      <c r="H57" s="8">
        <v>-2470889.0019999994</v>
      </c>
      <c r="I57" s="8">
        <v>-2628389.0019999994</v>
      </c>
      <c r="J57" s="8">
        <v>-2618512.6779999994</v>
      </c>
      <c r="K57" s="8">
        <v>-2618512.6779999994</v>
      </c>
      <c r="L57" s="8">
        <v>-2708512.6779999994</v>
      </c>
      <c r="M57" s="8">
        <v>-2618512.6779999994</v>
      </c>
      <c r="N57" s="8">
        <v>-2618512.6779999994</v>
      </c>
      <c r="O57" s="8">
        <v>-3158512.6779999994</v>
      </c>
      <c r="P57" s="8">
        <v>-2618512.6779999994</v>
      </c>
      <c r="Q57" s="8">
        <v>-2753512.6779999994</v>
      </c>
      <c r="R57" s="8">
        <v>-2708512.6779999994</v>
      </c>
      <c r="S57" s="8">
        <v>-2618512.6779999994</v>
      </c>
      <c r="T57" s="8">
        <v>-2618512.6779999994</v>
      </c>
      <c r="U57" s="8">
        <v>-2708462.6779999994</v>
      </c>
      <c r="V57" s="44">
        <v>0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8">
        <v>0</v>
      </c>
      <c r="AI57" s="8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8">
        <v>0</v>
      </c>
      <c r="AS57" s="8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8"/>
      <c r="BG57" s="8"/>
      <c r="BH57" s="8" t="str">
        <f t="shared" si="5"/>
        <v>IndirectOther</v>
      </c>
      <c r="BI57" s="8"/>
      <c r="BJ57" s="8"/>
      <c r="BK57" s="8"/>
      <c r="BL57" s="8">
        <f>SUM($J57:J57)</f>
        <v>-2618512.6779999994</v>
      </c>
      <c r="BM57" s="8">
        <f>SUM($J57:K57)</f>
        <v>-5237025.3559999987</v>
      </c>
      <c r="BN57" s="8">
        <f>SUM($J57:L57)</f>
        <v>-7945538.0339999981</v>
      </c>
      <c r="BO57" s="8">
        <f>SUM($J57:M57)</f>
        <v>-10564050.711999997</v>
      </c>
      <c r="BP57" s="8">
        <f>SUM($J57:N57)</f>
        <v>-13182563.389999997</v>
      </c>
      <c r="BQ57" s="8">
        <f>SUM($J57:O57)</f>
        <v>-16341076.067999996</v>
      </c>
      <c r="BR57" s="8">
        <f>SUM($J57:P57)</f>
        <v>-18959588.745999996</v>
      </c>
      <c r="BS57" s="8">
        <f>SUM($J57:Q57)</f>
        <v>-21713101.423999995</v>
      </c>
      <c r="BT57" s="8">
        <f>SUM($J57:R57)</f>
        <v>-24421614.101999994</v>
      </c>
      <c r="BU57" s="8">
        <f>SUM($J57:S57)</f>
        <v>-27040126.779999994</v>
      </c>
      <c r="BV57" s="8">
        <f>SUM($J57:T57)</f>
        <v>-29658639.457999993</v>
      </c>
      <c r="BW57" s="8">
        <f>SUM($J57:U57)</f>
        <v>-32367102.135999992</v>
      </c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</row>
    <row r="58" spans="3:87" x14ac:dyDescent="0.3"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</row>
    <row r="59" spans="3:87" x14ac:dyDescent="0.3">
      <c r="C59" s="51" t="s">
        <v>1630</v>
      </c>
      <c r="G59" s="8"/>
      <c r="H59" s="8"/>
      <c r="I59" s="8"/>
      <c r="J59" s="8"/>
      <c r="K59" s="8"/>
      <c r="L59" s="8"/>
      <c r="M59" s="8"/>
      <c r="N59" s="8"/>
      <c r="O59" s="8"/>
      <c r="P59" s="8">
        <f>-4200000/36</f>
        <v>-116666.66666666667</v>
      </c>
      <c r="Q59" s="8">
        <f t="shared" ref="Q59:AY59" si="6">-4200000/36</f>
        <v>-116666.66666666667</v>
      </c>
      <c r="R59" s="8">
        <f t="shared" si="6"/>
        <v>-116666.66666666667</v>
      </c>
      <c r="S59" s="8">
        <f t="shared" si="6"/>
        <v>-116666.66666666667</v>
      </c>
      <c r="T59" s="8">
        <f t="shared" si="6"/>
        <v>-116666.66666666667</v>
      </c>
      <c r="U59" s="8">
        <f t="shared" si="6"/>
        <v>-116666.66666666667</v>
      </c>
      <c r="V59" s="8">
        <f t="shared" si="6"/>
        <v>-116666.66666666667</v>
      </c>
      <c r="W59" s="8">
        <f t="shared" si="6"/>
        <v>-116666.66666666667</v>
      </c>
      <c r="X59" s="8">
        <f t="shared" si="6"/>
        <v>-116666.66666666667</v>
      </c>
      <c r="Y59" s="8">
        <f t="shared" si="6"/>
        <v>-116666.66666666667</v>
      </c>
      <c r="Z59" s="8">
        <f t="shared" si="6"/>
        <v>-116666.66666666667</v>
      </c>
      <c r="AA59" s="8">
        <f t="shared" si="6"/>
        <v>-116666.66666666667</v>
      </c>
      <c r="AB59" s="8">
        <f t="shared" si="6"/>
        <v>-116666.66666666667</v>
      </c>
      <c r="AC59" s="8">
        <f t="shared" si="6"/>
        <v>-116666.66666666667</v>
      </c>
      <c r="AD59" s="8">
        <f t="shared" si="6"/>
        <v>-116666.66666666667</v>
      </c>
      <c r="AE59" s="8">
        <f t="shared" si="6"/>
        <v>-116666.66666666667</v>
      </c>
      <c r="AF59" s="8">
        <f t="shared" si="6"/>
        <v>-116666.66666666667</v>
      </c>
      <c r="AG59" s="8">
        <f t="shared" si="6"/>
        <v>-116666.66666666667</v>
      </c>
      <c r="AH59" s="8">
        <f t="shared" si="6"/>
        <v>-116666.66666666667</v>
      </c>
      <c r="AI59" s="8">
        <f t="shared" si="6"/>
        <v>-116666.66666666667</v>
      </c>
      <c r="AJ59" s="8">
        <f t="shared" si="6"/>
        <v>-116666.66666666667</v>
      </c>
      <c r="AK59" s="8">
        <f t="shared" si="6"/>
        <v>-116666.66666666667</v>
      </c>
      <c r="AL59" s="8">
        <f t="shared" si="6"/>
        <v>-116666.66666666667</v>
      </c>
      <c r="AM59" s="8">
        <f t="shared" si="6"/>
        <v>-116666.66666666667</v>
      </c>
      <c r="AN59" s="8">
        <f t="shared" si="6"/>
        <v>-116666.66666666667</v>
      </c>
      <c r="AO59" s="8">
        <f t="shared" si="6"/>
        <v>-116666.66666666667</v>
      </c>
      <c r="AP59" s="8">
        <f t="shared" si="6"/>
        <v>-116666.66666666667</v>
      </c>
      <c r="AQ59" s="8">
        <f t="shared" si="6"/>
        <v>-116666.66666666667</v>
      </c>
      <c r="AR59" s="8">
        <f t="shared" si="6"/>
        <v>-116666.66666666667</v>
      </c>
      <c r="AS59" s="8">
        <f t="shared" si="6"/>
        <v>-116666.66666666667</v>
      </c>
      <c r="AT59" s="8">
        <f t="shared" si="6"/>
        <v>-116666.66666666667</v>
      </c>
      <c r="AU59" s="8">
        <f t="shared" si="6"/>
        <v>-116666.66666666667</v>
      </c>
      <c r="AV59" s="8">
        <f t="shared" si="6"/>
        <v>-116666.66666666667</v>
      </c>
      <c r="AW59" s="8">
        <f>-4200000/36</f>
        <v>-116666.66666666667</v>
      </c>
      <c r="AX59" s="8">
        <f t="shared" si="6"/>
        <v>-116666.66666666667</v>
      </c>
      <c r="AY59" s="8">
        <f t="shared" si="6"/>
        <v>-116666.66666666667</v>
      </c>
      <c r="AZ59" s="44"/>
      <c r="BA59" s="44"/>
      <c r="BB59" s="44"/>
      <c r="BC59" s="44"/>
      <c r="BD59" s="44"/>
      <c r="BE59" s="44"/>
      <c r="BF59" s="8"/>
      <c r="BG59" s="8"/>
      <c r="BH59" s="8" t="str">
        <f t="shared" ref="BH59" si="7">C59</f>
        <v>BKI development</v>
      </c>
      <c r="BI59" s="8"/>
      <c r="BJ59" s="8"/>
      <c r="BK59" s="8" t="s">
        <v>1653</v>
      </c>
      <c r="BL59" s="8">
        <f>SUM($J59:J59)</f>
        <v>0</v>
      </c>
      <c r="BM59" s="8">
        <f>SUM($J59:K59)</f>
        <v>0</v>
      </c>
      <c r="BN59" s="8">
        <f>SUM($J59:L59)</f>
        <v>0</v>
      </c>
      <c r="BO59" s="8">
        <f>SUM($J59:M59)</f>
        <v>0</v>
      </c>
      <c r="BP59" s="8">
        <f>SUM($J59:N59)</f>
        <v>0</v>
      </c>
      <c r="BQ59" s="8">
        <f>SUM($J59:O59)</f>
        <v>0</v>
      </c>
      <c r="BR59" s="8">
        <f>SUM($J59:P59)</f>
        <v>-116666.66666666667</v>
      </c>
      <c r="BS59" s="8">
        <f>SUM($J59:Q59)</f>
        <v>-233333.33333333334</v>
      </c>
      <c r="BT59" s="8">
        <f>SUM($J59:R59)</f>
        <v>-350000</v>
      </c>
      <c r="BU59" s="8">
        <f>SUM($J59:S59)</f>
        <v>-466666.66666666669</v>
      </c>
      <c r="BV59" s="8">
        <f>SUM($J59:T59)</f>
        <v>-583333.33333333337</v>
      </c>
      <c r="BW59" s="8">
        <f>SUM($J59:U59)</f>
        <v>-700000</v>
      </c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</row>
    <row r="60" spans="3:87" x14ac:dyDescent="0.3"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</row>
    <row r="61" spans="3:87" x14ac:dyDescent="0.3"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</row>
    <row r="62" spans="3:87" x14ac:dyDescent="0.3"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</row>
    <row r="63" spans="3:87" x14ac:dyDescent="0.3">
      <c r="C63" t="s">
        <v>1631</v>
      </c>
      <c r="G63" s="8">
        <f>SUM(G$48:G61)</f>
        <v>5896714.7820679881</v>
      </c>
      <c r="H63" s="8">
        <f>SUM(H$48:H61)</f>
        <v>5089775.5123788472</v>
      </c>
      <c r="I63" s="8">
        <f>SUM(I$48:I61)</f>
        <v>5874301.253571027</v>
      </c>
      <c r="J63" s="8">
        <f>SUM(J$48:J61)</f>
        <v>5047829.8899909901</v>
      </c>
      <c r="K63" s="8">
        <f>SUM(K$48:K61)</f>
        <v>4969041.2067712666</v>
      </c>
      <c r="L63" s="8">
        <f>SUM(L$48:L61)</f>
        <v>3867013.7392514376</v>
      </c>
      <c r="M63" s="8">
        <f>SUM(M$48:M61)</f>
        <v>3509379.1009174632</v>
      </c>
      <c r="N63" s="8">
        <f>SUM(N$48:N61)</f>
        <v>2757509.9202496996</v>
      </c>
      <c r="O63" s="8">
        <f>SUM(O$48:O61)</f>
        <v>1171531.9122411581</v>
      </c>
      <c r="P63" s="8">
        <f>SUM(P$48:P61)</f>
        <v>1183136.5220258592</v>
      </c>
      <c r="Q63" s="8">
        <f>SUM(Q$48:Q61)</f>
        <v>18949.559729606219</v>
      </c>
      <c r="R63" s="8">
        <f>SUM(R$48:R61)</f>
        <v>-100348.92092314518</v>
      </c>
      <c r="S63" s="8">
        <f>SUM(S$48:S61)</f>
        <v>-615145.12428592669</v>
      </c>
      <c r="T63" s="8">
        <f>SUM(T$48:T61)</f>
        <v>-1556760.3464611585</v>
      </c>
      <c r="U63" s="8">
        <f>SUM(U$48:U61)</f>
        <v>-1528466.8287395958</v>
      </c>
      <c r="V63" s="44">
        <f>SUM(V$48:V61)</f>
        <v>1317753.6566274359</v>
      </c>
      <c r="W63" s="44">
        <f>SUM(W$48:W61)</f>
        <v>1165806.4675172472</v>
      </c>
      <c r="X63" s="44">
        <f>SUM(X$48:X61)</f>
        <v>116516.47605338304</v>
      </c>
      <c r="Y63" s="44">
        <f>SUM(Y$48:Y61)</f>
        <v>-291932.5437033709</v>
      </c>
      <c r="Z63" s="44">
        <f>SUM(Z$48:Z61)</f>
        <v>-903389.51770708442</v>
      </c>
      <c r="AA63" s="44">
        <f>SUM(AA$48:AA61)</f>
        <v>-1822677.0371493876</v>
      </c>
      <c r="AB63" s="44">
        <f>SUM(AB$48:AB61)</f>
        <v>-2517450.8395407344</v>
      </c>
      <c r="AC63" s="44">
        <f>SUM(AC$48:AC61)</f>
        <v>-3284473.0081901932</v>
      </c>
      <c r="AD63" s="44">
        <f>SUM(AD$48:AD61)</f>
        <v>-3513524.7195142987</v>
      </c>
      <c r="AE63" s="44">
        <f>SUM(AE$48:AE61)</f>
        <v>-3752650.6825546212</v>
      </c>
      <c r="AF63" s="44">
        <f>SUM(AF$48:AF61)</f>
        <v>-4133922.9183838442</v>
      </c>
      <c r="AG63" s="44">
        <f>SUM(AG$48:AG61)</f>
        <v>-4179481.6174932495</v>
      </c>
      <c r="AH63" s="8">
        <f>SUM(AH$48:AH61)</f>
        <v>-4488135.3002032069</v>
      </c>
      <c r="AI63" s="8">
        <f>SUM(AI$48:AI61)</f>
        <v>-4582188.5387437092</v>
      </c>
      <c r="AJ63" s="8">
        <f>SUM(AJ$48:AJ61)</f>
        <v>-4774144.4882338028</v>
      </c>
      <c r="AK63" s="8">
        <f>SUM(AK$48:AK61)</f>
        <v>-4902146.345777587</v>
      </c>
      <c r="AL63" s="8">
        <f>SUM(AL$48:AL61)</f>
        <v>-5027625.9862727486</v>
      </c>
      <c r="AM63" s="8">
        <f>SUM(AM$48:AM61)</f>
        <v>-5172031.6964483215</v>
      </c>
      <c r="AN63" s="8">
        <f>SUM(AN$48:AN61)</f>
        <v>-5272299.4369209697</v>
      </c>
      <c r="AO63" s="8">
        <f>SUM(AO$48:AO61)</f>
        <v>-5388270.8655109685</v>
      </c>
      <c r="AP63" s="8">
        <f>SUM(AP$48:AP61)</f>
        <v>-5445387.5007109689</v>
      </c>
      <c r="AQ63" s="8">
        <f>SUM(AQ$48:AQ61)</f>
        <v>-5496707.3291609688</v>
      </c>
      <c r="AR63" s="8">
        <f>SUM(AR$48:AR61)</f>
        <v>-5574289.8022309681</v>
      </c>
      <c r="AS63" s="8">
        <f>SUM(AS$48:AS61)</f>
        <v>-5588511.1810509684</v>
      </c>
      <c r="AT63" s="44">
        <f>SUM(AT$48:AT61)</f>
        <v>136487.67463333328</v>
      </c>
      <c r="AU63" s="44">
        <f>SUM(AU$48:AU61)</f>
        <v>109336.1367333333</v>
      </c>
      <c r="AV63" s="44">
        <f>SUM(AV$48:AV61)</f>
        <v>71932.659033333373</v>
      </c>
      <c r="AW63" s="44">
        <f>SUM(AW$48:AW61)</f>
        <v>45683.021453333335</v>
      </c>
      <c r="AX63" s="44">
        <f>SUM(AX$48:AX61)</f>
        <v>15811.638253333294</v>
      </c>
      <c r="AY63" s="44">
        <f>SUM(AY$48:AY61)</f>
        <v>-15240.518816666663</v>
      </c>
      <c r="AZ63" s="44">
        <f>SUM(AZ$48:AZ61)</f>
        <v>77045.944359999994</v>
      </c>
      <c r="BA63" s="44">
        <f>SUM(BA$48:BA61)</f>
        <v>49582.449300000007</v>
      </c>
      <c r="BB63" s="44">
        <f>SUM(BB$48:BB61)</f>
        <v>28631.445810000001</v>
      </c>
      <c r="BC63" s="44">
        <f>SUM(BC$48:BC61)</f>
        <v>8348.3341300000011</v>
      </c>
      <c r="BD63" s="44">
        <f>SUM(BD$48:BD61)</f>
        <v>2001.3761</v>
      </c>
      <c r="BE63" s="44">
        <f>SUM(BE$48:BE61)</f>
        <v>499.35087999999996</v>
      </c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</row>
    <row r="64" spans="3:87" x14ac:dyDescent="0.3"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</row>
    <row r="65" spans="3:87" x14ac:dyDescent="0.3"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</row>
    <row r="66" spans="3:87" x14ac:dyDescent="0.3"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</row>
    <row r="67" spans="3:87" x14ac:dyDescent="0.3"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</row>
    <row r="68" spans="3:87" x14ac:dyDescent="0.3">
      <c r="C68" t="s">
        <v>1632</v>
      </c>
      <c r="D68" t="s">
        <v>1545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44">
        <v>0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8">
        <v>0</v>
      </c>
      <c r="AI68" s="8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8">
        <v>0</v>
      </c>
      <c r="AS68" s="8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</row>
    <row r="69" spans="3:87" x14ac:dyDescent="0.3">
      <c r="C69" t="s">
        <v>1632</v>
      </c>
      <c r="D69" t="s">
        <v>1546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44">
        <v>0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8">
        <v>0</v>
      </c>
      <c r="AI69" s="8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8">
        <v>0</v>
      </c>
      <c r="AS69" s="8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</row>
    <row r="70" spans="3:87" x14ac:dyDescent="0.3">
      <c r="C70" t="s">
        <v>1632</v>
      </c>
      <c r="D70" t="s">
        <v>1547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8">
        <v>0</v>
      </c>
      <c r="AI70" s="8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8">
        <v>0</v>
      </c>
      <c r="AS70" s="8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</row>
    <row r="71" spans="3:87" x14ac:dyDescent="0.3">
      <c r="C71" t="s">
        <v>1632</v>
      </c>
      <c r="D71" t="s">
        <v>1548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>
        <v>0</v>
      </c>
      <c r="P71" s="8">
        <v>0</v>
      </c>
      <c r="Q71" s="8">
        <v>0</v>
      </c>
      <c r="R71" s="8">
        <v>0</v>
      </c>
      <c r="S71" s="8">
        <v>0</v>
      </c>
      <c r="T71" s="8">
        <v>0</v>
      </c>
      <c r="U71" s="8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8">
        <v>0</v>
      </c>
      <c r="AI71" s="8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8">
        <v>0</v>
      </c>
      <c r="AS71" s="8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</row>
    <row r="72" spans="3:87" x14ac:dyDescent="0.3">
      <c r="C72" t="s">
        <v>1632</v>
      </c>
      <c r="D72" t="s">
        <v>1549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0</v>
      </c>
      <c r="O72" s="8">
        <v>0</v>
      </c>
      <c r="P72" s="8">
        <v>0</v>
      </c>
      <c r="Q72" s="8">
        <v>0</v>
      </c>
      <c r="R72" s="8">
        <v>0</v>
      </c>
      <c r="S72" s="8">
        <v>0</v>
      </c>
      <c r="T72" s="8">
        <v>0</v>
      </c>
      <c r="U72" s="8">
        <v>0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8">
        <v>0</v>
      </c>
      <c r="AI72" s="8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8">
        <v>0</v>
      </c>
      <c r="AS72" s="8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</row>
    <row r="73" spans="3:87" x14ac:dyDescent="0.3"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</row>
    <row r="74" spans="3:87" x14ac:dyDescent="0.3">
      <c r="C74" t="s">
        <v>1633</v>
      </c>
      <c r="F74" s="8">
        <v>2050000</v>
      </c>
      <c r="G74" s="8">
        <v>1972125.4220399866</v>
      </c>
      <c r="H74" s="8">
        <v>1891897.611909996</v>
      </c>
      <c r="I74" s="8">
        <v>1813786.7152499878</v>
      </c>
      <c r="J74" s="8">
        <v>1734600.8220999963</v>
      </c>
      <c r="K74" s="8">
        <v>1632912.018979996</v>
      </c>
      <c r="L74" s="8">
        <v>1530523.1547599956</v>
      </c>
      <c r="M74" s="8">
        <v>1427699.3732099966</v>
      </c>
      <c r="N74" s="8">
        <v>1325363.3658200023</v>
      </c>
      <c r="O74" s="8">
        <v>1223750.4336999985</v>
      </c>
      <c r="P74" s="8">
        <v>1124912.0751499999</v>
      </c>
      <c r="Q74" s="8">
        <v>1052663.3254300018</v>
      </c>
      <c r="R74" s="8">
        <v>979017.8842000016</v>
      </c>
      <c r="S74" s="8">
        <v>909602.58038999746</v>
      </c>
      <c r="T74" s="8">
        <v>844615.87709999993</v>
      </c>
      <c r="U74" s="8">
        <v>782746.21090000274</v>
      </c>
      <c r="V74" s="44">
        <v>721402.05197999906</v>
      </c>
      <c r="W74" s="44">
        <v>640898.71114999719</v>
      </c>
      <c r="X74" s="44">
        <v>502706.52972000092</v>
      </c>
      <c r="Y74" s="44">
        <v>429148.2691499989</v>
      </c>
      <c r="Z74" s="44">
        <v>361047.24639999896</v>
      </c>
      <c r="AA74" s="44">
        <v>293003.44733999885</v>
      </c>
      <c r="AB74" s="44">
        <v>232688.02046999978</v>
      </c>
      <c r="AC74" s="44">
        <v>200953.37240999963</v>
      </c>
      <c r="AD74" s="44">
        <v>175551.3603300004</v>
      </c>
      <c r="AE74" s="44">
        <v>156275.75939000011</v>
      </c>
      <c r="AF74" s="44">
        <v>136071.67901999975</v>
      </c>
      <c r="AG74" s="44">
        <v>115977.96890000002</v>
      </c>
      <c r="AH74" s="8">
        <v>104306.88332000015</v>
      </c>
      <c r="AI74" s="8">
        <v>91247.18704999995</v>
      </c>
      <c r="AJ74" s="8">
        <v>78252.331570000024</v>
      </c>
      <c r="AK74" s="8">
        <v>67786.355960000074</v>
      </c>
      <c r="AL74" s="8">
        <v>57180.068569999756</v>
      </c>
      <c r="AM74" s="8">
        <v>46535.829229999952</v>
      </c>
      <c r="AN74" s="8">
        <v>38510.82757000003</v>
      </c>
      <c r="AO74" s="8">
        <v>33093.715439999985</v>
      </c>
      <c r="AP74" s="8">
        <v>29368.811709999994</v>
      </c>
      <c r="AQ74" s="8">
        <v>25933.494129999985</v>
      </c>
      <c r="AR74" s="8">
        <v>22597.15424</v>
      </c>
      <c r="AS74" s="8">
        <v>19708.357290000007</v>
      </c>
      <c r="AT74" s="44">
        <v>16821.310189999997</v>
      </c>
      <c r="AU74" s="44">
        <v>14512.292390000002</v>
      </c>
      <c r="AV74" s="44">
        <v>12215.520489999995</v>
      </c>
      <c r="AW74" s="44">
        <v>9932.3844499999941</v>
      </c>
      <c r="AX74" s="44">
        <v>7919.882810000001</v>
      </c>
      <c r="AY74" s="44">
        <v>5977.3068600000006</v>
      </c>
      <c r="AZ74" s="44">
        <v>4098.2987400000011</v>
      </c>
      <c r="BA74" s="44">
        <v>2425.5556399999996</v>
      </c>
      <c r="BB74" s="44">
        <v>868.60037</v>
      </c>
      <c r="BC74" s="44">
        <v>223.31566000000001</v>
      </c>
      <c r="BD74" s="44">
        <v>43.57696</v>
      </c>
      <c r="BE74" s="44">
        <v>0</v>
      </c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</row>
    <row r="75" spans="3:87" x14ac:dyDescent="0.3"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</row>
    <row r="76" spans="3:87" x14ac:dyDescent="0.3">
      <c r="C76" t="s">
        <v>1634</v>
      </c>
      <c r="G76" s="8">
        <f>SUM(G68:G74)</f>
        <v>1972125.4220399866</v>
      </c>
      <c r="H76" s="8">
        <f t="shared" ref="H76:BE76" si="8">SUM(H68:H74)</f>
        <v>1891897.611909996</v>
      </c>
      <c r="I76" s="8">
        <f t="shared" si="8"/>
        <v>1813786.7152499878</v>
      </c>
      <c r="J76" s="8">
        <f>SUM(J68:J74)</f>
        <v>1734600.8220999963</v>
      </c>
      <c r="K76" s="8">
        <f t="shared" si="8"/>
        <v>1632912.018979996</v>
      </c>
      <c r="L76" s="8">
        <f t="shared" si="8"/>
        <v>1530523.1547599956</v>
      </c>
      <c r="M76" s="8">
        <f t="shared" si="8"/>
        <v>1427699.3732099966</v>
      </c>
      <c r="N76" s="8">
        <f t="shared" si="8"/>
        <v>1325363.3658200023</v>
      </c>
      <c r="O76" s="8">
        <f t="shared" si="8"/>
        <v>1223750.4336999985</v>
      </c>
      <c r="P76" s="8">
        <f t="shared" si="8"/>
        <v>1124912.0751499999</v>
      </c>
      <c r="Q76" s="8">
        <f t="shared" si="8"/>
        <v>1052663.3254300018</v>
      </c>
      <c r="R76" s="8">
        <f t="shared" si="8"/>
        <v>979017.8842000016</v>
      </c>
      <c r="S76" s="8">
        <f t="shared" si="8"/>
        <v>909602.58038999746</v>
      </c>
      <c r="T76" s="8">
        <f t="shared" si="8"/>
        <v>844615.87709999993</v>
      </c>
      <c r="U76" s="8">
        <f t="shared" si="8"/>
        <v>782746.21090000274</v>
      </c>
      <c r="V76" s="44">
        <f t="shared" si="8"/>
        <v>721402.05197999906</v>
      </c>
      <c r="W76" s="44">
        <f t="shared" si="8"/>
        <v>640898.71114999719</v>
      </c>
      <c r="X76" s="44">
        <f t="shared" si="8"/>
        <v>502706.52972000092</v>
      </c>
      <c r="Y76" s="44">
        <f t="shared" si="8"/>
        <v>429148.2691499989</v>
      </c>
      <c r="Z76" s="44">
        <f t="shared" si="8"/>
        <v>361047.24639999896</v>
      </c>
      <c r="AA76" s="44">
        <f t="shared" si="8"/>
        <v>293003.44733999885</v>
      </c>
      <c r="AB76" s="44">
        <f t="shared" si="8"/>
        <v>232688.02046999978</v>
      </c>
      <c r="AC76" s="44">
        <f t="shared" si="8"/>
        <v>200953.37240999963</v>
      </c>
      <c r="AD76" s="44">
        <f t="shared" si="8"/>
        <v>175551.3603300004</v>
      </c>
      <c r="AE76" s="44">
        <f t="shared" si="8"/>
        <v>156275.75939000011</v>
      </c>
      <c r="AF76" s="44">
        <f t="shared" si="8"/>
        <v>136071.67901999975</v>
      </c>
      <c r="AG76" s="44">
        <f t="shared" si="8"/>
        <v>115977.96890000002</v>
      </c>
      <c r="AH76" s="8">
        <f t="shared" si="8"/>
        <v>104306.88332000015</v>
      </c>
      <c r="AI76" s="8">
        <f t="shared" si="8"/>
        <v>91247.18704999995</v>
      </c>
      <c r="AJ76" s="8">
        <f t="shared" si="8"/>
        <v>78252.331570000024</v>
      </c>
      <c r="AK76" s="8">
        <f t="shared" si="8"/>
        <v>67786.355960000074</v>
      </c>
      <c r="AL76" s="8">
        <f t="shared" si="8"/>
        <v>57180.068569999756</v>
      </c>
      <c r="AM76" s="8">
        <f t="shared" si="8"/>
        <v>46535.829229999952</v>
      </c>
      <c r="AN76" s="8">
        <f t="shared" si="8"/>
        <v>38510.82757000003</v>
      </c>
      <c r="AO76" s="8">
        <f t="shared" si="8"/>
        <v>33093.715439999985</v>
      </c>
      <c r="AP76" s="8">
        <f t="shared" si="8"/>
        <v>29368.811709999994</v>
      </c>
      <c r="AQ76" s="8">
        <f t="shared" si="8"/>
        <v>25933.494129999985</v>
      </c>
      <c r="AR76" s="8">
        <f t="shared" si="8"/>
        <v>22597.15424</v>
      </c>
      <c r="AS76" s="8">
        <f t="shared" si="8"/>
        <v>19708.357290000007</v>
      </c>
      <c r="AT76" s="44">
        <f t="shared" si="8"/>
        <v>16821.310189999997</v>
      </c>
      <c r="AU76" s="44">
        <f t="shared" si="8"/>
        <v>14512.292390000002</v>
      </c>
      <c r="AV76" s="44">
        <f t="shared" si="8"/>
        <v>12215.520489999995</v>
      </c>
      <c r="AW76" s="44">
        <f t="shared" si="8"/>
        <v>9932.3844499999941</v>
      </c>
      <c r="AX76" s="44">
        <f t="shared" si="8"/>
        <v>7919.882810000001</v>
      </c>
      <c r="AY76" s="44">
        <f t="shared" si="8"/>
        <v>5977.3068600000006</v>
      </c>
      <c r="AZ76" s="44">
        <f t="shared" si="8"/>
        <v>4098.2987400000011</v>
      </c>
      <c r="BA76" s="44">
        <f t="shared" si="8"/>
        <v>2425.5556399999996</v>
      </c>
      <c r="BB76" s="44">
        <f t="shared" si="8"/>
        <v>868.60037</v>
      </c>
      <c r="BC76" s="44">
        <f t="shared" si="8"/>
        <v>223.31566000000001</v>
      </c>
      <c r="BD76" s="44">
        <f t="shared" si="8"/>
        <v>43.57696</v>
      </c>
      <c r="BE76" s="44">
        <f t="shared" si="8"/>
        <v>0</v>
      </c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</row>
    <row r="77" spans="3:87" x14ac:dyDescent="0.3"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</row>
    <row r="78" spans="3:87" x14ac:dyDescent="0.3">
      <c r="C78" t="s">
        <v>1635</v>
      </c>
      <c r="D78" t="s">
        <v>1545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0</v>
      </c>
      <c r="M78" s="8">
        <v>0</v>
      </c>
      <c r="N78" s="8">
        <v>0</v>
      </c>
      <c r="O78" s="8">
        <v>0</v>
      </c>
      <c r="P78" s="8">
        <v>0</v>
      </c>
      <c r="Q78" s="8">
        <v>0</v>
      </c>
      <c r="R78" s="8">
        <v>0</v>
      </c>
      <c r="S78" s="8">
        <v>0</v>
      </c>
      <c r="T78" s="8">
        <v>0</v>
      </c>
      <c r="U78" s="8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8">
        <v>0</v>
      </c>
      <c r="AI78" s="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8">
        <v>0</v>
      </c>
      <c r="AS78" s="8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</row>
    <row r="79" spans="3:87" x14ac:dyDescent="0.3">
      <c r="C79" t="s">
        <v>1635</v>
      </c>
      <c r="D79" t="s">
        <v>1546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  <c r="U79" s="8">
        <v>0</v>
      </c>
      <c r="V79" s="44">
        <v>0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8">
        <v>0</v>
      </c>
      <c r="AI79" s="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8">
        <v>0</v>
      </c>
      <c r="AS79" s="8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</row>
    <row r="80" spans="3:87" x14ac:dyDescent="0.3">
      <c r="C80" t="s">
        <v>1635</v>
      </c>
      <c r="D80" t="s">
        <v>1547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>
        <v>0</v>
      </c>
      <c r="P80" s="8">
        <v>0</v>
      </c>
      <c r="Q80" s="8">
        <v>0</v>
      </c>
      <c r="R80" s="8">
        <v>0</v>
      </c>
      <c r="S80" s="8">
        <v>0</v>
      </c>
      <c r="T80" s="8">
        <v>0</v>
      </c>
      <c r="U80" s="8">
        <v>0</v>
      </c>
      <c r="V80" s="44">
        <v>0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8">
        <v>0</v>
      </c>
      <c r="AI80" s="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8">
        <v>0</v>
      </c>
      <c r="AS80" s="8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</row>
    <row r="81" spans="3:87" x14ac:dyDescent="0.3">
      <c r="C81" t="s">
        <v>1635</v>
      </c>
      <c r="D81" t="s">
        <v>1548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  <c r="U81" s="8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8">
        <v>0</v>
      </c>
      <c r="AI81" s="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8">
        <v>0</v>
      </c>
      <c r="AS81" s="8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</row>
    <row r="82" spans="3:87" x14ac:dyDescent="0.3">
      <c r="C82" t="s">
        <v>1635</v>
      </c>
      <c r="D82" t="s">
        <v>1549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8">
        <v>0</v>
      </c>
      <c r="AI82" s="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8">
        <v>0</v>
      </c>
      <c r="AS82" s="8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</row>
    <row r="83" spans="3:87" x14ac:dyDescent="0.3"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44"/>
      <c r="AU83" s="44"/>
      <c r="AV83" s="44"/>
      <c r="AW83" s="44"/>
      <c r="AX83" s="44"/>
      <c r="AY83" s="44"/>
      <c r="AZ83" s="44"/>
      <c r="BA83" s="44"/>
      <c r="BB83" s="44" t="s">
        <v>1566</v>
      </c>
      <c r="BC83" s="44" t="s">
        <v>1566</v>
      </c>
      <c r="BD83" s="44" t="s">
        <v>1566</v>
      </c>
      <c r="BE83" s="44" t="s">
        <v>1566</v>
      </c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</row>
    <row r="84" spans="3:87" x14ac:dyDescent="0.3">
      <c r="C84" s="50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</row>
    <row r="85" spans="3:87" x14ac:dyDescent="0.3">
      <c r="C85" t="s">
        <v>1636</v>
      </c>
      <c r="G85" s="28" t="s">
        <v>1543</v>
      </c>
      <c r="H85" s="28" t="s">
        <v>1543</v>
      </c>
      <c r="I85" s="28" t="s">
        <v>1543</v>
      </c>
      <c r="J85" s="28" t="s">
        <v>1543</v>
      </c>
      <c r="K85" s="28" t="s">
        <v>1543</v>
      </c>
      <c r="L85" s="28" t="s">
        <v>1543</v>
      </c>
      <c r="M85" s="28" t="s">
        <v>1543</v>
      </c>
      <c r="N85" s="28" t="s">
        <v>1543</v>
      </c>
      <c r="O85" s="28" t="s">
        <v>1543</v>
      </c>
      <c r="P85" s="28" t="s">
        <v>1543</v>
      </c>
      <c r="Q85" s="28" t="s">
        <v>1543</v>
      </c>
      <c r="R85" s="28" t="s">
        <v>1543</v>
      </c>
      <c r="S85" s="28" t="s">
        <v>1543</v>
      </c>
      <c r="T85" s="28" t="s">
        <v>1543</v>
      </c>
      <c r="U85" s="28" t="s">
        <v>1543</v>
      </c>
      <c r="V85" s="52" t="s">
        <v>1543</v>
      </c>
      <c r="W85" s="52" t="s">
        <v>1543</v>
      </c>
      <c r="X85" s="52" t="s">
        <v>1543</v>
      </c>
      <c r="Y85" s="52" t="s">
        <v>1543</v>
      </c>
      <c r="Z85" s="52" t="s">
        <v>1543</v>
      </c>
      <c r="AA85" s="52" t="s">
        <v>1543</v>
      </c>
      <c r="AB85" s="52" t="s">
        <v>1543</v>
      </c>
      <c r="AC85" s="52" t="s">
        <v>1543</v>
      </c>
      <c r="AD85" s="52" t="s">
        <v>1543</v>
      </c>
      <c r="AE85" s="52" t="s">
        <v>1543</v>
      </c>
      <c r="AF85" s="52" t="s">
        <v>1543</v>
      </c>
      <c r="AG85" s="52" t="s">
        <v>1543</v>
      </c>
      <c r="AH85" s="28" t="s">
        <v>1543</v>
      </c>
      <c r="AI85" s="28" t="s">
        <v>1543</v>
      </c>
      <c r="AJ85" s="28" t="s">
        <v>1543</v>
      </c>
      <c r="AK85" s="28" t="s">
        <v>1543</v>
      </c>
      <c r="AL85" s="28" t="s">
        <v>1543</v>
      </c>
      <c r="AM85" s="28" t="s">
        <v>1543</v>
      </c>
      <c r="AN85" s="28" t="s">
        <v>1543</v>
      </c>
      <c r="AO85" s="28" t="s">
        <v>1543</v>
      </c>
      <c r="AP85" s="28" t="s">
        <v>1543</v>
      </c>
      <c r="AQ85" s="28" t="s">
        <v>1543</v>
      </c>
      <c r="AR85" s="28" t="s">
        <v>1543</v>
      </c>
      <c r="AS85" s="28" t="s">
        <v>1543</v>
      </c>
      <c r="AT85" s="52" t="s">
        <v>1543</v>
      </c>
      <c r="AU85" s="52" t="s">
        <v>1543</v>
      </c>
      <c r="AV85" s="52" t="s">
        <v>1543</v>
      </c>
      <c r="AW85" s="52" t="s">
        <v>1543</v>
      </c>
      <c r="AX85" s="52" t="s">
        <v>1543</v>
      </c>
      <c r="AY85" s="52" t="s">
        <v>1543</v>
      </c>
      <c r="AZ85" s="52" t="s">
        <v>1543</v>
      </c>
      <c r="BA85" s="52" t="s">
        <v>1543</v>
      </c>
      <c r="BB85" s="52" t="s">
        <v>1543</v>
      </c>
      <c r="BC85" s="52" t="s">
        <v>1543</v>
      </c>
      <c r="BD85" s="52" t="s">
        <v>1543</v>
      </c>
      <c r="BE85" s="52" t="s">
        <v>1543</v>
      </c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</row>
    <row r="86" spans="3:87" x14ac:dyDescent="0.3"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44"/>
      <c r="AU86" s="44"/>
      <c r="AV86" s="44"/>
      <c r="AW86" s="44"/>
      <c r="AX86" s="44"/>
      <c r="AY86" s="44"/>
      <c r="AZ86" s="44"/>
      <c r="BA86" s="44"/>
      <c r="BB86" s="44" t="s">
        <v>1566</v>
      </c>
      <c r="BC86" s="44" t="s">
        <v>1566</v>
      </c>
      <c r="BD86" s="44" t="s">
        <v>1566</v>
      </c>
      <c r="BE86" s="44" t="s">
        <v>1566</v>
      </c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</row>
    <row r="87" spans="3:87" x14ac:dyDescent="0.3"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44"/>
      <c r="AU87" s="44"/>
      <c r="AV87" s="44"/>
      <c r="AW87" s="44"/>
      <c r="AX87" s="44"/>
      <c r="AY87" s="44"/>
      <c r="AZ87" s="44"/>
      <c r="BA87" s="44"/>
      <c r="BB87" s="44" t="s">
        <v>1566</v>
      </c>
      <c r="BC87" s="44" t="s">
        <v>1566</v>
      </c>
      <c r="BD87" s="44" t="s">
        <v>1566</v>
      </c>
      <c r="BE87" s="44" t="s">
        <v>1566</v>
      </c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</row>
    <row r="88" spans="3:87" x14ac:dyDescent="0.3"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</row>
    <row r="89" spans="3:87" x14ac:dyDescent="0.3">
      <c r="C89" t="s">
        <v>1637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</row>
    <row r="90" spans="3:87" x14ac:dyDescent="0.3">
      <c r="C90" t="s">
        <v>1638</v>
      </c>
      <c r="G90" s="8">
        <v>0</v>
      </c>
      <c r="H90" s="8">
        <v>0</v>
      </c>
      <c r="I90" s="8">
        <v>0</v>
      </c>
      <c r="J90" s="8">
        <v>0</v>
      </c>
      <c r="K90" s="8">
        <v>0</v>
      </c>
      <c r="L90" s="8">
        <v>0</v>
      </c>
      <c r="M90" s="8">
        <v>0</v>
      </c>
      <c r="N90" s="8">
        <v>0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0</v>
      </c>
      <c r="U90" s="8">
        <v>0</v>
      </c>
      <c r="V90" s="44">
        <v>0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8">
        <v>0</v>
      </c>
      <c r="AS90" s="8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</row>
    <row r="91" spans="3:87" x14ac:dyDescent="0.3">
      <c r="G91" s="1"/>
      <c r="H91" s="1"/>
      <c r="I91" s="1"/>
      <c r="J91" s="1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</row>
    <row r="92" spans="3:87" x14ac:dyDescent="0.3">
      <c r="C92" t="s">
        <v>1639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0</v>
      </c>
      <c r="U92" s="8">
        <v>0</v>
      </c>
      <c r="V92" s="44">
        <v>0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</row>
    <row r="93" spans="3:87" x14ac:dyDescent="0.3">
      <c r="C93" t="s">
        <v>1640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0</v>
      </c>
      <c r="O93" s="8">
        <v>0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0</v>
      </c>
      <c r="V93" s="44">
        <v>0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8">
        <v>0</v>
      </c>
      <c r="AS93" s="8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</row>
    <row r="94" spans="3:87" x14ac:dyDescent="0.3">
      <c r="G94" s="1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 t="s">
        <v>1566</v>
      </c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</row>
    <row r="98" spans="60:63" x14ac:dyDescent="0.3">
      <c r="BH98" s="8" t="s">
        <v>1470</v>
      </c>
      <c r="BI98" s="8" t="s">
        <v>1372</v>
      </c>
      <c r="BJ98" s="8"/>
      <c r="BK98" s="8"/>
    </row>
    <row r="99" spans="60:63" x14ac:dyDescent="0.3">
      <c r="BH99" s="28">
        <v>3.0000000000000001E-3</v>
      </c>
      <c r="BI99" s="8" t="s">
        <v>1538</v>
      </c>
      <c r="BJ99" s="8"/>
      <c r="BK99" s="8"/>
    </row>
    <row r="100" spans="60:63" x14ac:dyDescent="0.3">
      <c r="BH100" s="28">
        <v>3.0000000000000001E-3</v>
      </c>
      <c r="BI100" s="8" t="s">
        <v>1539</v>
      </c>
      <c r="BJ100" s="8"/>
      <c r="BK100" s="8"/>
    </row>
    <row r="101" spans="60:63" x14ac:dyDescent="0.3">
      <c r="BH101" s="28">
        <v>3.0000000000000001E-3</v>
      </c>
      <c r="BI101" s="8" t="s">
        <v>1540</v>
      </c>
      <c r="BJ101" s="8"/>
      <c r="BK101" s="8"/>
    </row>
    <row r="102" spans="60:63" x14ac:dyDescent="0.3">
      <c r="BH102" s="28">
        <v>3.0000000000000001E-3</v>
      </c>
      <c r="BI102" s="8" t="s">
        <v>1541</v>
      </c>
      <c r="BJ102" s="8"/>
      <c r="BK102" s="8"/>
    </row>
    <row r="103" spans="60:63" x14ac:dyDescent="0.3">
      <c r="BH103" s="28">
        <v>3.0000000000000001E-3</v>
      </c>
      <c r="BI103" s="8" t="s">
        <v>1542</v>
      </c>
      <c r="BJ103" s="8"/>
      <c r="BK103" s="8"/>
    </row>
  </sheetData>
  <conditionalFormatting sqref="BI99:BK103">
    <cfRule type="duplicateValues" dxfId="6" priority="1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B20B2-345F-4FBB-B158-10342538E916}">
  <sheetPr codeName="Sheet11"/>
  <dimension ref="B1:BF136"/>
  <sheetViews>
    <sheetView zoomScale="85" zoomScaleNormal="85" workbookViewId="0">
      <pane xSplit="4" ySplit="7" topLeftCell="E8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RowHeight="14.4" x14ac:dyDescent="0.3"/>
  <cols>
    <col min="2" max="2" width="35.6640625" bestFit="1" customWidth="1"/>
    <col min="3" max="3" width="35.6640625" customWidth="1"/>
    <col min="4" max="4" width="14.88671875" bestFit="1" customWidth="1"/>
    <col min="5" max="5" width="14.88671875" customWidth="1"/>
    <col min="6" max="6" width="11.33203125" bestFit="1" customWidth="1"/>
    <col min="7" max="20" width="10.88671875" bestFit="1" customWidth="1"/>
    <col min="21" max="44" width="10.109375" bestFit="1" customWidth="1"/>
  </cols>
  <sheetData>
    <row r="1" spans="2:58" x14ac:dyDescent="0.3">
      <c r="D1" t="s">
        <v>1454</v>
      </c>
      <c r="F1" s="1">
        <v>44927</v>
      </c>
      <c r="G1" s="1">
        <f>EOMONTH(F1,0)+1</f>
        <v>44958</v>
      </c>
      <c r="H1" s="1">
        <f t="shared" ref="H1:AR1" si="0">EOMONTH(G1,0)+1</f>
        <v>44986</v>
      </c>
      <c r="I1" s="1">
        <f t="shared" si="0"/>
        <v>45017</v>
      </c>
      <c r="J1" s="1">
        <f t="shared" si="0"/>
        <v>45047</v>
      </c>
      <c r="K1" s="1">
        <f t="shared" si="0"/>
        <v>45078</v>
      </c>
      <c r="L1" s="1">
        <f t="shared" si="0"/>
        <v>45108</v>
      </c>
      <c r="M1" s="1">
        <f t="shared" si="0"/>
        <v>45139</v>
      </c>
      <c r="N1" s="1">
        <f t="shared" si="0"/>
        <v>45170</v>
      </c>
      <c r="O1" s="1">
        <f t="shared" si="0"/>
        <v>45200</v>
      </c>
      <c r="P1" s="1">
        <f t="shared" si="0"/>
        <v>45231</v>
      </c>
      <c r="Q1" s="1">
        <f t="shared" si="0"/>
        <v>45261</v>
      </c>
      <c r="R1" s="1">
        <f t="shared" si="0"/>
        <v>45292</v>
      </c>
      <c r="S1" s="1">
        <f t="shared" si="0"/>
        <v>45323</v>
      </c>
      <c r="T1" s="1">
        <f t="shared" si="0"/>
        <v>45352</v>
      </c>
      <c r="U1" s="1">
        <f t="shared" si="0"/>
        <v>45383</v>
      </c>
      <c r="V1" s="1">
        <f t="shared" si="0"/>
        <v>45413</v>
      </c>
      <c r="W1" s="1">
        <f t="shared" si="0"/>
        <v>45444</v>
      </c>
      <c r="X1" s="1">
        <f t="shared" si="0"/>
        <v>45474</v>
      </c>
      <c r="Y1" s="1">
        <f t="shared" si="0"/>
        <v>45505</v>
      </c>
      <c r="Z1" s="1">
        <f t="shared" si="0"/>
        <v>45536</v>
      </c>
      <c r="AA1" s="1">
        <f t="shared" si="0"/>
        <v>45566</v>
      </c>
      <c r="AB1" s="1">
        <f t="shared" si="0"/>
        <v>45597</v>
      </c>
      <c r="AC1" s="1">
        <f t="shared" si="0"/>
        <v>45627</v>
      </c>
      <c r="AD1" s="1">
        <f t="shared" si="0"/>
        <v>45658</v>
      </c>
      <c r="AE1" s="1">
        <f t="shared" si="0"/>
        <v>45689</v>
      </c>
      <c r="AF1" s="1">
        <f t="shared" si="0"/>
        <v>45717</v>
      </c>
      <c r="AG1" s="1">
        <f t="shared" si="0"/>
        <v>45748</v>
      </c>
      <c r="AH1" s="1">
        <f t="shared" si="0"/>
        <v>45778</v>
      </c>
      <c r="AI1" s="1">
        <f t="shared" si="0"/>
        <v>45809</v>
      </c>
      <c r="AJ1" s="1">
        <f t="shared" si="0"/>
        <v>45839</v>
      </c>
      <c r="AK1" s="1">
        <f t="shared" si="0"/>
        <v>45870</v>
      </c>
      <c r="AL1" s="1">
        <f t="shared" si="0"/>
        <v>45901</v>
      </c>
      <c r="AM1" s="1">
        <f t="shared" si="0"/>
        <v>45931</v>
      </c>
      <c r="AN1" s="1">
        <f t="shared" si="0"/>
        <v>45962</v>
      </c>
      <c r="AO1" s="1">
        <f t="shared" si="0"/>
        <v>45992</v>
      </c>
      <c r="AP1" s="1">
        <f t="shared" si="0"/>
        <v>46023</v>
      </c>
      <c r="AQ1" s="1">
        <f t="shared" si="0"/>
        <v>46054</v>
      </c>
      <c r="AR1" s="1">
        <f t="shared" si="0"/>
        <v>46082</v>
      </c>
    </row>
    <row r="2" spans="2:58" x14ac:dyDescent="0.3">
      <c r="D2" t="s">
        <v>1455</v>
      </c>
      <c r="F2" s="1">
        <f>EOMONTH(F1,0)</f>
        <v>44957</v>
      </c>
      <c r="G2" s="1">
        <f t="shared" ref="G2:AR2" si="1">EOMONTH(G1,0)</f>
        <v>44985</v>
      </c>
      <c r="H2" s="1">
        <f t="shared" si="1"/>
        <v>45016</v>
      </c>
      <c r="I2" s="1">
        <f t="shared" si="1"/>
        <v>45046</v>
      </c>
      <c r="J2" s="1">
        <f t="shared" si="1"/>
        <v>45077</v>
      </c>
      <c r="K2" s="1">
        <f t="shared" si="1"/>
        <v>45107</v>
      </c>
      <c r="L2" s="1">
        <f t="shared" si="1"/>
        <v>45138</v>
      </c>
      <c r="M2" s="1">
        <f t="shared" si="1"/>
        <v>45169</v>
      </c>
      <c r="N2" s="1">
        <f t="shared" si="1"/>
        <v>45199</v>
      </c>
      <c r="O2" s="1">
        <f t="shared" si="1"/>
        <v>45230</v>
      </c>
      <c r="P2" s="1">
        <f t="shared" si="1"/>
        <v>45260</v>
      </c>
      <c r="Q2" s="1">
        <f t="shared" si="1"/>
        <v>45291</v>
      </c>
      <c r="R2" s="1">
        <f t="shared" si="1"/>
        <v>45322</v>
      </c>
      <c r="S2" s="1">
        <f t="shared" si="1"/>
        <v>45351</v>
      </c>
      <c r="T2" s="1">
        <f t="shared" si="1"/>
        <v>45382</v>
      </c>
      <c r="U2" s="1">
        <f t="shared" si="1"/>
        <v>45412</v>
      </c>
      <c r="V2" s="1">
        <f t="shared" si="1"/>
        <v>45443</v>
      </c>
      <c r="W2" s="1">
        <f t="shared" si="1"/>
        <v>45473</v>
      </c>
      <c r="X2" s="1">
        <f t="shared" si="1"/>
        <v>45504</v>
      </c>
      <c r="Y2" s="1">
        <f t="shared" si="1"/>
        <v>45535</v>
      </c>
      <c r="Z2" s="1">
        <f t="shared" si="1"/>
        <v>45565</v>
      </c>
      <c r="AA2" s="1">
        <f t="shared" si="1"/>
        <v>45596</v>
      </c>
      <c r="AB2" s="1">
        <f t="shared" si="1"/>
        <v>45626</v>
      </c>
      <c r="AC2" s="1">
        <f t="shared" si="1"/>
        <v>45657</v>
      </c>
      <c r="AD2" s="1">
        <f t="shared" si="1"/>
        <v>45688</v>
      </c>
      <c r="AE2" s="1">
        <f t="shared" si="1"/>
        <v>45716</v>
      </c>
      <c r="AF2" s="1">
        <f t="shared" si="1"/>
        <v>45747</v>
      </c>
      <c r="AG2" s="1">
        <f t="shared" si="1"/>
        <v>45777</v>
      </c>
      <c r="AH2" s="1">
        <f t="shared" si="1"/>
        <v>45808</v>
      </c>
      <c r="AI2" s="1">
        <f t="shared" si="1"/>
        <v>45838</v>
      </c>
      <c r="AJ2" s="1">
        <f t="shared" si="1"/>
        <v>45869</v>
      </c>
      <c r="AK2" s="1">
        <f t="shared" si="1"/>
        <v>45900</v>
      </c>
      <c r="AL2" s="1">
        <f t="shared" si="1"/>
        <v>45930</v>
      </c>
      <c r="AM2" s="1">
        <f t="shared" si="1"/>
        <v>45961</v>
      </c>
      <c r="AN2" s="1">
        <f t="shared" si="1"/>
        <v>45991</v>
      </c>
      <c r="AO2" s="1">
        <f t="shared" si="1"/>
        <v>46022</v>
      </c>
      <c r="AP2" s="1">
        <f t="shared" si="1"/>
        <v>46053</v>
      </c>
      <c r="AQ2" s="1">
        <f t="shared" si="1"/>
        <v>46081</v>
      </c>
      <c r="AR2" s="1">
        <f t="shared" si="1"/>
        <v>46112</v>
      </c>
    </row>
    <row r="3" spans="2:58" x14ac:dyDescent="0.3">
      <c r="D3" t="s">
        <v>1388</v>
      </c>
      <c r="F3" t="s">
        <v>1373</v>
      </c>
      <c r="G3" t="s">
        <v>1374</v>
      </c>
      <c r="H3" t="s">
        <v>1375</v>
      </c>
      <c r="I3" t="s">
        <v>1490</v>
      </c>
      <c r="J3" t="s">
        <v>1491</v>
      </c>
      <c r="K3" t="s">
        <v>1492</v>
      </c>
      <c r="L3" t="s">
        <v>1493</v>
      </c>
      <c r="M3" t="s">
        <v>1494</v>
      </c>
      <c r="N3" t="s">
        <v>1495</v>
      </c>
      <c r="O3" t="s">
        <v>1496</v>
      </c>
      <c r="P3" t="s">
        <v>1497</v>
      </c>
      <c r="Q3" t="s">
        <v>1498</v>
      </c>
      <c r="R3" t="s">
        <v>1499</v>
      </c>
      <c r="S3" t="s">
        <v>1500</v>
      </c>
      <c r="T3" t="s">
        <v>1501</v>
      </c>
      <c r="U3" t="s">
        <v>1502</v>
      </c>
      <c r="V3" t="s">
        <v>1503</v>
      </c>
      <c r="W3" t="s">
        <v>1504</v>
      </c>
      <c r="X3" t="s">
        <v>1505</v>
      </c>
      <c r="Y3" t="s">
        <v>1506</v>
      </c>
      <c r="Z3" t="s">
        <v>1507</v>
      </c>
      <c r="AA3" t="s">
        <v>1508</v>
      </c>
      <c r="AB3" t="s">
        <v>1509</v>
      </c>
      <c r="AC3" t="s">
        <v>1510</v>
      </c>
      <c r="AD3" t="s">
        <v>1511</v>
      </c>
      <c r="AE3" t="s">
        <v>1512</v>
      </c>
      <c r="AF3" t="s">
        <v>1513</v>
      </c>
      <c r="AG3" t="s">
        <v>1514</v>
      </c>
      <c r="AH3" t="s">
        <v>1515</v>
      </c>
      <c r="AI3" t="s">
        <v>1516</v>
      </c>
      <c r="AJ3" t="s">
        <v>1517</v>
      </c>
      <c r="AK3" t="s">
        <v>1518</v>
      </c>
      <c r="AL3" t="s">
        <v>1519</v>
      </c>
      <c r="AM3" t="s">
        <v>1520</v>
      </c>
      <c r="AN3" t="s">
        <v>1521</v>
      </c>
      <c r="AO3" t="s">
        <v>1522</v>
      </c>
      <c r="AP3" t="s">
        <v>1523</v>
      </c>
      <c r="AQ3" t="s">
        <v>1524</v>
      </c>
      <c r="AR3" t="s">
        <v>1525</v>
      </c>
    </row>
    <row r="4" spans="2:58" x14ac:dyDescent="0.3">
      <c r="D4" t="s">
        <v>1372</v>
      </c>
      <c r="F4" t="s">
        <v>1538</v>
      </c>
      <c r="G4" t="s">
        <v>1538</v>
      </c>
      <c r="H4" t="s">
        <v>1538</v>
      </c>
      <c r="I4" t="s">
        <v>1539</v>
      </c>
      <c r="J4" t="s">
        <v>1539</v>
      </c>
      <c r="K4" t="s">
        <v>1539</v>
      </c>
      <c r="L4" t="s">
        <v>1539</v>
      </c>
      <c r="M4" t="s">
        <v>1539</v>
      </c>
      <c r="N4" t="s">
        <v>1539</v>
      </c>
      <c r="O4" t="s">
        <v>1539</v>
      </c>
      <c r="P4" t="s">
        <v>1539</v>
      </c>
      <c r="Q4" t="s">
        <v>1539</v>
      </c>
      <c r="R4" t="s">
        <v>1539</v>
      </c>
      <c r="S4" t="s">
        <v>1539</v>
      </c>
      <c r="T4" t="s">
        <v>1539</v>
      </c>
      <c r="U4" t="s">
        <v>1540</v>
      </c>
      <c r="V4" t="s">
        <v>1540</v>
      </c>
      <c r="W4" t="s">
        <v>1540</v>
      </c>
      <c r="X4" t="s">
        <v>1540</v>
      </c>
      <c r="Y4" t="s">
        <v>1540</v>
      </c>
      <c r="Z4" t="s">
        <v>1540</v>
      </c>
      <c r="AA4" t="s">
        <v>1540</v>
      </c>
      <c r="AB4" t="s">
        <v>1540</v>
      </c>
      <c r="AC4" t="s">
        <v>1540</v>
      </c>
      <c r="AD4" t="s">
        <v>1540</v>
      </c>
      <c r="AE4" t="s">
        <v>1540</v>
      </c>
      <c r="AF4" t="s">
        <v>1540</v>
      </c>
      <c r="AG4" t="s">
        <v>1541</v>
      </c>
      <c r="AH4" t="s">
        <v>1541</v>
      </c>
      <c r="AI4" t="s">
        <v>1541</v>
      </c>
      <c r="AJ4" t="s">
        <v>1541</v>
      </c>
      <c r="AK4" t="s">
        <v>1541</v>
      </c>
      <c r="AL4" t="s">
        <v>1541</v>
      </c>
      <c r="AM4" t="s">
        <v>1541</v>
      </c>
      <c r="AN4" t="s">
        <v>1541</v>
      </c>
      <c r="AO4" t="s">
        <v>1541</v>
      </c>
      <c r="AP4" t="s">
        <v>1541</v>
      </c>
      <c r="AQ4" t="s">
        <v>1541</v>
      </c>
      <c r="AR4" t="s">
        <v>1541</v>
      </c>
    </row>
    <row r="5" spans="2:58" x14ac:dyDescent="0.3">
      <c r="D5" t="s">
        <v>1458</v>
      </c>
      <c r="F5">
        <v>2023</v>
      </c>
      <c r="G5">
        <v>2023</v>
      </c>
      <c r="H5">
        <v>2023</v>
      </c>
      <c r="I5">
        <v>2023</v>
      </c>
      <c r="J5">
        <v>2023</v>
      </c>
      <c r="K5">
        <v>2023</v>
      </c>
      <c r="L5">
        <v>2023</v>
      </c>
      <c r="M5">
        <v>2023</v>
      </c>
      <c r="N5">
        <v>2023</v>
      </c>
      <c r="O5">
        <v>2023</v>
      </c>
      <c r="P5">
        <v>2023</v>
      </c>
      <c r="Q5">
        <v>2023</v>
      </c>
      <c r="R5">
        <v>2024</v>
      </c>
      <c r="S5">
        <v>2024</v>
      </c>
      <c r="T5">
        <v>2024</v>
      </c>
      <c r="U5">
        <v>2024</v>
      </c>
      <c r="V5">
        <v>2024</v>
      </c>
      <c r="W5">
        <v>2024</v>
      </c>
      <c r="X5">
        <v>2024</v>
      </c>
      <c r="Y5">
        <v>2024</v>
      </c>
      <c r="Z5">
        <v>2024</v>
      </c>
      <c r="AA5">
        <v>2024</v>
      </c>
      <c r="AB5">
        <v>2024</v>
      </c>
      <c r="AC5">
        <v>2024</v>
      </c>
      <c r="AD5">
        <v>2025</v>
      </c>
      <c r="AE5">
        <v>2025</v>
      </c>
      <c r="AF5">
        <v>2025</v>
      </c>
      <c r="AG5">
        <v>2025</v>
      </c>
      <c r="AH5">
        <v>2025</v>
      </c>
      <c r="AI5">
        <v>2025</v>
      </c>
      <c r="AJ5">
        <v>2025</v>
      </c>
      <c r="AK5">
        <v>2025</v>
      </c>
      <c r="AL5">
        <v>2025</v>
      </c>
      <c r="AM5">
        <v>2025</v>
      </c>
      <c r="AN5">
        <v>2025</v>
      </c>
      <c r="AO5">
        <v>2025</v>
      </c>
      <c r="AP5">
        <v>2026</v>
      </c>
      <c r="AQ5">
        <v>2026</v>
      </c>
      <c r="AR5">
        <v>2026</v>
      </c>
    </row>
    <row r="6" spans="2:58" x14ac:dyDescent="0.3">
      <c r="B6" s="55" t="s">
        <v>1453</v>
      </c>
      <c r="C6" s="55" t="s">
        <v>1656</v>
      </c>
      <c r="D6" s="55" t="s">
        <v>1657</v>
      </c>
      <c r="E6" s="55"/>
    </row>
    <row r="8" spans="2:58" x14ac:dyDescent="0.3">
      <c r="B8" s="56" t="s">
        <v>1620</v>
      </c>
      <c r="C8" s="56"/>
      <c r="D8" s="56" t="s">
        <v>1393</v>
      </c>
      <c r="E8" s="56"/>
      <c r="F8" s="8">
        <v>-9800</v>
      </c>
      <c r="G8">
        <v>-9100</v>
      </c>
      <c r="H8">
        <v>-9100</v>
      </c>
      <c r="I8">
        <v>-9100</v>
      </c>
      <c r="J8">
        <v>-9100</v>
      </c>
      <c r="K8">
        <v>-9100</v>
      </c>
      <c r="L8">
        <f>$K8*1.05</f>
        <v>-9555</v>
      </c>
      <c r="M8">
        <f t="shared" ref="M8:V8" si="2">$K8*1.05</f>
        <v>-9555</v>
      </c>
      <c r="N8">
        <f t="shared" si="2"/>
        <v>-9555</v>
      </c>
      <c r="O8">
        <f t="shared" si="2"/>
        <v>-9555</v>
      </c>
      <c r="P8">
        <f t="shared" si="2"/>
        <v>-9555</v>
      </c>
      <c r="Q8">
        <f t="shared" si="2"/>
        <v>-9555</v>
      </c>
      <c r="R8">
        <f t="shared" si="2"/>
        <v>-9555</v>
      </c>
      <c r="S8">
        <f t="shared" si="2"/>
        <v>-9555</v>
      </c>
      <c r="T8">
        <f t="shared" si="2"/>
        <v>-9555</v>
      </c>
      <c r="U8">
        <f t="shared" si="2"/>
        <v>-9555</v>
      </c>
      <c r="V8">
        <f t="shared" si="2"/>
        <v>-9555</v>
      </c>
      <c r="W8">
        <f>$K8*1.05</f>
        <v>-9555</v>
      </c>
      <c r="X8">
        <v>-9100</v>
      </c>
      <c r="Y8">
        <v>-9100</v>
      </c>
      <c r="Z8">
        <v>-9100</v>
      </c>
      <c r="AA8">
        <v>-9100</v>
      </c>
      <c r="AB8">
        <v>-9100</v>
      </c>
      <c r="AC8">
        <v>-9100</v>
      </c>
      <c r="AD8">
        <v>-9100</v>
      </c>
      <c r="AE8">
        <v>-9100</v>
      </c>
      <c r="AF8">
        <v>-9100</v>
      </c>
      <c r="AG8">
        <v>-9100</v>
      </c>
      <c r="AH8">
        <v>-9100</v>
      </c>
      <c r="AI8">
        <v>-9100</v>
      </c>
      <c r="AJ8">
        <v>-9100</v>
      </c>
      <c r="AK8">
        <v>-9100</v>
      </c>
      <c r="AL8">
        <v>-9100</v>
      </c>
      <c r="AM8">
        <v>-9100</v>
      </c>
      <c r="AN8">
        <v>-9100</v>
      </c>
      <c r="AO8">
        <v>-9100</v>
      </c>
      <c r="AP8">
        <v>-9100</v>
      </c>
      <c r="AQ8">
        <v>-9100</v>
      </c>
      <c r="AR8">
        <v>-9100</v>
      </c>
      <c r="AU8">
        <f>SUM($I8:I8)</f>
        <v>-9100</v>
      </c>
      <c r="AV8">
        <f>SUM($I8:J8)</f>
        <v>-18200</v>
      </c>
      <c r="AW8">
        <f>SUM($I8:K8)</f>
        <v>-27300</v>
      </c>
      <c r="AX8">
        <f>SUM($I8:L8)</f>
        <v>-36855</v>
      </c>
      <c r="AY8">
        <f>SUM($I8:M8)</f>
        <v>-46410</v>
      </c>
      <c r="AZ8">
        <f>SUM($I8:N8)</f>
        <v>-55965</v>
      </c>
      <c r="BA8">
        <f>SUM($I8:O8)</f>
        <v>-65520</v>
      </c>
      <c r="BB8">
        <f>SUM($I8:P8)</f>
        <v>-75075</v>
      </c>
      <c r="BC8">
        <f>SUM($I8:Q8)</f>
        <v>-84630</v>
      </c>
      <c r="BD8">
        <f>SUM($I8:R8)</f>
        <v>-94185</v>
      </c>
      <c r="BE8">
        <f>SUM($I8:S8)</f>
        <v>-103740</v>
      </c>
      <c r="BF8">
        <f>SUM($I8:T8)</f>
        <v>-113295</v>
      </c>
    </row>
    <row r="9" spans="2:58" x14ac:dyDescent="0.3">
      <c r="B9" s="56" t="s">
        <v>1658</v>
      </c>
      <c r="C9" s="56"/>
      <c r="D9" s="56" t="s">
        <v>1393</v>
      </c>
      <c r="E9" s="56"/>
      <c r="F9" s="8">
        <v>-1100</v>
      </c>
      <c r="G9">
        <v>-900</v>
      </c>
      <c r="H9">
        <v>-900</v>
      </c>
      <c r="I9">
        <v>-900</v>
      </c>
      <c r="J9">
        <v>-900</v>
      </c>
      <c r="K9">
        <v>-900</v>
      </c>
      <c r="L9">
        <f t="shared" ref="L9:W11" si="3">$K9*1.05</f>
        <v>-945</v>
      </c>
      <c r="M9">
        <f t="shared" si="3"/>
        <v>-945</v>
      </c>
      <c r="N9">
        <f t="shared" si="3"/>
        <v>-945</v>
      </c>
      <c r="O9">
        <f t="shared" si="3"/>
        <v>-945</v>
      </c>
      <c r="P9">
        <f t="shared" si="3"/>
        <v>-945</v>
      </c>
      <c r="Q9">
        <f t="shared" si="3"/>
        <v>-945</v>
      </c>
      <c r="R9">
        <f t="shared" si="3"/>
        <v>-945</v>
      </c>
      <c r="S9">
        <f t="shared" si="3"/>
        <v>-945</v>
      </c>
      <c r="T9">
        <f t="shared" si="3"/>
        <v>-945</v>
      </c>
      <c r="U9">
        <f t="shared" si="3"/>
        <v>-945</v>
      </c>
      <c r="V9">
        <f t="shared" si="3"/>
        <v>-945</v>
      </c>
      <c r="W9">
        <f t="shared" si="3"/>
        <v>-945</v>
      </c>
      <c r="X9">
        <v>-900</v>
      </c>
      <c r="Y9">
        <v>-900</v>
      </c>
      <c r="Z9">
        <v>-900</v>
      </c>
      <c r="AA9">
        <v>-900</v>
      </c>
      <c r="AB9">
        <v>-900</v>
      </c>
      <c r="AC9">
        <v>-900</v>
      </c>
      <c r="AD9">
        <v>-900</v>
      </c>
      <c r="AE9">
        <v>-900</v>
      </c>
      <c r="AF9">
        <v>-900</v>
      </c>
      <c r="AG9">
        <v>-900</v>
      </c>
      <c r="AH9">
        <v>-900</v>
      </c>
      <c r="AI9">
        <v>-900</v>
      </c>
      <c r="AJ9">
        <v>-900</v>
      </c>
      <c r="AK9">
        <v>-900</v>
      </c>
      <c r="AL9">
        <v>-900</v>
      </c>
      <c r="AM9">
        <v>-900</v>
      </c>
      <c r="AN9">
        <v>-900</v>
      </c>
      <c r="AO9">
        <v>-900</v>
      </c>
      <c r="AP9">
        <v>-900</v>
      </c>
      <c r="AQ9">
        <v>-900</v>
      </c>
      <c r="AR9">
        <v>-900</v>
      </c>
      <c r="AU9">
        <f>SUM($I9:I9)</f>
        <v>-900</v>
      </c>
      <c r="AV9">
        <f>SUM($I9:J9)</f>
        <v>-1800</v>
      </c>
      <c r="AW9">
        <f>SUM($I9:K9)</f>
        <v>-2700</v>
      </c>
      <c r="AX9">
        <f>SUM($I9:L9)</f>
        <v>-3645</v>
      </c>
      <c r="AY9">
        <f>SUM($I9:M9)</f>
        <v>-4590</v>
      </c>
      <c r="AZ9">
        <f>SUM($I9:N9)</f>
        <v>-5535</v>
      </c>
      <c r="BA9">
        <f>SUM($I9:O9)</f>
        <v>-6480</v>
      </c>
      <c r="BB9">
        <f>SUM($I9:P9)</f>
        <v>-7425</v>
      </c>
      <c r="BC9">
        <f>SUM($I9:Q9)</f>
        <v>-8370</v>
      </c>
      <c r="BD9">
        <f>SUM($I9:R9)</f>
        <v>-9315</v>
      </c>
      <c r="BE9">
        <f>SUM($I9:S9)</f>
        <v>-10260</v>
      </c>
      <c r="BF9">
        <f>SUM($I9:T9)</f>
        <v>-11205</v>
      </c>
    </row>
    <row r="10" spans="2:58" x14ac:dyDescent="0.3">
      <c r="B10" s="56" t="s">
        <v>1704</v>
      </c>
      <c r="C10" s="56"/>
      <c r="D10" s="56" t="s">
        <v>1393</v>
      </c>
      <c r="E10" s="56"/>
      <c r="F10" s="8">
        <v>-250</v>
      </c>
      <c r="G10">
        <v>-150</v>
      </c>
      <c r="H10">
        <v>-150</v>
      </c>
      <c r="I10">
        <v>-150</v>
      </c>
      <c r="J10">
        <v>-150</v>
      </c>
      <c r="K10">
        <v>-150</v>
      </c>
      <c r="L10">
        <f t="shared" si="3"/>
        <v>-157.5</v>
      </c>
      <c r="M10">
        <f t="shared" si="3"/>
        <v>-157.5</v>
      </c>
      <c r="N10">
        <f t="shared" si="3"/>
        <v>-157.5</v>
      </c>
      <c r="O10">
        <f t="shared" si="3"/>
        <v>-157.5</v>
      </c>
      <c r="P10">
        <f t="shared" si="3"/>
        <v>-157.5</v>
      </c>
      <c r="Q10">
        <f t="shared" si="3"/>
        <v>-157.5</v>
      </c>
      <c r="R10">
        <f t="shared" si="3"/>
        <v>-157.5</v>
      </c>
      <c r="S10">
        <f t="shared" si="3"/>
        <v>-157.5</v>
      </c>
      <c r="T10">
        <f t="shared" si="3"/>
        <v>-157.5</v>
      </c>
      <c r="U10">
        <f t="shared" si="3"/>
        <v>-157.5</v>
      </c>
      <c r="V10">
        <f t="shared" si="3"/>
        <v>-157.5</v>
      </c>
      <c r="W10">
        <f t="shared" si="3"/>
        <v>-157.5</v>
      </c>
      <c r="X10">
        <v>-150</v>
      </c>
      <c r="Y10">
        <v>-150</v>
      </c>
      <c r="Z10">
        <v>-150</v>
      </c>
      <c r="AA10">
        <v>-150</v>
      </c>
      <c r="AB10">
        <v>-150</v>
      </c>
      <c r="AC10">
        <v>-150</v>
      </c>
      <c r="AD10">
        <v>-150</v>
      </c>
      <c r="AE10">
        <v>-150</v>
      </c>
      <c r="AF10">
        <v>-150</v>
      </c>
      <c r="AG10">
        <v>-150</v>
      </c>
      <c r="AH10">
        <v>-150</v>
      </c>
      <c r="AI10">
        <v>-150</v>
      </c>
      <c r="AJ10">
        <v>-150</v>
      </c>
      <c r="AK10">
        <v>-150</v>
      </c>
      <c r="AL10">
        <v>-150</v>
      </c>
      <c r="AM10">
        <v>-150</v>
      </c>
      <c r="AN10">
        <v>-150</v>
      </c>
      <c r="AO10">
        <v>-150</v>
      </c>
      <c r="AP10">
        <v>-150</v>
      </c>
      <c r="AQ10">
        <v>-150</v>
      </c>
      <c r="AR10">
        <v>-150</v>
      </c>
      <c r="AU10">
        <f>SUM($I10:I10)</f>
        <v>-150</v>
      </c>
      <c r="AV10">
        <f>SUM($I10:J10)</f>
        <v>-300</v>
      </c>
      <c r="AW10">
        <f>SUM($I10:K10)</f>
        <v>-450</v>
      </c>
      <c r="AX10">
        <f>SUM($I10:L10)</f>
        <v>-607.5</v>
      </c>
      <c r="AY10">
        <f>SUM($I10:M10)</f>
        <v>-765</v>
      </c>
      <c r="AZ10">
        <f>SUM($I10:N10)</f>
        <v>-922.5</v>
      </c>
      <c r="BA10">
        <f>SUM($I10:O10)</f>
        <v>-1080</v>
      </c>
      <c r="BB10">
        <f>SUM($I10:P10)</f>
        <v>-1237.5</v>
      </c>
      <c r="BC10">
        <f>SUM($I10:Q10)</f>
        <v>-1395</v>
      </c>
      <c r="BD10">
        <f>SUM($I10:R10)</f>
        <v>-1552.5</v>
      </c>
      <c r="BE10">
        <f>SUM($I10:S10)</f>
        <v>-1710</v>
      </c>
      <c r="BF10">
        <f>SUM($I10:T10)</f>
        <v>-1867.5</v>
      </c>
    </row>
    <row r="11" spans="2:58" x14ac:dyDescent="0.3">
      <c r="B11" s="56" t="s">
        <v>1659</v>
      </c>
      <c r="C11" s="56"/>
      <c r="D11" s="56" t="s">
        <v>1393</v>
      </c>
      <c r="E11" s="56"/>
      <c r="F11" s="8">
        <v>-2500</v>
      </c>
      <c r="G11">
        <v>-2000</v>
      </c>
      <c r="H11">
        <v>-2000</v>
      </c>
      <c r="I11">
        <v>-2000</v>
      </c>
      <c r="J11">
        <v>-2000</v>
      </c>
      <c r="K11">
        <v>-2000</v>
      </c>
      <c r="L11">
        <f t="shared" si="3"/>
        <v>-2100</v>
      </c>
      <c r="M11">
        <f t="shared" si="3"/>
        <v>-2100</v>
      </c>
      <c r="N11">
        <f t="shared" si="3"/>
        <v>-2100</v>
      </c>
      <c r="O11">
        <f t="shared" si="3"/>
        <v>-2100</v>
      </c>
      <c r="P11">
        <f t="shared" si="3"/>
        <v>-2100</v>
      </c>
      <c r="Q11">
        <f t="shared" si="3"/>
        <v>-2100</v>
      </c>
      <c r="R11">
        <f t="shared" si="3"/>
        <v>-2100</v>
      </c>
      <c r="S11">
        <f t="shared" si="3"/>
        <v>-2100</v>
      </c>
      <c r="T11">
        <f t="shared" si="3"/>
        <v>-2100</v>
      </c>
      <c r="U11">
        <f t="shared" si="3"/>
        <v>-2100</v>
      </c>
      <c r="V11">
        <f t="shared" si="3"/>
        <v>-2100</v>
      </c>
      <c r="W11">
        <f t="shared" si="3"/>
        <v>-2100</v>
      </c>
      <c r="X11">
        <v>-2000</v>
      </c>
      <c r="Y11">
        <v>-2000</v>
      </c>
      <c r="Z11">
        <v>-2000</v>
      </c>
      <c r="AA11">
        <v>-2000</v>
      </c>
      <c r="AB11">
        <v>-2000</v>
      </c>
      <c r="AC11">
        <v>-2000</v>
      </c>
      <c r="AD11">
        <v>-2000</v>
      </c>
      <c r="AE11">
        <v>-2000</v>
      </c>
      <c r="AF11">
        <v>-2000</v>
      </c>
      <c r="AG11">
        <v>-2000</v>
      </c>
      <c r="AH11">
        <v>-2000</v>
      </c>
      <c r="AI11">
        <v>-2000</v>
      </c>
      <c r="AJ11">
        <v>-2000</v>
      </c>
      <c r="AK11">
        <v>-2000</v>
      </c>
      <c r="AL11">
        <v>-2000</v>
      </c>
      <c r="AM11">
        <v>-2000</v>
      </c>
      <c r="AN11">
        <v>-2000</v>
      </c>
      <c r="AO11">
        <v>-2000</v>
      </c>
      <c r="AP11">
        <v>-2000</v>
      </c>
      <c r="AQ11">
        <v>-2000</v>
      </c>
      <c r="AR11">
        <v>-2000</v>
      </c>
      <c r="AU11">
        <f>SUM($I11:I11)</f>
        <v>-2000</v>
      </c>
      <c r="AV11">
        <f>SUM($I11:J11)</f>
        <v>-4000</v>
      </c>
      <c r="AW11">
        <f>SUM($I11:K11)</f>
        <v>-6000</v>
      </c>
      <c r="AX11">
        <f>SUM($I11:L11)</f>
        <v>-8100</v>
      </c>
      <c r="AY11">
        <f>SUM($I11:M11)</f>
        <v>-10200</v>
      </c>
      <c r="AZ11">
        <f>SUM($I11:N11)</f>
        <v>-12300</v>
      </c>
      <c r="BA11">
        <f>SUM($I11:O11)</f>
        <v>-14400</v>
      </c>
      <c r="BB11">
        <f>SUM($I11:P11)</f>
        <v>-16500</v>
      </c>
      <c r="BC11">
        <f>SUM($I11:Q11)</f>
        <v>-18600</v>
      </c>
      <c r="BD11">
        <f>SUM($I11:R11)</f>
        <v>-20700</v>
      </c>
      <c r="BE11">
        <f>SUM($I11:S11)</f>
        <v>-22800</v>
      </c>
      <c r="BF11">
        <f>SUM($I11:T11)</f>
        <v>-24900</v>
      </c>
    </row>
    <row r="12" spans="2:58" x14ac:dyDescent="0.3">
      <c r="B12" s="56" t="s">
        <v>1660</v>
      </c>
      <c r="C12" s="56"/>
      <c r="D12" s="56" t="s">
        <v>1393</v>
      </c>
      <c r="E12" s="56"/>
      <c r="AU12">
        <f>SUM($I12:I12)</f>
        <v>0</v>
      </c>
      <c r="AV12">
        <f>SUM($I12:J12)</f>
        <v>0</v>
      </c>
      <c r="AW12">
        <f>SUM($I12:K12)</f>
        <v>0</v>
      </c>
      <c r="AX12">
        <f>SUM($I12:L12)</f>
        <v>0</v>
      </c>
      <c r="AY12">
        <f>SUM($I12:M12)</f>
        <v>0</v>
      </c>
      <c r="AZ12">
        <f>SUM($I12:N12)</f>
        <v>0</v>
      </c>
      <c r="BA12">
        <f>SUM($I12:O12)</f>
        <v>0</v>
      </c>
      <c r="BB12">
        <f>SUM($I12:P12)</f>
        <v>0</v>
      </c>
      <c r="BC12">
        <f>SUM($I12:Q12)</f>
        <v>0</v>
      </c>
      <c r="BD12">
        <f>SUM($I12:R12)</f>
        <v>0</v>
      </c>
      <c r="BE12">
        <f>SUM($I12:S12)</f>
        <v>0</v>
      </c>
      <c r="BF12">
        <f>SUM($I12:T12)</f>
        <v>0</v>
      </c>
    </row>
    <row r="13" spans="2:58" x14ac:dyDescent="0.3">
      <c r="B13" s="56" t="s">
        <v>1661</v>
      </c>
      <c r="C13" s="56" t="s">
        <v>1665</v>
      </c>
      <c r="D13" s="56" t="s">
        <v>1396</v>
      </c>
      <c r="E13" s="56"/>
      <c r="F13" s="8">
        <v>-150</v>
      </c>
      <c r="G13" s="8">
        <v>-150</v>
      </c>
      <c r="H13" s="8">
        <v>-150</v>
      </c>
      <c r="I13" s="8">
        <v>-150</v>
      </c>
      <c r="J13" s="8">
        <v>-150</v>
      </c>
      <c r="K13" s="8">
        <v>-150</v>
      </c>
      <c r="L13" s="8">
        <v>-150</v>
      </c>
      <c r="M13" s="8">
        <v>-150</v>
      </c>
      <c r="N13" s="8">
        <v>-150</v>
      </c>
      <c r="O13" s="8">
        <v>-150</v>
      </c>
      <c r="P13" s="8">
        <v>-150</v>
      </c>
      <c r="Q13" s="8">
        <v>-150</v>
      </c>
      <c r="R13" s="8">
        <v>-150</v>
      </c>
      <c r="S13" s="8">
        <v>-150</v>
      </c>
      <c r="T13" s="8">
        <v>-150</v>
      </c>
      <c r="U13" s="8">
        <v>-150</v>
      </c>
      <c r="V13" s="8">
        <v>-150</v>
      </c>
      <c r="W13" s="8">
        <v>-150</v>
      </c>
      <c r="X13" s="8">
        <v>-150</v>
      </c>
      <c r="Y13" s="8">
        <v>-150</v>
      </c>
      <c r="Z13" s="8">
        <v>-150</v>
      </c>
      <c r="AA13" s="8">
        <v>-150</v>
      </c>
      <c r="AB13" s="8">
        <v>-150</v>
      </c>
      <c r="AC13" s="8">
        <v>-150</v>
      </c>
      <c r="AD13" s="8">
        <v>-150</v>
      </c>
      <c r="AE13" s="8">
        <v>-150</v>
      </c>
      <c r="AF13" s="8">
        <v>-150</v>
      </c>
      <c r="AG13" s="8">
        <v>-150</v>
      </c>
      <c r="AH13" s="8">
        <v>-150</v>
      </c>
      <c r="AI13" s="8">
        <v>-150</v>
      </c>
      <c r="AJ13" s="8">
        <v>-150</v>
      </c>
      <c r="AK13" s="8">
        <v>-150</v>
      </c>
      <c r="AL13" s="8">
        <v>-150</v>
      </c>
      <c r="AM13" s="8">
        <v>-150</v>
      </c>
      <c r="AN13" s="8">
        <v>-150</v>
      </c>
      <c r="AO13" s="8">
        <v>-150</v>
      </c>
      <c r="AP13" s="8">
        <v>-150</v>
      </c>
      <c r="AQ13" s="8">
        <v>-150</v>
      </c>
      <c r="AR13" s="8">
        <v>-150</v>
      </c>
      <c r="AU13">
        <f>SUM($I13:I13)</f>
        <v>-150</v>
      </c>
      <c r="AV13">
        <f>SUM($I13:J13)</f>
        <v>-300</v>
      </c>
      <c r="AW13">
        <f>SUM($I13:K13)</f>
        <v>-450</v>
      </c>
      <c r="AX13">
        <f>SUM($I13:L13)</f>
        <v>-600</v>
      </c>
      <c r="AY13">
        <f>SUM($I13:M13)</f>
        <v>-750</v>
      </c>
      <c r="AZ13">
        <f>SUM($I13:N13)</f>
        <v>-900</v>
      </c>
      <c r="BA13">
        <f>SUM($I13:O13)</f>
        <v>-1050</v>
      </c>
      <c r="BB13">
        <f>SUM($I13:P13)</f>
        <v>-1200</v>
      </c>
      <c r="BC13">
        <f>SUM($I13:Q13)</f>
        <v>-1350</v>
      </c>
      <c r="BD13">
        <f>SUM($I13:R13)</f>
        <v>-1500</v>
      </c>
      <c r="BE13">
        <f>SUM($I13:S13)</f>
        <v>-1650</v>
      </c>
      <c r="BF13">
        <f>SUM($I13:T13)</f>
        <v>-1800</v>
      </c>
    </row>
    <row r="14" spans="2:58" x14ac:dyDescent="0.3">
      <c r="B14" s="56" t="s">
        <v>1662</v>
      </c>
      <c r="C14" s="56" t="s">
        <v>1665</v>
      </c>
      <c r="D14" s="56" t="s">
        <v>1396</v>
      </c>
      <c r="E14" s="56"/>
      <c r="F14" s="8">
        <v>-100</v>
      </c>
      <c r="G14" s="8">
        <v>-100</v>
      </c>
      <c r="H14" s="8">
        <v>-100</v>
      </c>
      <c r="I14" s="8">
        <v>-100</v>
      </c>
      <c r="J14" s="8">
        <v>-100</v>
      </c>
      <c r="K14" s="8">
        <v>-100</v>
      </c>
      <c r="L14" s="8">
        <v>-100</v>
      </c>
      <c r="M14" s="8">
        <v>-100</v>
      </c>
      <c r="N14" s="8">
        <v>-100</v>
      </c>
      <c r="O14" s="8">
        <v>-100</v>
      </c>
      <c r="P14" s="8">
        <v>-100</v>
      </c>
      <c r="Q14" s="8">
        <v>-100</v>
      </c>
      <c r="R14" s="8">
        <v>-100</v>
      </c>
      <c r="S14" s="8">
        <v>-100</v>
      </c>
      <c r="T14" s="8">
        <v>-100</v>
      </c>
      <c r="U14" s="8">
        <v>-100</v>
      </c>
      <c r="V14" s="8">
        <v>-100</v>
      </c>
      <c r="W14" s="8">
        <v>-100</v>
      </c>
      <c r="X14" s="8">
        <v>-100</v>
      </c>
      <c r="Y14" s="8">
        <v>-100</v>
      </c>
      <c r="Z14" s="8">
        <v>-100</v>
      </c>
      <c r="AA14" s="8">
        <v>-100</v>
      </c>
      <c r="AB14" s="8">
        <v>-100</v>
      </c>
      <c r="AC14" s="8">
        <v>-100</v>
      </c>
      <c r="AD14" s="8">
        <v>-100</v>
      </c>
      <c r="AE14" s="8">
        <v>-100</v>
      </c>
      <c r="AF14" s="8">
        <v>-100</v>
      </c>
      <c r="AG14" s="8">
        <v>-100</v>
      </c>
      <c r="AH14" s="8">
        <v>-100</v>
      </c>
      <c r="AI14" s="8">
        <v>-100</v>
      </c>
      <c r="AJ14" s="8">
        <v>-100</v>
      </c>
      <c r="AK14" s="8">
        <v>-100</v>
      </c>
      <c r="AL14" s="8">
        <v>-100</v>
      </c>
      <c r="AM14" s="8">
        <v>-100</v>
      </c>
      <c r="AN14" s="8">
        <v>-100</v>
      </c>
      <c r="AO14" s="8">
        <v>-100</v>
      </c>
      <c r="AP14" s="8">
        <v>-100</v>
      </c>
      <c r="AQ14" s="8">
        <v>-100</v>
      </c>
      <c r="AR14" s="8">
        <v>-100</v>
      </c>
      <c r="AU14">
        <f>SUM($I14:I14)</f>
        <v>-100</v>
      </c>
      <c r="AV14">
        <f>SUM($I14:J14)</f>
        <v>-200</v>
      </c>
      <c r="AW14">
        <f>SUM($I14:K14)</f>
        <v>-300</v>
      </c>
      <c r="AX14">
        <f>SUM($I14:L14)</f>
        <v>-400</v>
      </c>
      <c r="AY14">
        <f>SUM($I14:M14)</f>
        <v>-500</v>
      </c>
      <c r="AZ14">
        <f>SUM($I14:N14)</f>
        <v>-600</v>
      </c>
      <c r="BA14">
        <f>SUM($I14:O14)</f>
        <v>-700</v>
      </c>
      <c r="BB14">
        <f>SUM($I14:P14)</f>
        <v>-800</v>
      </c>
      <c r="BC14">
        <f>SUM($I14:Q14)</f>
        <v>-900</v>
      </c>
      <c r="BD14">
        <f>SUM($I14:R14)</f>
        <v>-1000</v>
      </c>
      <c r="BE14">
        <f>SUM($I14:S14)</f>
        <v>-1100</v>
      </c>
      <c r="BF14">
        <f>SUM($I14:T14)</f>
        <v>-1200</v>
      </c>
    </row>
    <row r="15" spans="2:58" x14ac:dyDescent="0.3">
      <c r="B15" s="56" t="s">
        <v>1663</v>
      </c>
      <c r="C15" s="56" t="s">
        <v>1665</v>
      </c>
      <c r="D15" s="56" t="s">
        <v>1396</v>
      </c>
      <c r="E15" s="56"/>
      <c r="F15" s="8">
        <v>-230</v>
      </c>
      <c r="G15" s="8">
        <v>-230</v>
      </c>
      <c r="H15" s="8">
        <v>-230</v>
      </c>
      <c r="I15" s="8">
        <v>-230</v>
      </c>
      <c r="J15" s="8">
        <v>-230</v>
      </c>
      <c r="K15" s="8">
        <v>-230</v>
      </c>
      <c r="L15" s="8">
        <v>-230</v>
      </c>
      <c r="M15" s="8">
        <v>-230</v>
      </c>
      <c r="N15" s="8">
        <v>-230</v>
      </c>
      <c r="O15" s="8">
        <v>-230</v>
      </c>
      <c r="P15" s="8">
        <v>-230</v>
      </c>
      <c r="Q15" s="8">
        <v>-230</v>
      </c>
      <c r="R15" s="8">
        <v>-230</v>
      </c>
      <c r="S15" s="8">
        <v>-230</v>
      </c>
      <c r="T15" s="8">
        <v>-230</v>
      </c>
      <c r="U15" s="8">
        <v>-230</v>
      </c>
      <c r="V15" s="8">
        <v>-230</v>
      </c>
      <c r="W15" s="8">
        <v>-230</v>
      </c>
      <c r="X15" s="8">
        <v>-230</v>
      </c>
      <c r="Y15" s="8">
        <v>-230</v>
      </c>
      <c r="Z15" s="8">
        <v>-230</v>
      </c>
      <c r="AA15" s="8">
        <v>-230</v>
      </c>
      <c r="AB15" s="8">
        <v>-230</v>
      </c>
      <c r="AC15" s="8">
        <v>-230</v>
      </c>
      <c r="AD15" s="8">
        <v>-230</v>
      </c>
      <c r="AE15" s="8">
        <v>-230</v>
      </c>
      <c r="AF15" s="8">
        <v>-230</v>
      </c>
      <c r="AG15" s="8">
        <v>-230</v>
      </c>
      <c r="AH15" s="8">
        <v>-230</v>
      </c>
      <c r="AI15" s="8">
        <v>-230</v>
      </c>
      <c r="AJ15" s="8">
        <v>-230</v>
      </c>
      <c r="AK15" s="8">
        <v>-230</v>
      </c>
      <c r="AL15" s="8">
        <v>-230</v>
      </c>
      <c r="AM15" s="8">
        <v>-230</v>
      </c>
      <c r="AN15" s="8">
        <v>-230</v>
      </c>
      <c r="AO15" s="8">
        <v>-230</v>
      </c>
      <c r="AP15" s="8">
        <v>-230</v>
      </c>
      <c r="AQ15" s="8">
        <v>-230</v>
      </c>
      <c r="AR15" s="8">
        <v>-230</v>
      </c>
      <c r="AU15">
        <f>SUM($I15:I15)</f>
        <v>-230</v>
      </c>
      <c r="AV15">
        <f>SUM($I15:J15)</f>
        <v>-460</v>
      </c>
      <c r="AW15">
        <f>SUM($I15:K15)</f>
        <v>-690</v>
      </c>
      <c r="AX15">
        <f>SUM($I15:L15)</f>
        <v>-920</v>
      </c>
      <c r="AY15">
        <f>SUM($I15:M15)</f>
        <v>-1150</v>
      </c>
      <c r="AZ15">
        <f>SUM($I15:N15)</f>
        <v>-1380</v>
      </c>
      <c r="BA15">
        <f>SUM($I15:O15)</f>
        <v>-1610</v>
      </c>
      <c r="BB15">
        <f>SUM($I15:P15)</f>
        <v>-1840</v>
      </c>
      <c r="BC15">
        <f>SUM($I15:Q15)</f>
        <v>-2070</v>
      </c>
      <c r="BD15">
        <f>SUM($I15:R15)</f>
        <v>-2300</v>
      </c>
      <c r="BE15">
        <f>SUM($I15:S15)</f>
        <v>-2530</v>
      </c>
      <c r="BF15">
        <f>SUM($I15:T15)</f>
        <v>-2760</v>
      </c>
    </row>
    <row r="16" spans="2:58" x14ac:dyDescent="0.3">
      <c r="B16" s="56" t="s">
        <v>1664</v>
      </c>
      <c r="C16" s="56" t="s">
        <v>1665</v>
      </c>
      <c r="D16" s="56" t="s">
        <v>1396</v>
      </c>
      <c r="E16" s="56"/>
      <c r="F16" s="8">
        <v>-100</v>
      </c>
      <c r="I16" s="8">
        <f>-500/12</f>
        <v>-41.666666666666664</v>
      </c>
      <c r="J16" s="8">
        <f t="shared" ref="J16:AR16" si="4">-500/12</f>
        <v>-41.666666666666664</v>
      </c>
      <c r="K16" s="8">
        <f t="shared" si="4"/>
        <v>-41.666666666666664</v>
      </c>
      <c r="L16" s="8">
        <f t="shared" si="4"/>
        <v>-41.666666666666664</v>
      </c>
      <c r="M16" s="8">
        <f t="shared" si="4"/>
        <v>-41.666666666666664</v>
      </c>
      <c r="N16" s="8">
        <f t="shared" si="4"/>
        <v>-41.666666666666664</v>
      </c>
      <c r="O16" s="8">
        <f t="shared" si="4"/>
        <v>-41.666666666666664</v>
      </c>
      <c r="P16" s="8">
        <f t="shared" si="4"/>
        <v>-41.666666666666664</v>
      </c>
      <c r="Q16" s="8">
        <f t="shared" si="4"/>
        <v>-41.666666666666664</v>
      </c>
      <c r="R16" s="8">
        <f t="shared" si="4"/>
        <v>-41.666666666666664</v>
      </c>
      <c r="S16" s="8">
        <f t="shared" si="4"/>
        <v>-41.666666666666664</v>
      </c>
      <c r="T16" s="8">
        <f t="shared" si="4"/>
        <v>-41.666666666666664</v>
      </c>
      <c r="U16" s="8">
        <f t="shared" si="4"/>
        <v>-41.666666666666664</v>
      </c>
      <c r="V16" s="8">
        <f t="shared" si="4"/>
        <v>-41.666666666666664</v>
      </c>
      <c r="W16" s="8">
        <f t="shared" si="4"/>
        <v>-41.666666666666664</v>
      </c>
      <c r="X16" s="8">
        <f t="shared" si="4"/>
        <v>-41.666666666666664</v>
      </c>
      <c r="Y16" s="8">
        <f t="shared" si="4"/>
        <v>-41.666666666666664</v>
      </c>
      <c r="Z16" s="8">
        <f t="shared" si="4"/>
        <v>-41.666666666666664</v>
      </c>
      <c r="AA16" s="8">
        <f t="shared" si="4"/>
        <v>-41.666666666666664</v>
      </c>
      <c r="AB16" s="8">
        <f t="shared" si="4"/>
        <v>-41.666666666666664</v>
      </c>
      <c r="AC16" s="8">
        <f t="shared" si="4"/>
        <v>-41.666666666666664</v>
      </c>
      <c r="AD16" s="8">
        <f t="shared" si="4"/>
        <v>-41.666666666666664</v>
      </c>
      <c r="AE16" s="8">
        <f t="shared" si="4"/>
        <v>-41.666666666666664</v>
      </c>
      <c r="AF16" s="8">
        <f t="shared" si="4"/>
        <v>-41.666666666666664</v>
      </c>
      <c r="AG16" s="8">
        <f t="shared" si="4"/>
        <v>-41.666666666666664</v>
      </c>
      <c r="AH16" s="8">
        <f t="shared" si="4"/>
        <v>-41.666666666666664</v>
      </c>
      <c r="AI16" s="8">
        <f t="shared" si="4"/>
        <v>-41.666666666666664</v>
      </c>
      <c r="AJ16" s="8">
        <f t="shared" si="4"/>
        <v>-41.666666666666664</v>
      </c>
      <c r="AK16" s="8">
        <f t="shared" si="4"/>
        <v>-41.666666666666664</v>
      </c>
      <c r="AL16" s="8">
        <f t="shared" si="4"/>
        <v>-41.666666666666664</v>
      </c>
      <c r="AM16" s="8">
        <f t="shared" si="4"/>
        <v>-41.666666666666664</v>
      </c>
      <c r="AN16" s="8">
        <f t="shared" si="4"/>
        <v>-41.666666666666664</v>
      </c>
      <c r="AO16" s="8">
        <f t="shared" si="4"/>
        <v>-41.666666666666664</v>
      </c>
      <c r="AP16" s="8">
        <f t="shared" si="4"/>
        <v>-41.666666666666664</v>
      </c>
      <c r="AQ16" s="8">
        <f t="shared" si="4"/>
        <v>-41.666666666666664</v>
      </c>
      <c r="AR16" s="8">
        <f t="shared" si="4"/>
        <v>-41.666666666666664</v>
      </c>
      <c r="AU16">
        <f>SUM($I16:I16)</f>
        <v>-41.666666666666664</v>
      </c>
      <c r="AV16">
        <f>SUM($I16:J16)</f>
        <v>-83.333333333333329</v>
      </c>
      <c r="AW16">
        <f>SUM($I16:K16)</f>
        <v>-125</v>
      </c>
      <c r="AX16">
        <f>SUM($I16:L16)</f>
        <v>-166.66666666666666</v>
      </c>
      <c r="AY16">
        <f>SUM($I16:M16)</f>
        <v>-208.33333333333331</v>
      </c>
      <c r="AZ16">
        <f>SUM($I16:N16)</f>
        <v>-249.99999999999997</v>
      </c>
      <c r="BA16">
        <f>SUM($I16:O16)</f>
        <v>-291.66666666666663</v>
      </c>
      <c r="BB16">
        <f>SUM($I16:P16)</f>
        <v>-333.33333333333331</v>
      </c>
      <c r="BC16">
        <f>SUM($I16:Q16)</f>
        <v>-375</v>
      </c>
      <c r="BD16">
        <f>SUM($I16:R16)</f>
        <v>-416.66666666666669</v>
      </c>
      <c r="BE16">
        <f>SUM($I16:S16)</f>
        <v>-458.33333333333337</v>
      </c>
      <c r="BF16">
        <f>SUM($I16:T16)</f>
        <v>-500.00000000000006</v>
      </c>
    </row>
    <row r="17" spans="2:58" x14ac:dyDescent="0.3">
      <c r="B17" s="56" t="s">
        <v>1666</v>
      </c>
      <c r="C17" s="56" t="s">
        <v>1395</v>
      </c>
      <c r="D17" s="56" t="s">
        <v>1396</v>
      </c>
      <c r="E17" s="56"/>
      <c r="F17" s="8">
        <v>-20</v>
      </c>
      <c r="G17" s="8">
        <v>-20</v>
      </c>
      <c r="H17" s="8">
        <v>-20</v>
      </c>
      <c r="I17" s="8">
        <v>-20</v>
      </c>
      <c r="J17" s="8">
        <v>-20</v>
      </c>
      <c r="K17" s="8">
        <v>-20</v>
      </c>
      <c r="L17" s="8">
        <v>-20</v>
      </c>
      <c r="M17" s="8">
        <v>-20</v>
      </c>
      <c r="N17" s="8">
        <v>-20</v>
      </c>
      <c r="O17" s="8">
        <v>-20</v>
      </c>
      <c r="P17" s="8">
        <v>-20</v>
      </c>
      <c r="Q17" s="8">
        <v>-20</v>
      </c>
      <c r="R17" s="8">
        <v>-20</v>
      </c>
      <c r="S17" s="8">
        <v>-20</v>
      </c>
      <c r="T17" s="8">
        <v>-19</v>
      </c>
      <c r="U17" s="8">
        <v>-19</v>
      </c>
      <c r="V17" s="8">
        <v>-19</v>
      </c>
      <c r="W17" s="8">
        <v>-19</v>
      </c>
      <c r="X17" s="8">
        <v>-19</v>
      </c>
      <c r="Y17" s="8">
        <v>-19</v>
      </c>
      <c r="Z17" s="8">
        <v>-19</v>
      </c>
      <c r="AA17" s="8">
        <v>-19</v>
      </c>
      <c r="AB17" s="8">
        <v>-19</v>
      </c>
      <c r="AC17" s="8">
        <v>-19</v>
      </c>
      <c r="AD17" s="8">
        <v>-19</v>
      </c>
      <c r="AE17" s="8">
        <v>-19</v>
      </c>
      <c r="AF17" s="8">
        <v>-19</v>
      </c>
      <c r="AG17" s="8">
        <v>-19</v>
      </c>
      <c r="AH17" s="8">
        <v>-19</v>
      </c>
      <c r="AI17" s="8">
        <v>-19</v>
      </c>
      <c r="AJ17" s="8">
        <v>-19</v>
      </c>
      <c r="AK17" s="8">
        <v>-19</v>
      </c>
      <c r="AL17" s="8">
        <v>-19</v>
      </c>
      <c r="AM17" s="8">
        <v>-19</v>
      </c>
      <c r="AN17" s="8">
        <v>-19</v>
      </c>
      <c r="AO17" s="8">
        <v>-19</v>
      </c>
      <c r="AP17" s="8">
        <v>-19</v>
      </c>
      <c r="AQ17" s="8">
        <v>-19</v>
      </c>
      <c r="AR17" s="8">
        <v>-19</v>
      </c>
      <c r="AU17">
        <f>SUM($I17:I17)</f>
        <v>-20</v>
      </c>
      <c r="AV17">
        <f>SUM($I17:J17)</f>
        <v>-40</v>
      </c>
      <c r="AW17">
        <f>SUM($I17:K17)</f>
        <v>-60</v>
      </c>
      <c r="AX17">
        <f>SUM($I17:L17)</f>
        <v>-80</v>
      </c>
      <c r="AY17">
        <f>SUM($I17:M17)</f>
        <v>-100</v>
      </c>
      <c r="AZ17">
        <f>SUM($I17:N17)</f>
        <v>-120</v>
      </c>
      <c r="BA17">
        <f>SUM($I17:O17)</f>
        <v>-140</v>
      </c>
      <c r="BB17">
        <f>SUM($I17:P17)</f>
        <v>-160</v>
      </c>
      <c r="BC17">
        <f>SUM($I17:Q17)</f>
        <v>-180</v>
      </c>
      <c r="BD17">
        <f>SUM($I17:R17)</f>
        <v>-200</v>
      </c>
      <c r="BE17">
        <f>SUM($I17:S17)</f>
        <v>-220</v>
      </c>
      <c r="BF17">
        <f>SUM($I17:T17)</f>
        <v>-239</v>
      </c>
    </row>
    <row r="18" spans="2:58" x14ac:dyDescent="0.3">
      <c r="B18" s="56" t="s">
        <v>1667</v>
      </c>
      <c r="C18" s="56" t="s">
        <v>1665</v>
      </c>
      <c r="D18" s="56" t="s">
        <v>1396</v>
      </c>
      <c r="E18" s="56"/>
      <c r="F18" s="8">
        <v>-200</v>
      </c>
      <c r="H18" s="8">
        <v>-200</v>
      </c>
      <c r="K18" s="8">
        <v>-200</v>
      </c>
      <c r="N18" s="8">
        <v>-200</v>
      </c>
      <c r="Q18" s="8">
        <v>-200</v>
      </c>
      <c r="T18" s="8">
        <v>-200</v>
      </c>
      <c r="U18" s="8">
        <v>-200</v>
      </c>
      <c r="V18" s="8">
        <v>-200</v>
      </c>
      <c r="W18" s="8">
        <v>-200</v>
      </c>
      <c r="X18" s="8">
        <v>-200</v>
      </c>
      <c r="Y18" s="8">
        <v>-200</v>
      </c>
      <c r="Z18" s="8">
        <v>-200</v>
      </c>
      <c r="AA18" s="8">
        <v>-200</v>
      </c>
      <c r="AB18" s="8">
        <v>-200</v>
      </c>
      <c r="AC18" s="8">
        <v>-200</v>
      </c>
      <c r="AD18" s="8">
        <v>-200</v>
      </c>
      <c r="AE18" s="8">
        <v>-200</v>
      </c>
      <c r="AF18" s="8">
        <v>-200</v>
      </c>
      <c r="AG18" s="8">
        <v>-200</v>
      </c>
      <c r="AH18" s="8">
        <v>-200</v>
      </c>
      <c r="AI18" s="8">
        <v>-200</v>
      </c>
      <c r="AJ18" s="8">
        <v>-200</v>
      </c>
      <c r="AK18" s="8">
        <v>-200</v>
      </c>
      <c r="AL18" s="8">
        <v>-200</v>
      </c>
      <c r="AM18" s="8">
        <v>-200</v>
      </c>
      <c r="AN18" s="8">
        <v>-200</v>
      </c>
      <c r="AO18" s="8">
        <v>-200</v>
      </c>
      <c r="AP18" s="8">
        <v>-200</v>
      </c>
      <c r="AQ18" s="8">
        <v>-200</v>
      </c>
      <c r="AR18" s="8">
        <v>-200</v>
      </c>
      <c r="AU18">
        <f>SUM($I18:I18)</f>
        <v>0</v>
      </c>
      <c r="AV18">
        <f>SUM($I18:J18)</f>
        <v>0</v>
      </c>
      <c r="AW18">
        <f>SUM($I18:K18)</f>
        <v>-200</v>
      </c>
      <c r="AX18">
        <f>SUM($I18:L18)</f>
        <v>-200</v>
      </c>
      <c r="AY18">
        <f>SUM($I18:M18)</f>
        <v>-200</v>
      </c>
      <c r="AZ18">
        <f>SUM($I18:N18)</f>
        <v>-400</v>
      </c>
      <c r="BA18">
        <f>SUM($I18:O18)</f>
        <v>-400</v>
      </c>
      <c r="BB18">
        <f>SUM($I18:P18)</f>
        <v>-400</v>
      </c>
      <c r="BC18">
        <f>SUM($I18:Q18)</f>
        <v>-600</v>
      </c>
      <c r="BD18">
        <f>SUM($I18:R18)</f>
        <v>-600</v>
      </c>
      <c r="BE18">
        <f>SUM($I18:S18)</f>
        <v>-600</v>
      </c>
      <c r="BF18">
        <f>SUM($I18:T18)</f>
        <v>-800</v>
      </c>
    </row>
    <row r="19" spans="2:58" x14ac:dyDescent="0.3">
      <c r="B19" s="56" t="s">
        <v>1668</v>
      </c>
      <c r="C19" s="56" t="s">
        <v>1395</v>
      </c>
      <c r="D19" s="56" t="s">
        <v>1396</v>
      </c>
      <c r="E19" s="56"/>
      <c r="F19" s="8">
        <v>-223.13000000000022</v>
      </c>
      <c r="G19">
        <v>-200</v>
      </c>
      <c r="H19">
        <v>-200</v>
      </c>
      <c r="I19">
        <v>-200</v>
      </c>
      <c r="J19">
        <v>-200</v>
      </c>
      <c r="K19">
        <v>-200</v>
      </c>
      <c r="L19">
        <v>-200</v>
      </c>
      <c r="M19">
        <v>-200</v>
      </c>
      <c r="N19">
        <v>-200</v>
      </c>
      <c r="O19">
        <v>-200</v>
      </c>
      <c r="P19">
        <v>-200</v>
      </c>
      <c r="Q19">
        <v>-200</v>
      </c>
      <c r="R19">
        <v>-200</v>
      </c>
      <c r="S19">
        <v>-200</v>
      </c>
      <c r="T19">
        <v>-200</v>
      </c>
      <c r="U19">
        <v>-200</v>
      </c>
      <c r="V19">
        <v>-200</v>
      </c>
      <c r="W19">
        <v>-200</v>
      </c>
      <c r="X19">
        <v>-200</v>
      </c>
      <c r="Y19">
        <v>-200</v>
      </c>
      <c r="Z19">
        <v>-200</v>
      </c>
      <c r="AA19">
        <v>-200</v>
      </c>
      <c r="AB19">
        <v>-200</v>
      </c>
      <c r="AC19">
        <v>-200</v>
      </c>
      <c r="AD19">
        <v>-200</v>
      </c>
      <c r="AE19">
        <v>-200</v>
      </c>
      <c r="AF19">
        <v>-200</v>
      </c>
      <c r="AG19">
        <v>-200</v>
      </c>
      <c r="AH19">
        <v>-200</v>
      </c>
      <c r="AI19">
        <v>-200</v>
      </c>
      <c r="AJ19">
        <v>-200</v>
      </c>
      <c r="AK19">
        <v>-200</v>
      </c>
      <c r="AL19">
        <v>-200</v>
      </c>
      <c r="AM19">
        <v>-200</v>
      </c>
      <c r="AN19">
        <v>-200</v>
      </c>
      <c r="AO19">
        <v>-200</v>
      </c>
      <c r="AP19">
        <v>-200</v>
      </c>
      <c r="AQ19">
        <v>-200</v>
      </c>
      <c r="AR19">
        <v>-200</v>
      </c>
      <c r="AU19">
        <f>SUM($I19:I19)</f>
        <v>-200</v>
      </c>
      <c r="AV19">
        <f>SUM($I19:J19)</f>
        <v>-400</v>
      </c>
      <c r="AW19">
        <f>SUM($I19:K19)</f>
        <v>-600</v>
      </c>
      <c r="AX19">
        <f>SUM($I19:L19)</f>
        <v>-800</v>
      </c>
      <c r="AY19">
        <f>SUM($I19:M19)</f>
        <v>-1000</v>
      </c>
      <c r="AZ19">
        <f>SUM($I19:N19)</f>
        <v>-1200</v>
      </c>
      <c r="BA19">
        <f>SUM($I19:O19)</f>
        <v>-1400</v>
      </c>
      <c r="BB19">
        <f>SUM($I19:P19)</f>
        <v>-1600</v>
      </c>
      <c r="BC19">
        <f>SUM($I19:Q19)</f>
        <v>-1800</v>
      </c>
      <c r="BD19">
        <f>SUM($I19:R19)</f>
        <v>-2000</v>
      </c>
      <c r="BE19">
        <f>SUM($I19:S19)</f>
        <v>-2200</v>
      </c>
      <c r="BF19">
        <f>SUM($I19:T19)</f>
        <v>-2400</v>
      </c>
    </row>
    <row r="20" spans="2:58" x14ac:dyDescent="0.3">
      <c r="B20" s="56" t="s">
        <v>1669</v>
      </c>
      <c r="C20" s="56" t="s">
        <v>1670</v>
      </c>
      <c r="D20" s="56" t="s">
        <v>1396</v>
      </c>
      <c r="E20" s="56"/>
      <c r="F20" s="8">
        <v>-44.999999999999993</v>
      </c>
      <c r="I20">
        <f>-300/12</f>
        <v>-25</v>
      </c>
      <c r="J20">
        <f t="shared" ref="J20:AR20" si="5">-300/12</f>
        <v>-25</v>
      </c>
      <c r="K20">
        <f t="shared" si="5"/>
        <v>-25</v>
      </c>
      <c r="L20">
        <f t="shared" si="5"/>
        <v>-25</v>
      </c>
      <c r="M20">
        <f t="shared" si="5"/>
        <v>-25</v>
      </c>
      <c r="N20">
        <f t="shared" si="5"/>
        <v>-25</v>
      </c>
      <c r="O20">
        <f t="shared" si="5"/>
        <v>-25</v>
      </c>
      <c r="P20">
        <f t="shared" si="5"/>
        <v>-25</v>
      </c>
      <c r="Q20">
        <f t="shared" si="5"/>
        <v>-25</v>
      </c>
      <c r="R20">
        <f t="shared" si="5"/>
        <v>-25</v>
      </c>
      <c r="S20">
        <f t="shared" si="5"/>
        <v>-25</v>
      </c>
      <c r="T20">
        <f t="shared" si="5"/>
        <v>-25</v>
      </c>
      <c r="U20">
        <f t="shared" si="5"/>
        <v>-25</v>
      </c>
      <c r="V20">
        <f t="shared" si="5"/>
        <v>-25</v>
      </c>
      <c r="W20">
        <f t="shared" si="5"/>
        <v>-25</v>
      </c>
      <c r="X20">
        <f t="shared" si="5"/>
        <v>-25</v>
      </c>
      <c r="Y20">
        <f t="shared" si="5"/>
        <v>-25</v>
      </c>
      <c r="Z20">
        <f t="shared" si="5"/>
        <v>-25</v>
      </c>
      <c r="AA20">
        <f t="shared" si="5"/>
        <v>-25</v>
      </c>
      <c r="AB20">
        <f t="shared" si="5"/>
        <v>-25</v>
      </c>
      <c r="AC20">
        <f t="shared" si="5"/>
        <v>-25</v>
      </c>
      <c r="AD20">
        <f t="shared" si="5"/>
        <v>-25</v>
      </c>
      <c r="AE20">
        <f t="shared" si="5"/>
        <v>-25</v>
      </c>
      <c r="AF20">
        <f t="shared" si="5"/>
        <v>-25</v>
      </c>
      <c r="AG20">
        <f t="shared" si="5"/>
        <v>-25</v>
      </c>
      <c r="AH20">
        <f t="shared" si="5"/>
        <v>-25</v>
      </c>
      <c r="AI20">
        <f t="shared" si="5"/>
        <v>-25</v>
      </c>
      <c r="AJ20">
        <f t="shared" si="5"/>
        <v>-25</v>
      </c>
      <c r="AK20">
        <f t="shared" si="5"/>
        <v>-25</v>
      </c>
      <c r="AL20">
        <f t="shared" si="5"/>
        <v>-25</v>
      </c>
      <c r="AM20">
        <f t="shared" si="5"/>
        <v>-25</v>
      </c>
      <c r="AN20">
        <f t="shared" si="5"/>
        <v>-25</v>
      </c>
      <c r="AO20">
        <f t="shared" si="5"/>
        <v>-25</v>
      </c>
      <c r="AP20">
        <f t="shared" si="5"/>
        <v>-25</v>
      </c>
      <c r="AQ20">
        <f t="shared" si="5"/>
        <v>-25</v>
      </c>
      <c r="AR20">
        <f t="shared" si="5"/>
        <v>-25</v>
      </c>
      <c r="AU20">
        <f>SUM($I20:I20)</f>
        <v>-25</v>
      </c>
      <c r="AV20">
        <f>SUM($I20:J20)</f>
        <v>-50</v>
      </c>
      <c r="AW20">
        <f>SUM($I20:K20)</f>
        <v>-75</v>
      </c>
      <c r="AX20">
        <f>SUM($I20:L20)</f>
        <v>-100</v>
      </c>
      <c r="AY20">
        <f>SUM($I20:M20)</f>
        <v>-125</v>
      </c>
      <c r="AZ20">
        <f>SUM($I20:N20)</f>
        <v>-150</v>
      </c>
      <c r="BA20">
        <f>SUM($I20:O20)</f>
        <v>-175</v>
      </c>
      <c r="BB20">
        <f>SUM($I20:P20)</f>
        <v>-200</v>
      </c>
      <c r="BC20">
        <f>SUM($I20:Q20)</f>
        <v>-225</v>
      </c>
      <c r="BD20">
        <f>SUM($I20:R20)</f>
        <v>-250</v>
      </c>
      <c r="BE20">
        <f>SUM($I20:S20)</f>
        <v>-275</v>
      </c>
      <c r="BF20">
        <f>SUM($I20:T20)</f>
        <v>-300</v>
      </c>
    </row>
    <row r="21" spans="2:58" x14ac:dyDescent="0.3">
      <c r="B21" s="56" t="s">
        <v>1671</v>
      </c>
      <c r="C21" s="56" t="s">
        <v>1665</v>
      </c>
      <c r="D21" s="56" t="s">
        <v>1396</v>
      </c>
      <c r="E21" s="56"/>
      <c r="H21" s="8">
        <v>-150</v>
      </c>
      <c r="I21" s="8">
        <f>-1000/12</f>
        <v>-83.333333333333329</v>
      </c>
      <c r="J21" s="8">
        <f t="shared" ref="J21:AR21" si="6">-1000/12</f>
        <v>-83.333333333333329</v>
      </c>
      <c r="K21" s="8">
        <f t="shared" si="6"/>
        <v>-83.333333333333329</v>
      </c>
      <c r="L21" s="8">
        <f t="shared" si="6"/>
        <v>-83.333333333333329</v>
      </c>
      <c r="M21" s="8">
        <f t="shared" si="6"/>
        <v>-83.333333333333329</v>
      </c>
      <c r="N21" s="8">
        <f t="shared" si="6"/>
        <v>-83.333333333333329</v>
      </c>
      <c r="O21" s="8">
        <f t="shared" si="6"/>
        <v>-83.333333333333329</v>
      </c>
      <c r="P21" s="8">
        <f t="shared" si="6"/>
        <v>-83.333333333333329</v>
      </c>
      <c r="Q21" s="8">
        <f t="shared" si="6"/>
        <v>-83.333333333333329</v>
      </c>
      <c r="R21" s="8">
        <f t="shared" si="6"/>
        <v>-83.333333333333329</v>
      </c>
      <c r="S21" s="8">
        <f t="shared" si="6"/>
        <v>-83.333333333333329</v>
      </c>
      <c r="T21" s="8">
        <f t="shared" si="6"/>
        <v>-83.333333333333329</v>
      </c>
      <c r="U21" s="8">
        <f t="shared" si="6"/>
        <v>-83.333333333333329</v>
      </c>
      <c r="V21" s="8">
        <f t="shared" si="6"/>
        <v>-83.333333333333329</v>
      </c>
      <c r="W21" s="8">
        <f t="shared" si="6"/>
        <v>-83.333333333333329</v>
      </c>
      <c r="X21" s="8">
        <f t="shared" si="6"/>
        <v>-83.333333333333329</v>
      </c>
      <c r="Y21" s="8">
        <f t="shared" si="6"/>
        <v>-83.333333333333329</v>
      </c>
      <c r="Z21" s="8">
        <f t="shared" si="6"/>
        <v>-83.333333333333329</v>
      </c>
      <c r="AA21" s="8">
        <f t="shared" si="6"/>
        <v>-83.333333333333329</v>
      </c>
      <c r="AB21" s="8">
        <f t="shared" si="6"/>
        <v>-83.333333333333329</v>
      </c>
      <c r="AC21" s="8">
        <f t="shared" si="6"/>
        <v>-83.333333333333329</v>
      </c>
      <c r="AD21" s="8">
        <f t="shared" si="6"/>
        <v>-83.333333333333329</v>
      </c>
      <c r="AE21" s="8">
        <f t="shared" si="6"/>
        <v>-83.333333333333329</v>
      </c>
      <c r="AF21" s="8">
        <f t="shared" si="6"/>
        <v>-83.333333333333329</v>
      </c>
      <c r="AG21" s="8">
        <f t="shared" si="6"/>
        <v>-83.333333333333329</v>
      </c>
      <c r="AH21" s="8">
        <f t="shared" si="6"/>
        <v>-83.333333333333329</v>
      </c>
      <c r="AI21" s="8">
        <f t="shared" si="6"/>
        <v>-83.333333333333329</v>
      </c>
      <c r="AJ21" s="8">
        <f t="shared" si="6"/>
        <v>-83.333333333333329</v>
      </c>
      <c r="AK21" s="8">
        <f t="shared" si="6"/>
        <v>-83.333333333333329</v>
      </c>
      <c r="AL21" s="8">
        <f t="shared" si="6"/>
        <v>-83.333333333333329</v>
      </c>
      <c r="AM21" s="8">
        <f t="shared" si="6"/>
        <v>-83.333333333333329</v>
      </c>
      <c r="AN21" s="8">
        <f t="shared" si="6"/>
        <v>-83.333333333333329</v>
      </c>
      <c r="AO21" s="8">
        <f t="shared" si="6"/>
        <v>-83.333333333333329</v>
      </c>
      <c r="AP21" s="8">
        <f t="shared" si="6"/>
        <v>-83.333333333333329</v>
      </c>
      <c r="AQ21" s="8">
        <f t="shared" si="6"/>
        <v>-83.333333333333329</v>
      </c>
      <c r="AR21" s="8">
        <f t="shared" si="6"/>
        <v>-83.333333333333329</v>
      </c>
      <c r="AU21">
        <f>SUM($I21:I21)</f>
        <v>-83.333333333333329</v>
      </c>
      <c r="AV21">
        <f>SUM($I21:J21)</f>
        <v>-166.66666666666666</v>
      </c>
      <c r="AW21">
        <f>SUM($I21:K21)</f>
        <v>-250</v>
      </c>
      <c r="AX21">
        <f>SUM($I21:L21)</f>
        <v>-333.33333333333331</v>
      </c>
      <c r="AY21">
        <f>SUM($I21:M21)</f>
        <v>-416.66666666666663</v>
      </c>
      <c r="AZ21">
        <f>SUM($I21:N21)</f>
        <v>-499.99999999999994</v>
      </c>
      <c r="BA21">
        <f>SUM($I21:O21)</f>
        <v>-583.33333333333326</v>
      </c>
      <c r="BB21">
        <f>SUM($I21:P21)</f>
        <v>-666.66666666666663</v>
      </c>
      <c r="BC21">
        <f>SUM($I21:Q21)</f>
        <v>-750</v>
      </c>
      <c r="BD21">
        <f>SUM($I21:R21)</f>
        <v>-833.33333333333337</v>
      </c>
      <c r="BE21">
        <f>SUM($I21:S21)</f>
        <v>-916.66666666666674</v>
      </c>
      <c r="BF21">
        <f>SUM($I21:T21)</f>
        <v>-1000.0000000000001</v>
      </c>
    </row>
    <row r="22" spans="2:58" x14ac:dyDescent="0.3">
      <c r="B22" s="56" t="s">
        <v>1672</v>
      </c>
      <c r="C22" s="56" t="s">
        <v>1395</v>
      </c>
      <c r="D22" s="56" t="s">
        <v>1395</v>
      </c>
      <c r="E22" s="56"/>
      <c r="F22" s="8">
        <v>-2000</v>
      </c>
      <c r="G22" s="8">
        <v>-2000</v>
      </c>
      <c r="H22" s="8">
        <v>-2000</v>
      </c>
      <c r="I22" s="8">
        <v>-2300</v>
      </c>
      <c r="J22" s="8">
        <v>-2300</v>
      </c>
      <c r="K22" s="8">
        <v>-2300</v>
      </c>
      <c r="L22" s="8">
        <v>-2300</v>
      </c>
      <c r="M22" s="8">
        <v>-2300</v>
      </c>
      <c r="N22" s="8">
        <v>-2300</v>
      </c>
      <c r="O22" s="8">
        <v>-2300</v>
      </c>
      <c r="P22" s="8">
        <v>-2300</v>
      </c>
      <c r="Q22" s="8">
        <v>-2300</v>
      </c>
      <c r="R22" s="8">
        <v>-2300</v>
      </c>
      <c r="S22" s="8">
        <v>-2300</v>
      </c>
      <c r="T22" s="8">
        <v>-2300</v>
      </c>
      <c r="U22" s="8">
        <v>-2300</v>
      </c>
      <c r="V22" s="8">
        <v>-2300</v>
      </c>
      <c r="W22" s="8">
        <v>-2300</v>
      </c>
      <c r="X22" s="8">
        <v>-2300</v>
      </c>
      <c r="Y22" s="8">
        <v>-2300</v>
      </c>
      <c r="Z22" s="8">
        <v>-2300</v>
      </c>
      <c r="AA22" s="8">
        <v>-2300</v>
      </c>
      <c r="AB22" s="8">
        <v>-2300</v>
      </c>
      <c r="AC22" s="8">
        <v>-2300</v>
      </c>
      <c r="AD22" s="8">
        <v>-2300</v>
      </c>
      <c r="AE22" s="8">
        <v>-2300</v>
      </c>
      <c r="AF22" s="8">
        <v>-2300</v>
      </c>
      <c r="AG22" s="8">
        <v>-2300</v>
      </c>
      <c r="AH22" s="8">
        <v>-2300</v>
      </c>
      <c r="AI22" s="8">
        <v>-2300</v>
      </c>
      <c r="AJ22" s="8">
        <v>-2300</v>
      </c>
      <c r="AK22" s="8">
        <v>-2300</v>
      </c>
      <c r="AL22" s="8">
        <v>-2300</v>
      </c>
      <c r="AM22" s="8">
        <v>-2300</v>
      </c>
      <c r="AN22" s="8">
        <v>-2300</v>
      </c>
      <c r="AO22" s="8">
        <v>-2300</v>
      </c>
      <c r="AP22" s="8">
        <v>-2300</v>
      </c>
      <c r="AQ22" s="8">
        <v>-2300</v>
      </c>
      <c r="AR22" s="8">
        <v>-2300</v>
      </c>
      <c r="AU22">
        <f>SUM($I22:I22)</f>
        <v>-2300</v>
      </c>
      <c r="AV22">
        <f>SUM($I22:J22)</f>
        <v>-4600</v>
      </c>
      <c r="AW22">
        <f>SUM($I22:K22)</f>
        <v>-6900</v>
      </c>
      <c r="AX22">
        <f>SUM($I22:L22)</f>
        <v>-9200</v>
      </c>
      <c r="AY22">
        <f>SUM($I22:M22)</f>
        <v>-11500</v>
      </c>
      <c r="AZ22">
        <f>SUM($I22:N22)</f>
        <v>-13800</v>
      </c>
      <c r="BA22">
        <f>SUM($I22:O22)</f>
        <v>-16100</v>
      </c>
      <c r="BB22">
        <f>SUM($I22:P22)</f>
        <v>-18400</v>
      </c>
      <c r="BC22">
        <f>SUM($I22:Q22)</f>
        <v>-20700</v>
      </c>
      <c r="BD22">
        <f>SUM($I22:R22)</f>
        <v>-23000</v>
      </c>
      <c r="BE22">
        <f>SUM($I22:S22)</f>
        <v>-25300</v>
      </c>
      <c r="BF22">
        <f>SUM($I22:T22)</f>
        <v>-27600</v>
      </c>
    </row>
    <row r="23" spans="2:58" x14ac:dyDescent="0.3">
      <c r="B23" s="56" t="s">
        <v>1673</v>
      </c>
      <c r="C23" s="56" t="s">
        <v>1665</v>
      </c>
      <c r="D23" s="56" t="s">
        <v>1396</v>
      </c>
      <c r="E23" s="56"/>
      <c r="F23" s="8">
        <v>-100.28072</v>
      </c>
      <c r="G23" s="8">
        <v>-100.28072</v>
      </c>
      <c r="H23" s="8">
        <v>-100.28072</v>
      </c>
      <c r="I23" s="8">
        <v>-120</v>
      </c>
      <c r="J23" s="8">
        <v>-120</v>
      </c>
      <c r="K23" s="8">
        <v>-120</v>
      </c>
      <c r="L23" s="8">
        <v>-120</v>
      </c>
      <c r="M23" s="8">
        <v>-120</v>
      </c>
      <c r="N23" s="8">
        <v>-120</v>
      </c>
      <c r="O23" s="8">
        <v>-120</v>
      </c>
      <c r="P23" s="8">
        <v>-120</v>
      </c>
      <c r="Q23" s="8">
        <v>-120</v>
      </c>
      <c r="R23" s="8">
        <v>-120</v>
      </c>
      <c r="S23" s="8">
        <v>-120</v>
      </c>
      <c r="T23" s="8">
        <v>-120</v>
      </c>
      <c r="U23" s="8">
        <v>-120</v>
      </c>
      <c r="V23" s="8">
        <v>-120</v>
      </c>
      <c r="W23" s="8">
        <v>-120</v>
      </c>
      <c r="X23" s="8">
        <v>-120</v>
      </c>
      <c r="Y23" s="8">
        <v>-120</v>
      </c>
      <c r="Z23" s="8">
        <v>-120</v>
      </c>
      <c r="AA23" s="8">
        <v>-120</v>
      </c>
      <c r="AB23" s="8">
        <v>-120</v>
      </c>
      <c r="AC23" s="8">
        <v>-120</v>
      </c>
      <c r="AD23" s="8">
        <v>-120</v>
      </c>
      <c r="AE23" s="8">
        <v>-120</v>
      </c>
      <c r="AF23" s="8">
        <v>-120</v>
      </c>
      <c r="AG23" s="8">
        <v>-120</v>
      </c>
      <c r="AH23" s="8">
        <v>-120</v>
      </c>
      <c r="AI23" s="8">
        <v>-120</v>
      </c>
      <c r="AJ23" s="8">
        <v>-120</v>
      </c>
      <c r="AK23" s="8">
        <v>-120</v>
      </c>
      <c r="AL23" s="8">
        <v>-120</v>
      </c>
      <c r="AM23" s="8">
        <v>-120</v>
      </c>
      <c r="AN23" s="8">
        <v>-120</v>
      </c>
      <c r="AO23" s="8">
        <v>-120</v>
      </c>
      <c r="AP23" s="8">
        <v>-120</v>
      </c>
      <c r="AQ23" s="8">
        <v>-120</v>
      </c>
      <c r="AR23" s="8">
        <v>-120</v>
      </c>
      <c r="AU23">
        <f>SUM($I23:I23)</f>
        <v>-120</v>
      </c>
      <c r="AV23">
        <f>SUM($I23:J23)</f>
        <v>-240</v>
      </c>
      <c r="AW23">
        <f>SUM($I23:K23)</f>
        <v>-360</v>
      </c>
      <c r="AX23">
        <f>SUM($I23:L23)</f>
        <v>-480</v>
      </c>
      <c r="AY23">
        <f>SUM($I23:M23)</f>
        <v>-600</v>
      </c>
      <c r="AZ23">
        <f>SUM($I23:N23)</f>
        <v>-720</v>
      </c>
      <c r="BA23">
        <f>SUM($I23:O23)</f>
        <v>-840</v>
      </c>
      <c r="BB23">
        <f>SUM($I23:P23)</f>
        <v>-960</v>
      </c>
      <c r="BC23">
        <f>SUM($I23:Q23)</f>
        <v>-1080</v>
      </c>
      <c r="BD23">
        <f>SUM($I23:R23)</f>
        <v>-1200</v>
      </c>
      <c r="BE23">
        <f>SUM($I23:S23)</f>
        <v>-1320</v>
      </c>
      <c r="BF23">
        <f>SUM($I23:T23)</f>
        <v>-1440</v>
      </c>
    </row>
    <row r="24" spans="2:58" x14ac:dyDescent="0.3">
      <c r="B24" s="56" t="s">
        <v>1674</v>
      </c>
      <c r="C24" s="56" t="s">
        <v>1665</v>
      </c>
      <c r="D24" s="56" t="s">
        <v>1396</v>
      </c>
      <c r="E24" s="56"/>
      <c r="F24" s="8">
        <v>-110.78237999999999</v>
      </c>
      <c r="G24" s="8">
        <v>-100</v>
      </c>
      <c r="H24" s="8">
        <v>-100</v>
      </c>
      <c r="I24" s="8">
        <v>-100</v>
      </c>
      <c r="J24" s="8">
        <v>-100</v>
      </c>
      <c r="K24" s="8">
        <v>-100</v>
      </c>
      <c r="L24" s="8">
        <v>-100</v>
      </c>
      <c r="M24" s="8">
        <v>-100</v>
      </c>
      <c r="N24" s="8">
        <v>-100</v>
      </c>
      <c r="O24" s="8">
        <v>-100</v>
      </c>
      <c r="P24" s="8">
        <v>-100</v>
      </c>
      <c r="Q24" s="8">
        <v>-100</v>
      </c>
      <c r="R24" s="8">
        <v>-100</v>
      </c>
      <c r="S24" s="8">
        <v>-100</v>
      </c>
      <c r="T24" s="8">
        <v>-100</v>
      </c>
      <c r="U24" s="8">
        <v>-100</v>
      </c>
      <c r="V24" s="8">
        <v>-100</v>
      </c>
      <c r="W24" s="8">
        <v>-100</v>
      </c>
      <c r="X24" s="8">
        <v>-100</v>
      </c>
      <c r="Y24" s="8">
        <v>-100</v>
      </c>
      <c r="Z24" s="8">
        <v>-100</v>
      </c>
      <c r="AA24" s="8">
        <v>-100</v>
      </c>
      <c r="AB24" s="8">
        <v>-100</v>
      </c>
      <c r="AC24" s="8">
        <v>-100</v>
      </c>
      <c r="AD24" s="8">
        <v>-100</v>
      </c>
      <c r="AE24" s="8">
        <v>-100</v>
      </c>
      <c r="AF24" s="8">
        <v>-100</v>
      </c>
      <c r="AG24" s="8">
        <v>-100</v>
      </c>
      <c r="AH24" s="8">
        <v>-100</v>
      </c>
      <c r="AI24" s="8">
        <v>-100</v>
      </c>
      <c r="AJ24" s="8">
        <v>-100</v>
      </c>
      <c r="AK24" s="8">
        <v>-100</v>
      </c>
      <c r="AL24" s="8">
        <v>-100</v>
      </c>
      <c r="AM24" s="8">
        <v>-100</v>
      </c>
      <c r="AN24" s="8">
        <v>-100</v>
      </c>
      <c r="AO24" s="8">
        <v>-100</v>
      </c>
      <c r="AP24" s="8">
        <v>-100</v>
      </c>
      <c r="AQ24" s="8">
        <v>-100</v>
      </c>
      <c r="AR24" s="8">
        <v>-100</v>
      </c>
      <c r="AU24">
        <f>SUM($I24:I24)</f>
        <v>-100</v>
      </c>
      <c r="AV24">
        <f>SUM($I24:J24)</f>
        <v>-200</v>
      </c>
      <c r="AW24">
        <f>SUM($I24:K24)</f>
        <v>-300</v>
      </c>
      <c r="AX24">
        <f>SUM($I24:L24)</f>
        <v>-400</v>
      </c>
      <c r="AY24">
        <f>SUM($I24:M24)</f>
        <v>-500</v>
      </c>
      <c r="AZ24">
        <f>SUM($I24:N24)</f>
        <v>-600</v>
      </c>
      <c r="BA24">
        <f>SUM($I24:O24)</f>
        <v>-700</v>
      </c>
      <c r="BB24">
        <f>SUM($I24:P24)</f>
        <v>-800</v>
      </c>
      <c r="BC24">
        <f>SUM($I24:Q24)</f>
        <v>-900</v>
      </c>
      <c r="BD24">
        <f>SUM($I24:R24)</f>
        <v>-1000</v>
      </c>
      <c r="BE24">
        <f>SUM($I24:S24)</f>
        <v>-1100</v>
      </c>
      <c r="BF24">
        <f>SUM($I24:T24)</f>
        <v>-1200</v>
      </c>
    </row>
    <row r="25" spans="2:58" x14ac:dyDescent="0.3">
      <c r="B25" s="56" t="s">
        <v>1675</v>
      </c>
      <c r="C25" s="56" t="s">
        <v>1665</v>
      </c>
      <c r="D25" s="56" t="s">
        <v>1396</v>
      </c>
      <c r="E25" s="56"/>
      <c r="F25" s="8">
        <v>-334.50908999999911</v>
      </c>
      <c r="G25" s="8">
        <v>-334.50908999999911</v>
      </c>
      <c r="H25" s="8">
        <v>-334.50908999999911</v>
      </c>
      <c r="I25" s="8">
        <v>-334.50908999999911</v>
      </c>
      <c r="J25" s="8">
        <v>-334.50908999999911</v>
      </c>
      <c r="K25" s="8">
        <v>-334.50908999999911</v>
      </c>
      <c r="L25" s="8">
        <v>-334.50908999999911</v>
      </c>
      <c r="M25" s="8">
        <v>-334.50908999999911</v>
      </c>
      <c r="N25" s="8">
        <v>-334.50908999999911</v>
      </c>
      <c r="O25" s="8">
        <v>-334.50908999999911</v>
      </c>
      <c r="P25" s="8">
        <v>-334.50908999999911</v>
      </c>
      <c r="Q25" s="8">
        <v>-334.50908999999911</v>
      </c>
      <c r="R25" s="8">
        <v>-334.50908999999911</v>
      </c>
      <c r="S25" s="8">
        <v>-334.50908999999911</v>
      </c>
      <c r="T25" s="8">
        <v>-334.50908999999911</v>
      </c>
      <c r="U25" s="8">
        <v>-334.50908999999911</v>
      </c>
      <c r="V25" s="8">
        <v>-334.50908999999911</v>
      </c>
      <c r="W25" s="8">
        <v>-334.50908999999911</v>
      </c>
      <c r="X25" s="8">
        <v>-334.50908999999911</v>
      </c>
      <c r="Y25" s="8">
        <v>-334.50908999999911</v>
      </c>
      <c r="Z25" s="8">
        <v>-334.50908999999911</v>
      </c>
      <c r="AA25" s="8">
        <v>-334.50908999999911</v>
      </c>
      <c r="AB25" s="8">
        <v>-334.50908999999911</v>
      </c>
      <c r="AC25" s="8">
        <v>-334.50908999999911</v>
      </c>
      <c r="AD25" s="8">
        <v>-334.50908999999911</v>
      </c>
      <c r="AE25" s="8">
        <v>-334.50908999999911</v>
      </c>
      <c r="AF25" s="8">
        <v>-334.50908999999911</v>
      </c>
      <c r="AG25" s="8">
        <v>-334.50908999999911</v>
      </c>
      <c r="AH25" s="8">
        <v>-334.50908999999911</v>
      </c>
      <c r="AI25" s="8">
        <v>-334.50908999999911</v>
      </c>
      <c r="AJ25" s="8">
        <v>-334.50908999999911</v>
      </c>
      <c r="AK25" s="8">
        <v>-334.50908999999911</v>
      </c>
      <c r="AL25" s="8">
        <v>-334.50908999999911</v>
      </c>
      <c r="AM25" s="8">
        <v>-334.50908999999911</v>
      </c>
      <c r="AN25" s="8">
        <v>-334.50908999999911</v>
      </c>
      <c r="AO25" s="8">
        <v>-334.50908999999911</v>
      </c>
      <c r="AP25" s="8">
        <v>-334.50908999999911</v>
      </c>
      <c r="AQ25" s="8">
        <v>-334.50908999999911</v>
      </c>
      <c r="AR25" s="8">
        <v>-334.50908999999911</v>
      </c>
      <c r="AU25">
        <f>SUM($I25:I25)</f>
        <v>-334.50908999999911</v>
      </c>
      <c r="AV25">
        <f>SUM($I25:J25)</f>
        <v>-669.01817999999821</v>
      </c>
      <c r="AW25">
        <f>SUM($I25:K25)</f>
        <v>-1003.5272699999973</v>
      </c>
      <c r="AX25">
        <f>SUM($I25:L25)</f>
        <v>-1338.0363599999964</v>
      </c>
      <c r="AY25">
        <f>SUM($I25:M25)</f>
        <v>-1672.5454499999955</v>
      </c>
      <c r="AZ25">
        <f>SUM($I25:N25)</f>
        <v>-2007.0545399999946</v>
      </c>
      <c r="BA25">
        <f>SUM($I25:O25)</f>
        <v>-2341.5636299999937</v>
      </c>
      <c r="BB25">
        <f>SUM($I25:P25)</f>
        <v>-2676.0727199999928</v>
      </c>
      <c r="BC25">
        <f>SUM($I25:Q25)</f>
        <v>-3010.5818099999919</v>
      </c>
      <c r="BD25">
        <f>SUM($I25:R25)</f>
        <v>-3345.0908999999911</v>
      </c>
      <c r="BE25">
        <f>SUM($I25:S25)</f>
        <v>-3679.5999899999902</v>
      </c>
      <c r="BF25">
        <f>SUM($I25:T25)</f>
        <v>-4014.1090799999893</v>
      </c>
    </row>
    <row r="26" spans="2:58" x14ac:dyDescent="0.3">
      <c r="B26" s="56" t="s">
        <v>1676</v>
      </c>
      <c r="C26" s="56" t="s">
        <v>1665</v>
      </c>
      <c r="D26" s="56" t="s">
        <v>1396</v>
      </c>
      <c r="E26" s="56"/>
      <c r="F26" s="8">
        <v>-50</v>
      </c>
      <c r="G26" s="8">
        <v>-50</v>
      </c>
      <c r="H26" s="8">
        <v>-50</v>
      </c>
      <c r="I26" s="8">
        <v>-50</v>
      </c>
      <c r="J26" s="8">
        <v>-50</v>
      </c>
      <c r="K26" s="8">
        <v>-50</v>
      </c>
      <c r="L26" s="8">
        <v>-50</v>
      </c>
      <c r="M26" s="8">
        <v>-50</v>
      </c>
      <c r="N26" s="8">
        <v>-50</v>
      </c>
      <c r="O26" s="8">
        <v>-50</v>
      </c>
      <c r="P26" s="8">
        <v>-50</v>
      </c>
      <c r="Q26" s="8">
        <v>-50</v>
      </c>
      <c r="R26" s="8">
        <v>-50</v>
      </c>
      <c r="S26" s="8">
        <v>-50</v>
      </c>
      <c r="T26" s="8">
        <v>-50</v>
      </c>
      <c r="U26" s="8">
        <v>-50</v>
      </c>
      <c r="V26" s="8">
        <v>-50</v>
      </c>
      <c r="W26" s="8">
        <v>-50</v>
      </c>
      <c r="X26" s="8">
        <v>-50</v>
      </c>
      <c r="Y26" s="8">
        <v>-50</v>
      </c>
      <c r="Z26" s="8">
        <v>-50</v>
      </c>
      <c r="AA26" s="8">
        <v>-50</v>
      </c>
      <c r="AB26" s="8">
        <v>-50</v>
      </c>
      <c r="AC26" s="8">
        <v>-50</v>
      </c>
      <c r="AD26" s="8">
        <v>-50</v>
      </c>
      <c r="AE26" s="8">
        <v>-50</v>
      </c>
      <c r="AF26" s="8">
        <v>-50</v>
      </c>
      <c r="AG26" s="8">
        <v>-50</v>
      </c>
      <c r="AH26" s="8">
        <v>-50</v>
      </c>
      <c r="AI26" s="8">
        <v>-50</v>
      </c>
      <c r="AJ26" s="8">
        <v>-50</v>
      </c>
      <c r="AK26" s="8">
        <v>-50</v>
      </c>
      <c r="AL26" s="8">
        <v>-50</v>
      </c>
      <c r="AM26" s="8">
        <v>-50</v>
      </c>
      <c r="AN26" s="8">
        <v>-50</v>
      </c>
      <c r="AO26" s="8">
        <v>-50</v>
      </c>
      <c r="AP26" s="8">
        <v>-50</v>
      </c>
      <c r="AQ26" s="8">
        <v>-50</v>
      </c>
      <c r="AR26" s="8">
        <v>-50</v>
      </c>
      <c r="AU26">
        <f>SUM($I26:I26)</f>
        <v>-50</v>
      </c>
      <c r="AV26">
        <f>SUM($I26:J26)</f>
        <v>-100</v>
      </c>
      <c r="AW26">
        <f>SUM($I26:K26)</f>
        <v>-150</v>
      </c>
      <c r="AX26">
        <f>SUM($I26:L26)</f>
        <v>-200</v>
      </c>
      <c r="AY26">
        <f>SUM($I26:M26)</f>
        <v>-250</v>
      </c>
      <c r="AZ26">
        <f>SUM($I26:N26)</f>
        <v>-300</v>
      </c>
      <c r="BA26">
        <f>SUM($I26:O26)</f>
        <v>-350</v>
      </c>
      <c r="BB26">
        <f>SUM($I26:P26)</f>
        <v>-400</v>
      </c>
      <c r="BC26">
        <f>SUM($I26:Q26)</f>
        <v>-450</v>
      </c>
      <c r="BD26">
        <f>SUM($I26:R26)</f>
        <v>-500</v>
      </c>
      <c r="BE26">
        <f>SUM($I26:S26)</f>
        <v>-550</v>
      </c>
      <c r="BF26">
        <f>SUM($I26:T26)</f>
        <v>-600</v>
      </c>
    </row>
    <row r="27" spans="2:58" x14ac:dyDescent="0.3">
      <c r="B27" s="56" t="s">
        <v>1677</v>
      </c>
      <c r="C27" s="56" t="s">
        <v>1665</v>
      </c>
      <c r="D27" s="56" t="s">
        <v>1396</v>
      </c>
      <c r="E27" s="56"/>
      <c r="F27" s="8">
        <v>-70</v>
      </c>
      <c r="G27" s="8">
        <v>-70</v>
      </c>
      <c r="H27" s="8">
        <v>-70</v>
      </c>
      <c r="I27" s="8">
        <v>-70</v>
      </c>
      <c r="J27" s="8">
        <v>-70</v>
      </c>
      <c r="K27" s="8">
        <v>-70</v>
      </c>
      <c r="L27" s="8">
        <v>-70</v>
      </c>
      <c r="M27" s="8">
        <v>-70</v>
      </c>
      <c r="N27" s="8">
        <v>-70</v>
      </c>
      <c r="O27" s="8">
        <v>-70</v>
      </c>
      <c r="P27" s="8">
        <v>-70</v>
      </c>
      <c r="Q27" s="8">
        <v>-70</v>
      </c>
      <c r="R27" s="8">
        <v>-70</v>
      </c>
      <c r="S27" s="8">
        <v>-70</v>
      </c>
      <c r="T27" s="8">
        <v>-70</v>
      </c>
      <c r="U27" s="8">
        <v>-70</v>
      </c>
      <c r="V27" s="8">
        <v>-70</v>
      </c>
      <c r="W27" s="8">
        <v>-70</v>
      </c>
      <c r="X27" s="8">
        <v>-70</v>
      </c>
      <c r="Y27" s="8">
        <v>-70</v>
      </c>
      <c r="Z27" s="8">
        <v>-70</v>
      </c>
      <c r="AA27" s="8">
        <v>-70</v>
      </c>
      <c r="AB27" s="8">
        <v>-70</v>
      </c>
      <c r="AC27" s="8">
        <v>-70</v>
      </c>
      <c r="AD27" s="8">
        <v>-70</v>
      </c>
      <c r="AE27" s="8">
        <v>-70</v>
      </c>
      <c r="AF27" s="8">
        <v>-70</v>
      </c>
      <c r="AG27" s="8">
        <v>-70</v>
      </c>
      <c r="AH27" s="8">
        <v>-70</v>
      </c>
      <c r="AI27" s="8">
        <v>-70</v>
      </c>
      <c r="AJ27" s="8">
        <v>-70</v>
      </c>
      <c r="AK27" s="8">
        <v>-70</v>
      </c>
      <c r="AL27" s="8">
        <v>-70</v>
      </c>
      <c r="AM27" s="8">
        <v>-70</v>
      </c>
      <c r="AN27" s="8">
        <v>-70</v>
      </c>
      <c r="AO27" s="8">
        <v>-70</v>
      </c>
      <c r="AP27" s="8">
        <v>-70</v>
      </c>
      <c r="AQ27" s="8">
        <v>-70</v>
      </c>
      <c r="AR27" s="8">
        <v>-70</v>
      </c>
      <c r="AU27">
        <f>SUM($I27:I27)</f>
        <v>-70</v>
      </c>
      <c r="AV27">
        <f>SUM($I27:J27)</f>
        <v>-140</v>
      </c>
      <c r="AW27">
        <f>SUM($I27:K27)</f>
        <v>-210</v>
      </c>
      <c r="AX27">
        <f>SUM($I27:L27)</f>
        <v>-280</v>
      </c>
      <c r="AY27">
        <f>SUM($I27:M27)</f>
        <v>-350</v>
      </c>
      <c r="AZ27">
        <f>SUM($I27:N27)</f>
        <v>-420</v>
      </c>
      <c r="BA27">
        <f>SUM($I27:O27)</f>
        <v>-490</v>
      </c>
      <c r="BB27">
        <f>SUM($I27:P27)</f>
        <v>-560</v>
      </c>
      <c r="BC27">
        <f>SUM($I27:Q27)</f>
        <v>-630</v>
      </c>
      <c r="BD27">
        <f>SUM($I27:R27)</f>
        <v>-700</v>
      </c>
      <c r="BE27">
        <f>SUM($I27:S27)</f>
        <v>-770</v>
      </c>
      <c r="BF27">
        <f>SUM($I27:T27)</f>
        <v>-840</v>
      </c>
    </row>
    <row r="28" spans="2:58" x14ac:dyDescent="0.3">
      <c r="B28" s="56" t="s">
        <v>1678</v>
      </c>
      <c r="C28" s="56" t="s">
        <v>1665</v>
      </c>
      <c r="D28" s="56" t="s">
        <v>1396</v>
      </c>
      <c r="E28" s="56"/>
      <c r="F28" s="8">
        <v>-250</v>
      </c>
      <c r="G28" s="8">
        <v>-250</v>
      </c>
      <c r="H28" s="8">
        <v>-250</v>
      </c>
      <c r="I28" s="8">
        <v>-300</v>
      </c>
      <c r="J28" s="8">
        <v>-300</v>
      </c>
      <c r="K28" s="8">
        <v>-300</v>
      </c>
      <c r="L28" s="8">
        <v>-300</v>
      </c>
      <c r="M28" s="8">
        <v>-300</v>
      </c>
      <c r="N28" s="8">
        <v>-300</v>
      </c>
      <c r="O28" s="8">
        <v>-300</v>
      </c>
      <c r="P28" s="8">
        <v>-300</v>
      </c>
      <c r="Q28" s="8">
        <v>-300</v>
      </c>
      <c r="R28" s="8">
        <v>-300</v>
      </c>
      <c r="S28" s="8">
        <v>-300</v>
      </c>
      <c r="T28" s="8">
        <v>-300</v>
      </c>
      <c r="U28" s="8">
        <v>-300</v>
      </c>
      <c r="V28" s="8">
        <v>-300</v>
      </c>
      <c r="W28" s="8">
        <v>-300</v>
      </c>
      <c r="X28" s="8">
        <v>-300</v>
      </c>
      <c r="Y28" s="8">
        <v>-300</v>
      </c>
      <c r="Z28" s="8">
        <v>-300</v>
      </c>
      <c r="AA28" s="8">
        <v>-300</v>
      </c>
      <c r="AB28" s="8">
        <v>-300</v>
      </c>
      <c r="AC28" s="8">
        <v>-300</v>
      </c>
      <c r="AD28" s="8">
        <v>-300</v>
      </c>
      <c r="AE28" s="8">
        <v>-300</v>
      </c>
      <c r="AF28" s="8">
        <v>-300</v>
      </c>
      <c r="AG28" s="8">
        <v>-300</v>
      </c>
      <c r="AH28" s="8">
        <v>-300</v>
      </c>
      <c r="AI28" s="8">
        <v>-300</v>
      </c>
      <c r="AJ28" s="8">
        <v>-300</v>
      </c>
      <c r="AK28" s="8">
        <v>-300</v>
      </c>
      <c r="AL28" s="8">
        <v>-300</v>
      </c>
      <c r="AM28" s="8">
        <v>-300</v>
      </c>
      <c r="AN28" s="8">
        <v>-300</v>
      </c>
      <c r="AO28" s="8">
        <v>-300</v>
      </c>
      <c r="AP28" s="8">
        <v>-300</v>
      </c>
      <c r="AQ28" s="8">
        <v>-300</v>
      </c>
      <c r="AR28" s="8">
        <v>-300</v>
      </c>
      <c r="AU28">
        <f>SUM($I28:I28)</f>
        <v>-300</v>
      </c>
      <c r="AV28">
        <f>SUM($I28:J28)</f>
        <v>-600</v>
      </c>
      <c r="AW28">
        <f>SUM($I28:K28)</f>
        <v>-900</v>
      </c>
      <c r="AX28">
        <f>SUM($I28:L28)</f>
        <v>-1200</v>
      </c>
      <c r="AY28">
        <f>SUM($I28:M28)</f>
        <v>-1500</v>
      </c>
      <c r="AZ28">
        <f>SUM($I28:N28)</f>
        <v>-1800</v>
      </c>
      <c r="BA28">
        <f>SUM($I28:O28)</f>
        <v>-2100</v>
      </c>
      <c r="BB28">
        <f>SUM($I28:P28)</f>
        <v>-2400</v>
      </c>
      <c r="BC28">
        <f>SUM($I28:Q28)</f>
        <v>-2700</v>
      </c>
      <c r="BD28">
        <f>SUM($I28:R28)</f>
        <v>-3000</v>
      </c>
      <c r="BE28">
        <f>SUM($I28:S28)</f>
        <v>-3300</v>
      </c>
      <c r="BF28">
        <f>SUM($I28:T28)</f>
        <v>-3600</v>
      </c>
    </row>
    <row r="29" spans="2:58" x14ac:dyDescent="0.3">
      <c r="B29" s="56" t="s">
        <v>1679</v>
      </c>
      <c r="C29" s="56" t="s">
        <v>1665</v>
      </c>
      <c r="D29" s="56" t="s">
        <v>1396</v>
      </c>
      <c r="E29" s="56"/>
      <c r="F29" s="8">
        <v>0</v>
      </c>
      <c r="N29" s="8">
        <v>-1000</v>
      </c>
      <c r="AU29">
        <f>SUM($I29:I29)</f>
        <v>0</v>
      </c>
      <c r="AV29">
        <f>SUM($I29:J29)</f>
        <v>0</v>
      </c>
      <c r="AW29">
        <f>SUM($I29:K29)</f>
        <v>0</v>
      </c>
      <c r="AX29">
        <f>SUM($I29:L29)</f>
        <v>0</v>
      </c>
      <c r="AY29">
        <f>SUM($I29:M29)</f>
        <v>0</v>
      </c>
      <c r="AZ29">
        <f>SUM($I29:N29)</f>
        <v>-1000</v>
      </c>
      <c r="BA29">
        <f>SUM($I29:O29)</f>
        <v>-1000</v>
      </c>
      <c r="BB29">
        <f>SUM($I29:P29)</f>
        <v>-1000</v>
      </c>
      <c r="BC29">
        <f>SUM($I29:Q29)</f>
        <v>-1000</v>
      </c>
      <c r="BD29">
        <f>SUM($I29:R29)</f>
        <v>-1000</v>
      </c>
      <c r="BE29">
        <f>SUM($I29:S29)</f>
        <v>-1000</v>
      </c>
      <c r="BF29">
        <f>SUM($I29:T29)</f>
        <v>-1000</v>
      </c>
    </row>
    <row r="30" spans="2:58" x14ac:dyDescent="0.3">
      <c r="B30" s="56" t="s">
        <v>1713</v>
      </c>
      <c r="C30" s="56" t="s">
        <v>1665</v>
      </c>
      <c r="D30" s="56" t="s">
        <v>1680</v>
      </c>
      <c r="E30" s="56" t="s">
        <v>1680</v>
      </c>
      <c r="F30" s="8">
        <v>-220</v>
      </c>
      <c r="G30" s="8">
        <v>-220</v>
      </c>
      <c r="H30" s="8">
        <v>-220</v>
      </c>
      <c r="I30" s="8">
        <v>-220</v>
      </c>
      <c r="J30" s="8">
        <v>-220</v>
      </c>
      <c r="K30" s="8">
        <v>-220</v>
      </c>
      <c r="L30" s="8">
        <v>-220</v>
      </c>
      <c r="M30" s="8">
        <v>-220</v>
      </c>
      <c r="N30" s="8">
        <v>-220</v>
      </c>
      <c r="O30" s="8">
        <v>-220</v>
      </c>
      <c r="P30" s="8">
        <v>-220</v>
      </c>
      <c r="Q30" s="8">
        <v>-220</v>
      </c>
      <c r="R30" s="8">
        <v>-220</v>
      </c>
      <c r="S30" s="8">
        <v>-220</v>
      </c>
      <c r="T30" s="8">
        <v>-220</v>
      </c>
      <c r="U30" s="8">
        <v>-220</v>
      </c>
      <c r="V30" s="8">
        <v>-220</v>
      </c>
      <c r="W30" s="8">
        <v>-220</v>
      </c>
      <c r="X30" s="8">
        <v>-220</v>
      </c>
      <c r="Y30" s="8">
        <v>-220</v>
      </c>
      <c r="Z30" s="8">
        <v>-220</v>
      </c>
      <c r="AA30" s="8">
        <v>-220</v>
      </c>
      <c r="AB30" s="8">
        <v>-220</v>
      </c>
      <c r="AC30" s="8">
        <v>-220</v>
      </c>
      <c r="AD30" s="8">
        <v>-220</v>
      </c>
      <c r="AE30" s="8">
        <v>-220</v>
      </c>
      <c r="AF30" s="8">
        <v>-220</v>
      </c>
      <c r="AG30" s="8">
        <v>-220</v>
      </c>
      <c r="AH30" s="8">
        <v>-220</v>
      </c>
      <c r="AI30" s="8">
        <v>-220</v>
      </c>
      <c r="AJ30" s="8">
        <v>-220</v>
      </c>
      <c r="AK30" s="8">
        <v>-220</v>
      </c>
      <c r="AL30" s="8">
        <v>-220</v>
      </c>
      <c r="AM30" s="8">
        <v>-220</v>
      </c>
      <c r="AN30" s="8">
        <v>-220</v>
      </c>
      <c r="AO30" s="8">
        <v>-220</v>
      </c>
      <c r="AP30" s="8">
        <v>-220</v>
      </c>
      <c r="AQ30" s="8">
        <v>-220</v>
      </c>
      <c r="AR30" s="8">
        <v>-220</v>
      </c>
      <c r="AU30">
        <f>SUM($I30:I30)</f>
        <v>-220</v>
      </c>
      <c r="AV30">
        <f>SUM($I30:J30)</f>
        <v>-440</v>
      </c>
      <c r="AW30">
        <f>SUM($I30:K30)</f>
        <v>-660</v>
      </c>
      <c r="AX30">
        <f>SUM($I30:L30)</f>
        <v>-880</v>
      </c>
      <c r="AY30">
        <f>SUM($I30:M30)</f>
        <v>-1100</v>
      </c>
      <c r="AZ30">
        <f>SUM($I30:N30)</f>
        <v>-1320</v>
      </c>
      <c r="BA30">
        <f>SUM($I30:O30)</f>
        <v>-1540</v>
      </c>
      <c r="BB30">
        <f>SUM($I30:P30)</f>
        <v>-1760</v>
      </c>
      <c r="BC30">
        <f>SUM($I30:Q30)</f>
        <v>-1980</v>
      </c>
      <c r="BD30">
        <f>SUM($I30:R30)</f>
        <v>-2200</v>
      </c>
      <c r="BE30">
        <f>SUM($I30:S30)</f>
        <v>-2420</v>
      </c>
      <c r="BF30">
        <f>SUM($I30:T30)</f>
        <v>-2640</v>
      </c>
    </row>
    <row r="31" spans="2:58" x14ac:dyDescent="0.3">
      <c r="B31" s="56" t="s">
        <v>1681</v>
      </c>
      <c r="C31" s="56" t="s">
        <v>1665</v>
      </c>
      <c r="D31" s="56" t="s">
        <v>1396</v>
      </c>
      <c r="E31" s="56"/>
      <c r="F31" s="8">
        <v>-200</v>
      </c>
      <c r="G31" s="8">
        <v>-200</v>
      </c>
      <c r="H31" s="8">
        <v>-200</v>
      </c>
      <c r="I31" s="8">
        <v>-200</v>
      </c>
      <c r="J31" s="8">
        <v>-200</v>
      </c>
      <c r="K31" s="8">
        <v>-200</v>
      </c>
      <c r="L31" s="8">
        <v>-200</v>
      </c>
      <c r="M31" s="8">
        <v>-200</v>
      </c>
      <c r="N31" s="8">
        <v>-200</v>
      </c>
      <c r="O31" s="8">
        <v>-200</v>
      </c>
      <c r="P31" s="8">
        <v>-200</v>
      </c>
      <c r="Q31" s="8">
        <v>-200</v>
      </c>
      <c r="R31" s="8">
        <v>-200</v>
      </c>
      <c r="S31" s="8">
        <v>-200</v>
      </c>
      <c r="T31" s="8">
        <v>-200</v>
      </c>
      <c r="U31" s="8">
        <v>-200</v>
      </c>
      <c r="V31" s="8">
        <v>-200</v>
      </c>
      <c r="W31" s="8">
        <v>-200</v>
      </c>
      <c r="X31" s="8">
        <v>-200</v>
      </c>
      <c r="Y31" s="8">
        <v>-200</v>
      </c>
      <c r="Z31" s="8">
        <v>-200</v>
      </c>
      <c r="AA31" s="8">
        <v>-200</v>
      </c>
      <c r="AB31" s="8">
        <v>-200</v>
      </c>
      <c r="AC31" s="8">
        <v>-200</v>
      </c>
      <c r="AD31" s="8">
        <v>-200</v>
      </c>
      <c r="AE31" s="8">
        <v>-200</v>
      </c>
      <c r="AF31" s="8">
        <v>-200</v>
      </c>
      <c r="AG31" s="8">
        <v>-200</v>
      </c>
      <c r="AH31" s="8">
        <v>-200</v>
      </c>
      <c r="AI31" s="8">
        <v>-200</v>
      </c>
      <c r="AJ31" s="8">
        <v>-200</v>
      </c>
      <c r="AK31" s="8">
        <v>-200</v>
      </c>
      <c r="AL31" s="8">
        <v>-200</v>
      </c>
      <c r="AM31" s="8">
        <v>-200</v>
      </c>
      <c r="AN31" s="8">
        <v>-200</v>
      </c>
      <c r="AO31" s="8">
        <v>-200</v>
      </c>
      <c r="AP31" s="8">
        <v>-200</v>
      </c>
      <c r="AQ31" s="8">
        <v>-200</v>
      </c>
      <c r="AR31" s="8">
        <v>-200</v>
      </c>
      <c r="AU31">
        <f>SUM($I31:I31)</f>
        <v>-200</v>
      </c>
      <c r="AV31">
        <f>SUM($I31:J31)</f>
        <v>-400</v>
      </c>
      <c r="AW31">
        <f>SUM($I31:K31)</f>
        <v>-600</v>
      </c>
      <c r="AX31">
        <f>SUM($I31:L31)</f>
        <v>-800</v>
      </c>
      <c r="AY31">
        <f>SUM($I31:M31)</f>
        <v>-1000</v>
      </c>
      <c r="AZ31">
        <f>SUM($I31:N31)</f>
        <v>-1200</v>
      </c>
      <c r="BA31">
        <f>SUM($I31:O31)</f>
        <v>-1400</v>
      </c>
      <c r="BB31">
        <f>SUM($I31:P31)</f>
        <v>-1600</v>
      </c>
      <c r="BC31">
        <f>SUM($I31:Q31)</f>
        <v>-1800</v>
      </c>
      <c r="BD31">
        <f>SUM($I31:R31)</f>
        <v>-2000</v>
      </c>
      <c r="BE31">
        <f>SUM($I31:S31)</f>
        <v>-2200</v>
      </c>
      <c r="BF31">
        <f>SUM($I31:T31)</f>
        <v>-2400</v>
      </c>
    </row>
    <row r="32" spans="2:58" x14ac:dyDescent="0.3">
      <c r="B32" s="56" t="s">
        <v>1682</v>
      </c>
      <c r="C32" s="56" t="s">
        <v>1665</v>
      </c>
      <c r="D32" s="56" t="s">
        <v>1396</v>
      </c>
      <c r="E32" s="56"/>
      <c r="F32" s="8">
        <v>-200</v>
      </c>
      <c r="I32" s="8">
        <f>-500/12</f>
        <v>-41.666666666666664</v>
      </c>
      <c r="J32" s="8">
        <f t="shared" ref="J32:AR32" si="7">-500/12</f>
        <v>-41.666666666666664</v>
      </c>
      <c r="K32" s="8">
        <f t="shared" si="7"/>
        <v>-41.666666666666664</v>
      </c>
      <c r="L32" s="8">
        <f t="shared" si="7"/>
        <v>-41.666666666666664</v>
      </c>
      <c r="M32" s="8">
        <f t="shared" si="7"/>
        <v>-41.666666666666664</v>
      </c>
      <c r="N32" s="8">
        <f t="shared" si="7"/>
        <v>-41.666666666666664</v>
      </c>
      <c r="O32" s="8">
        <f t="shared" si="7"/>
        <v>-41.666666666666664</v>
      </c>
      <c r="P32" s="8">
        <f t="shared" si="7"/>
        <v>-41.666666666666664</v>
      </c>
      <c r="Q32" s="8">
        <f t="shared" si="7"/>
        <v>-41.666666666666664</v>
      </c>
      <c r="R32" s="8">
        <f t="shared" si="7"/>
        <v>-41.666666666666664</v>
      </c>
      <c r="S32" s="8">
        <f t="shared" si="7"/>
        <v>-41.666666666666664</v>
      </c>
      <c r="T32" s="8">
        <f t="shared" si="7"/>
        <v>-41.666666666666664</v>
      </c>
      <c r="U32" s="8">
        <f t="shared" si="7"/>
        <v>-41.666666666666664</v>
      </c>
      <c r="V32" s="8">
        <f t="shared" si="7"/>
        <v>-41.666666666666664</v>
      </c>
      <c r="W32" s="8">
        <f t="shared" si="7"/>
        <v>-41.666666666666664</v>
      </c>
      <c r="X32" s="8">
        <f t="shared" si="7"/>
        <v>-41.666666666666664</v>
      </c>
      <c r="Y32" s="8">
        <f t="shared" si="7"/>
        <v>-41.666666666666664</v>
      </c>
      <c r="Z32" s="8">
        <f t="shared" si="7"/>
        <v>-41.666666666666664</v>
      </c>
      <c r="AA32" s="8">
        <f t="shared" si="7"/>
        <v>-41.666666666666664</v>
      </c>
      <c r="AB32" s="8">
        <f t="shared" si="7"/>
        <v>-41.666666666666664</v>
      </c>
      <c r="AC32" s="8">
        <f t="shared" si="7"/>
        <v>-41.666666666666664</v>
      </c>
      <c r="AD32" s="8">
        <f t="shared" si="7"/>
        <v>-41.666666666666664</v>
      </c>
      <c r="AE32" s="8">
        <f t="shared" si="7"/>
        <v>-41.666666666666664</v>
      </c>
      <c r="AF32" s="8">
        <f t="shared" si="7"/>
        <v>-41.666666666666664</v>
      </c>
      <c r="AG32" s="8">
        <f t="shared" si="7"/>
        <v>-41.666666666666664</v>
      </c>
      <c r="AH32" s="8">
        <f t="shared" si="7"/>
        <v>-41.666666666666664</v>
      </c>
      <c r="AI32" s="8">
        <f t="shared" si="7"/>
        <v>-41.666666666666664</v>
      </c>
      <c r="AJ32" s="8">
        <f t="shared" si="7"/>
        <v>-41.666666666666664</v>
      </c>
      <c r="AK32" s="8">
        <f t="shared" si="7"/>
        <v>-41.666666666666664</v>
      </c>
      <c r="AL32" s="8">
        <f t="shared" si="7"/>
        <v>-41.666666666666664</v>
      </c>
      <c r="AM32" s="8">
        <f t="shared" si="7"/>
        <v>-41.666666666666664</v>
      </c>
      <c r="AN32" s="8">
        <f t="shared" si="7"/>
        <v>-41.666666666666664</v>
      </c>
      <c r="AO32" s="8">
        <f t="shared" si="7"/>
        <v>-41.666666666666664</v>
      </c>
      <c r="AP32" s="8">
        <f t="shared" si="7"/>
        <v>-41.666666666666664</v>
      </c>
      <c r="AQ32" s="8">
        <f t="shared" si="7"/>
        <v>-41.666666666666664</v>
      </c>
      <c r="AR32" s="8">
        <f t="shared" si="7"/>
        <v>-41.666666666666664</v>
      </c>
      <c r="AU32">
        <f>SUM($I32:I32)</f>
        <v>-41.666666666666664</v>
      </c>
      <c r="AV32">
        <f>SUM($I32:J32)</f>
        <v>-83.333333333333329</v>
      </c>
      <c r="AW32">
        <f>SUM($I32:K32)</f>
        <v>-125</v>
      </c>
      <c r="AX32">
        <f>SUM($I32:L32)</f>
        <v>-166.66666666666666</v>
      </c>
      <c r="AY32">
        <f>SUM($I32:M32)</f>
        <v>-208.33333333333331</v>
      </c>
      <c r="AZ32">
        <f>SUM($I32:N32)</f>
        <v>-249.99999999999997</v>
      </c>
      <c r="BA32">
        <f>SUM($I32:O32)</f>
        <v>-291.66666666666663</v>
      </c>
      <c r="BB32">
        <f>SUM($I32:P32)</f>
        <v>-333.33333333333331</v>
      </c>
      <c r="BC32">
        <f>SUM($I32:Q32)</f>
        <v>-375</v>
      </c>
      <c r="BD32">
        <f>SUM($I32:R32)</f>
        <v>-416.66666666666669</v>
      </c>
      <c r="BE32">
        <f>SUM($I32:S32)</f>
        <v>-458.33333333333337</v>
      </c>
      <c r="BF32">
        <f>SUM($I32:T32)</f>
        <v>-500.00000000000006</v>
      </c>
    </row>
    <row r="33" spans="2:58" x14ac:dyDescent="0.3">
      <c r="B33" s="56" t="s">
        <v>1683</v>
      </c>
      <c r="C33" s="56" t="s">
        <v>1670</v>
      </c>
      <c r="D33" s="56" t="s">
        <v>1396</v>
      </c>
      <c r="E33" s="56"/>
      <c r="F33" s="8">
        <v>-100</v>
      </c>
      <c r="G33" s="8">
        <v>-100</v>
      </c>
      <c r="H33" s="8">
        <v>-100</v>
      </c>
      <c r="I33" s="8">
        <v>-100</v>
      </c>
      <c r="J33" s="8">
        <v>-100</v>
      </c>
      <c r="K33" s="8">
        <v>-100</v>
      </c>
      <c r="L33" s="8">
        <v>-100</v>
      </c>
      <c r="M33" s="8">
        <v>-100</v>
      </c>
      <c r="N33" s="8">
        <v>-100</v>
      </c>
      <c r="O33" s="8">
        <v>-100</v>
      </c>
      <c r="P33" s="8">
        <v>-100</v>
      </c>
      <c r="Q33" s="8">
        <v>-100</v>
      </c>
      <c r="R33" s="8">
        <v>-100</v>
      </c>
      <c r="S33" s="8">
        <v>-100</v>
      </c>
      <c r="T33" s="8">
        <v>-100</v>
      </c>
      <c r="U33" s="8">
        <v>-100</v>
      </c>
      <c r="V33" s="8">
        <v>-100</v>
      </c>
      <c r="W33" s="8">
        <v>-100</v>
      </c>
      <c r="X33" s="8">
        <v>-100</v>
      </c>
      <c r="Y33" s="8">
        <v>-100</v>
      </c>
      <c r="Z33" s="8">
        <v>-100</v>
      </c>
      <c r="AA33" s="8">
        <v>-100</v>
      </c>
      <c r="AB33" s="8">
        <v>-100</v>
      </c>
      <c r="AC33" s="8">
        <v>-100</v>
      </c>
      <c r="AD33" s="8">
        <v>-100</v>
      </c>
      <c r="AE33" s="8">
        <v>-100</v>
      </c>
      <c r="AF33" s="8">
        <v>-100</v>
      </c>
      <c r="AG33" s="8">
        <v>-100</v>
      </c>
      <c r="AH33" s="8">
        <v>-100</v>
      </c>
      <c r="AI33" s="8">
        <v>-100</v>
      </c>
      <c r="AJ33" s="8">
        <v>-100</v>
      </c>
      <c r="AK33" s="8">
        <v>-100</v>
      </c>
      <c r="AL33" s="8">
        <v>-100</v>
      </c>
      <c r="AM33" s="8">
        <v>-100</v>
      </c>
      <c r="AN33" s="8">
        <v>-100</v>
      </c>
      <c r="AO33" s="8">
        <v>-100</v>
      </c>
      <c r="AP33" s="8">
        <v>-100</v>
      </c>
      <c r="AQ33" s="8">
        <v>-100</v>
      </c>
      <c r="AR33" s="8">
        <v>-100</v>
      </c>
      <c r="AU33">
        <f>SUM($I33:I33)</f>
        <v>-100</v>
      </c>
      <c r="AV33">
        <f>SUM($I33:J33)</f>
        <v>-200</v>
      </c>
      <c r="AW33">
        <f>SUM($I33:K33)</f>
        <v>-300</v>
      </c>
      <c r="AX33">
        <f>SUM($I33:L33)</f>
        <v>-400</v>
      </c>
      <c r="AY33">
        <f>SUM($I33:M33)</f>
        <v>-500</v>
      </c>
      <c r="AZ33">
        <f>SUM($I33:N33)</f>
        <v>-600</v>
      </c>
      <c r="BA33">
        <f>SUM($I33:O33)</f>
        <v>-700</v>
      </c>
      <c r="BB33">
        <f>SUM($I33:P33)</f>
        <v>-800</v>
      </c>
      <c r="BC33">
        <f>SUM($I33:Q33)</f>
        <v>-900</v>
      </c>
      <c r="BD33">
        <f>SUM($I33:R33)</f>
        <v>-1000</v>
      </c>
      <c r="BE33">
        <f>SUM($I33:S33)</f>
        <v>-1100</v>
      </c>
      <c r="BF33">
        <f>SUM($I33:T33)</f>
        <v>-1200</v>
      </c>
    </row>
    <row r="34" spans="2:58" x14ac:dyDescent="0.3">
      <c r="B34" s="56" t="s">
        <v>1684</v>
      </c>
      <c r="C34" s="56" t="s">
        <v>1665</v>
      </c>
      <c r="D34" s="56" t="s">
        <v>1396</v>
      </c>
      <c r="E34" s="56" t="s">
        <v>1685</v>
      </c>
      <c r="F34" s="8">
        <v>0</v>
      </c>
      <c r="AU34">
        <f>SUM($I34:I34)</f>
        <v>0</v>
      </c>
      <c r="AV34">
        <f>SUM($I34:J34)</f>
        <v>0</v>
      </c>
      <c r="AW34">
        <f>SUM($I34:K34)</f>
        <v>0</v>
      </c>
      <c r="AX34">
        <f>SUM($I34:L34)</f>
        <v>0</v>
      </c>
      <c r="AY34">
        <f>SUM($I34:M34)</f>
        <v>0</v>
      </c>
      <c r="AZ34">
        <f>SUM($I34:N34)</f>
        <v>0</v>
      </c>
      <c r="BA34">
        <f>SUM($I34:O34)</f>
        <v>0</v>
      </c>
      <c r="BB34">
        <f>SUM($I34:P34)</f>
        <v>0</v>
      </c>
      <c r="BC34">
        <f>SUM($I34:Q34)</f>
        <v>0</v>
      </c>
      <c r="BD34">
        <f>SUM($I34:R34)</f>
        <v>0</v>
      </c>
      <c r="BE34">
        <f>SUM($I34:S34)</f>
        <v>0</v>
      </c>
      <c r="BF34">
        <f>SUM($I34:T34)</f>
        <v>0</v>
      </c>
    </row>
    <row r="35" spans="2:58" x14ac:dyDescent="0.3">
      <c r="B35" s="56" t="s">
        <v>1396</v>
      </c>
      <c r="C35" s="56" t="s">
        <v>1665</v>
      </c>
      <c r="D35" s="56" t="s">
        <v>1396</v>
      </c>
      <c r="E35" s="56"/>
      <c r="F35" s="8">
        <v>-200</v>
      </c>
      <c r="G35" s="8">
        <v>-200</v>
      </c>
      <c r="H35" s="8">
        <v>-200</v>
      </c>
      <c r="I35" s="8">
        <v>-200</v>
      </c>
      <c r="J35" s="8">
        <v>-200</v>
      </c>
      <c r="K35" s="8">
        <v>-200</v>
      </c>
      <c r="L35" s="8">
        <v>-200</v>
      </c>
      <c r="M35" s="8">
        <v>-200</v>
      </c>
      <c r="N35" s="8">
        <v>-200</v>
      </c>
      <c r="O35" s="8">
        <v>-200</v>
      </c>
      <c r="P35" s="8">
        <v>-200</v>
      </c>
      <c r="Q35" s="8">
        <v>-200</v>
      </c>
      <c r="R35" s="8">
        <v>-200</v>
      </c>
      <c r="S35" s="8">
        <v>-200</v>
      </c>
      <c r="T35" s="8">
        <v>-200</v>
      </c>
      <c r="U35" s="8">
        <v>-200</v>
      </c>
      <c r="V35" s="8">
        <v>-200</v>
      </c>
      <c r="W35" s="8">
        <v>-200</v>
      </c>
      <c r="X35" s="8">
        <v>-200</v>
      </c>
      <c r="Y35" s="8">
        <v>-200</v>
      </c>
      <c r="Z35" s="8">
        <v>-200</v>
      </c>
      <c r="AA35" s="8">
        <v>-200</v>
      </c>
      <c r="AB35" s="8">
        <v>-200</v>
      </c>
      <c r="AC35" s="8">
        <v>-200</v>
      </c>
      <c r="AD35" s="8">
        <v>-200</v>
      </c>
      <c r="AE35" s="8">
        <v>-200</v>
      </c>
      <c r="AF35" s="8">
        <v>-200</v>
      </c>
      <c r="AG35" s="8">
        <v>-200</v>
      </c>
      <c r="AH35" s="8">
        <v>-200</v>
      </c>
      <c r="AI35" s="8">
        <v>-200</v>
      </c>
      <c r="AJ35" s="8">
        <v>-200</v>
      </c>
      <c r="AK35" s="8">
        <v>-200</v>
      </c>
      <c r="AL35" s="8">
        <v>-200</v>
      </c>
      <c r="AM35" s="8">
        <v>-200</v>
      </c>
      <c r="AN35" s="8">
        <v>-200</v>
      </c>
      <c r="AO35" s="8">
        <v>-200</v>
      </c>
      <c r="AP35" s="8">
        <v>-200</v>
      </c>
      <c r="AQ35" s="8">
        <v>-200</v>
      </c>
      <c r="AR35" s="8">
        <v>-200</v>
      </c>
      <c r="AU35">
        <f>SUM($I35:I35)</f>
        <v>-200</v>
      </c>
      <c r="AV35">
        <f>SUM($I35:J35)</f>
        <v>-400</v>
      </c>
      <c r="AW35">
        <f>SUM($I35:K35)</f>
        <v>-600</v>
      </c>
      <c r="AX35">
        <f>SUM($I35:L35)</f>
        <v>-800</v>
      </c>
      <c r="AY35">
        <f>SUM($I35:M35)</f>
        <v>-1000</v>
      </c>
      <c r="AZ35">
        <f>SUM($I35:N35)</f>
        <v>-1200</v>
      </c>
      <c r="BA35">
        <f>SUM($I35:O35)</f>
        <v>-1400</v>
      </c>
      <c r="BB35">
        <f>SUM($I35:P35)</f>
        <v>-1600</v>
      </c>
      <c r="BC35">
        <f>SUM($I35:Q35)</f>
        <v>-1800</v>
      </c>
      <c r="BD35">
        <f>SUM($I35:R35)</f>
        <v>-2000</v>
      </c>
      <c r="BE35">
        <f>SUM($I35:S35)</f>
        <v>-2200</v>
      </c>
      <c r="BF35">
        <f>SUM($I35:T35)</f>
        <v>-2400</v>
      </c>
    </row>
    <row r="36" spans="2:58" x14ac:dyDescent="0.3">
      <c r="B36" s="56" t="s">
        <v>1686</v>
      </c>
      <c r="C36" s="56" t="s">
        <v>1665</v>
      </c>
      <c r="D36" s="56" t="s">
        <v>1396</v>
      </c>
      <c r="E36" s="56"/>
      <c r="F36" s="8">
        <v>0</v>
      </c>
      <c r="P36" s="8">
        <v>-300</v>
      </c>
      <c r="AU36">
        <f>SUM($I36:I36)</f>
        <v>0</v>
      </c>
      <c r="AV36">
        <f>SUM($I36:J36)</f>
        <v>0</v>
      </c>
      <c r="AW36">
        <f>SUM($I36:K36)</f>
        <v>0</v>
      </c>
      <c r="AX36">
        <f>SUM($I36:L36)</f>
        <v>0</v>
      </c>
      <c r="AY36">
        <f>SUM($I36:M36)</f>
        <v>0</v>
      </c>
      <c r="AZ36">
        <f>SUM($I36:N36)</f>
        <v>0</v>
      </c>
      <c r="BA36">
        <f>SUM($I36:O36)</f>
        <v>0</v>
      </c>
      <c r="BB36">
        <f>SUM($I36:P36)</f>
        <v>-300</v>
      </c>
      <c r="BC36">
        <f>SUM($I36:Q36)</f>
        <v>-300</v>
      </c>
      <c r="BD36">
        <f>SUM($I36:R36)</f>
        <v>-300</v>
      </c>
      <c r="BE36">
        <f>SUM($I36:S36)</f>
        <v>-300</v>
      </c>
      <c r="BF36">
        <f>SUM($I36:T36)</f>
        <v>-300</v>
      </c>
    </row>
    <row r="37" spans="2:58" x14ac:dyDescent="0.3">
      <c r="B37" s="56" t="s">
        <v>1687</v>
      </c>
      <c r="C37" s="56" t="s">
        <v>1670</v>
      </c>
      <c r="D37" s="56" t="s">
        <v>1396</v>
      </c>
      <c r="E37" s="56"/>
      <c r="F37" s="8">
        <v>-15.734999999999999</v>
      </c>
      <c r="G37" s="8">
        <v>-15.734999999999999</v>
      </c>
      <c r="H37" s="8">
        <v>-15.734999999999999</v>
      </c>
      <c r="I37" s="8">
        <v>-15.734999999999999</v>
      </c>
      <c r="J37" s="8">
        <v>-15.734999999999999</v>
      </c>
      <c r="K37" s="8">
        <v>-15.734999999999999</v>
      </c>
      <c r="L37" s="8">
        <v>-15.734999999999999</v>
      </c>
      <c r="M37" s="8">
        <v>-15.734999999999999</v>
      </c>
      <c r="N37" s="8">
        <v>-15.734999999999999</v>
      </c>
      <c r="O37" s="8">
        <v>-15.734999999999999</v>
      </c>
      <c r="P37" s="8">
        <v>-15.734999999999999</v>
      </c>
      <c r="Q37" s="8">
        <v>-15.734999999999999</v>
      </c>
      <c r="R37" s="8">
        <v>-15.734999999999999</v>
      </c>
      <c r="S37" s="8">
        <v>-15.734999999999999</v>
      </c>
      <c r="T37" s="8">
        <v>-15.734999999999999</v>
      </c>
      <c r="U37" s="8">
        <v>-15.734999999999999</v>
      </c>
      <c r="V37" s="8">
        <v>-15.734999999999999</v>
      </c>
      <c r="W37" s="8">
        <v>-15.734999999999999</v>
      </c>
      <c r="X37" s="8">
        <v>-15.734999999999999</v>
      </c>
      <c r="Y37" s="8">
        <v>-15.734999999999999</v>
      </c>
      <c r="Z37" s="8">
        <v>-15.734999999999999</v>
      </c>
      <c r="AA37" s="8">
        <v>-15.734999999999999</v>
      </c>
      <c r="AB37" s="8">
        <v>-15.734999999999999</v>
      </c>
      <c r="AC37" s="8">
        <v>-15.734999999999999</v>
      </c>
      <c r="AD37" s="8">
        <v>-15.734999999999999</v>
      </c>
      <c r="AE37" s="8">
        <v>-15.734999999999999</v>
      </c>
      <c r="AF37" s="8">
        <v>-15.734999999999999</v>
      </c>
      <c r="AG37" s="8">
        <v>-15.734999999999999</v>
      </c>
      <c r="AH37" s="8">
        <v>-15.734999999999999</v>
      </c>
      <c r="AI37" s="8">
        <v>-15.734999999999999</v>
      </c>
      <c r="AJ37" s="8">
        <v>-15.734999999999999</v>
      </c>
      <c r="AK37" s="8">
        <v>-15.734999999999999</v>
      </c>
      <c r="AL37" s="8">
        <v>-15.734999999999999</v>
      </c>
      <c r="AM37" s="8">
        <v>-15.734999999999999</v>
      </c>
      <c r="AN37" s="8">
        <v>-15.734999999999999</v>
      </c>
      <c r="AO37" s="8">
        <v>-15.734999999999999</v>
      </c>
      <c r="AP37" s="8">
        <v>-15.734999999999999</v>
      </c>
      <c r="AQ37" s="8">
        <v>-15.734999999999999</v>
      </c>
      <c r="AR37" s="8">
        <v>-15.734999999999999</v>
      </c>
      <c r="AU37">
        <f>SUM($I37:I37)</f>
        <v>-15.734999999999999</v>
      </c>
      <c r="AV37">
        <f>SUM($I37:J37)</f>
        <v>-31.47</v>
      </c>
      <c r="AW37">
        <f>SUM($I37:K37)</f>
        <v>-47.204999999999998</v>
      </c>
      <c r="AX37">
        <f>SUM($I37:L37)</f>
        <v>-62.94</v>
      </c>
      <c r="AY37">
        <f>SUM($I37:M37)</f>
        <v>-78.674999999999997</v>
      </c>
      <c r="AZ37">
        <f>SUM($I37:N37)</f>
        <v>-94.41</v>
      </c>
      <c r="BA37">
        <f>SUM($I37:O37)</f>
        <v>-110.145</v>
      </c>
      <c r="BB37">
        <f>SUM($I37:P37)</f>
        <v>-125.88</v>
      </c>
      <c r="BC37">
        <f>SUM($I37:Q37)</f>
        <v>-141.61500000000001</v>
      </c>
      <c r="BD37">
        <f>SUM($I37:R37)</f>
        <v>-157.35000000000002</v>
      </c>
      <c r="BE37">
        <f>SUM($I37:S37)</f>
        <v>-173.08500000000004</v>
      </c>
      <c r="BF37">
        <f>SUM($I37:T37)</f>
        <v>-188.82000000000005</v>
      </c>
    </row>
    <row r="38" spans="2:58" x14ac:dyDescent="0.3">
      <c r="B38" s="56" t="s">
        <v>1688</v>
      </c>
      <c r="C38" s="56" t="s">
        <v>1670</v>
      </c>
      <c r="D38" s="56" t="s">
        <v>1396</v>
      </c>
      <c r="E38" s="56"/>
      <c r="F38" s="8">
        <v>-666</v>
      </c>
      <c r="G38" s="8">
        <v>-666</v>
      </c>
      <c r="H38" s="8">
        <v>-666</v>
      </c>
      <c r="I38" s="8">
        <v>-666</v>
      </c>
      <c r="J38" s="8">
        <v>-666</v>
      </c>
      <c r="K38" s="8">
        <v>-666</v>
      </c>
      <c r="L38" s="8">
        <v>-666</v>
      </c>
      <c r="M38" s="8">
        <v>-666</v>
      </c>
      <c r="N38" s="8">
        <v>-666</v>
      </c>
      <c r="O38" s="8">
        <v>-666</v>
      </c>
      <c r="P38" s="8">
        <v>-666</v>
      </c>
      <c r="Q38" s="8">
        <v>-666</v>
      </c>
      <c r="R38" s="8">
        <v>-666</v>
      </c>
      <c r="S38" s="8">
        <v>-666</v>
      </c>
      <c r="T38" s="8">
        <v>-666</v>
      </c>
      <c r="U38" s="8">
        <v>-666</v>
      </c>
      <c r="V38" s="8">
        <v>-666</v>
      </c>
      <c r="W38" s="8">
        <v>-666</v>
      </c>
      <c r="X38" s="8">
        <v>-666</v>
      </c>
      <c r="Y38" s="8">
        <v>-666</v>
      </c>
      <c r="Z38" s="8">
        <v>-666</v>
      </c>
      <c r="AA38" s="8">
        <v>-666</v>
      </c>
      <c r="AB38" s="8">
        <v>-666</v>
      </c>
      <c r="AC38" s="8">
        <v>-666</v>
      </c>
      <c r="AD38" s="8">
        <v>-666</v>
      </c>
      <c r="AE38" s="8">
        <v>-666</v>
      </c>
      <c r="AF38" s="8">
        <v>-666</v>
      </c>
      <c r="AG38" s="8">
        <v>-666</v>
      </c>
      <c r="AH38" s="8">
        <v>-666</v>
      </c>
      <c r="AI38" s="8">
        <v>-666</v>
      </c>
      <c r="AJ38" s="8">
        <v>-666</v>
      </c>
      <c r="AK38" s="8">
        <v>-666</v>
      </c>
      <c r="AL38" s="8">
        <v>-666</v>
      </c>
      <c r="AM38" s="8">
        <v>-666</v>
      </c>
      <c r="AN38" s="8">
        <v>-666</v>
      </c>
      <c r="AO38" s="8">
        <v>-666</v>
      </c>
      <c r="AP38" s="8">
        <v>-666</v>
      </c>
      <c r="AQ38" s="8">
        <v>-666</v>
      </c>
      <c r="AR38" s="8">
        <v>-666</v>
      </c>
      <c r="AU38">
        <f>SUM($I38:I38)</f>
        <v>-666</v>
      </c>
      <c r="AV38">
        <f>SUM($I38:J38)</f>
        <v>-1332</v>
      </c>
      <c r="AW38">
        <f>SUM($I38:K38)</f>
        <v>-1998</v>
      </c>
      <c r="AX38">
        <f>SUM($I38:L38)</f>
        <v>-2664</v>
      </c>
      <c r="AY38">
        <f>SUM($I38:M38)</f>
        <v>-3330</v>
      </c>
      <c r="AZ38">
        <f>SUM($I38:N38)</f>
        <v>-3996</v>
      </c>
      <c r="BA38">
        <f>SUM($I38:O38)</f>
        <v>-4662</v>
      </c>
      <c r="BB38">
        <f>SUM($I38:P38)</f>
        <v>-5328</v>
      </c>
      <c r="BC38">
        <f>SUM($I38:Q38)</f>
        <v>-5994</v>
      </c>
      <c r="BD38">
        <f>SUM($I38:R38)</f>
        <v>-6660</v>
      </c>
      <c r="BE38">
        <f>SUM($I38:S38)</f>
        <v>-7326</v>
      </c>
      <c r="BF38">
        <f>SUM($I38:T38)</f>
        <v>-7992</v>
      </c>
    </row>
    <row r="39" spans="2:58" x14ac:dyDescent="0.3">
      <c r="B39" s="56" t="s">
        <v>1689</v>
      </c>
      <c r="C39" s="56" t="s">
        <v>1395</v>
      </c>
      <c r="D39" s="56" t="s">
        <v>1396</v>
      </c>
      <c r="E39" s="56"/>
      <c r="F39" s="8">
        <v>-50</v>
      </c>
      <c r="G39" s="8">
        <v>-50</v>
      </c>
      <c r="H39" s="8">
        <v>-50</v>
      </c>
      <c r="I39" s="8">
        <v>-50</v>
      </c>
      <c r="J39" s="8">
        <v>-50</v>
      </c>
      <c r="K39" s="8">
        <v>-50</v>
      </c>
      <c r="L39" s="8">
        <v>-50</v>
      </c>
      <c r="M39" s="8">
        <v>-50</v>
      </c>
      <c r="N39" s="8">
        <v>-50</v>
      </c>
      <c r="O39" s="8">
        <v>-50</v>
      </c>
      <c r="P39" s="8">
        <v>-50</v>
      </c>
      <c r="Q39" s="8">
        <v>-50</v>
      </c>
      <c r="R39" s="8">
        <v>-50</v>
      </c>
      <c r="S39" s="8">
        <v>-50</v>
      </c>
      <c r="T39" s="8">
        <v>-50</v>
      </c>
      <c r="U39" s="8">
        <v>-50</v>
      </c>
      <c r="V39" s="8">
        <v>-50</v>
      </c>
      <c r="W39" s="8">
        <v>-50</v>
      </c>
      <c r="X39" s="8">
        <v>-50</v>
      </c>
      <c r="Y39" s="8">
        <v>-50</v>
      </c>
      <c r="Z39" s="8">
        <v>-50</v>
      </c>
      <c r="AA39" s="8">
        <v>-50</v>
      </c>
      <c r="AB39" s="8">
        <v>-50</v>
      </c>
      <c r="AC39" s="8">
        <v>-50</v>
      </c>
      <c r="AD39" s="8">
        <v>-50</v>
      </c>
      <c r="AE39" s="8">
        <v>-50</v>
      </c>
      <c r="AF39" s="8">
        <v>-50</v>
      </c>
      <c r="AG39" s="8">
        <v>-50</v>
      </c>
      <c r="AH39" s="8">
        <v>-50</v>
      </c>
      <c r="AI39" s="8">
        <v>-50</v>
      </c>
      <c r="AJ39" s="8">
        <v>-50</v>
      </c>
      <c r="AK39" s="8">
        <v>-50</v>
      </c>
      <c r="AL39" s="8">
        <v>-50</v>
      </c>
      <c r="AM39" s="8">
        <v>-50</v>
      </c>
      <c r="AN39" s="8">
        <v>-50</v>
      </c>
      <c r="AO39" s="8">
        <v>-50</v>
      </c>
      <c r="AP39" s="8">
        <v>-50</v>
      </c>
      <c r="AQ39" s="8">
        <v>-50</v>
      </c>
      <c r="AR39" s="8">
        <v>-50</v>
      </c>
      <c r="AU39">
        <f>SUM($I39:I39)</f>
        <v>-50</v>
      </c>
      <c r="AV39">
        <f>SUM($I39:J39)</f>
        <v>-100</v>
      </c>
      <c r="AW39">
        <f>SUM($I39:K39)</f>
        <v>-150</v>
      </c>
      <c r="AX39">
        <f>SUM($I39:L39)</f>
        <v>-200</v>
      </c>
      <c r="AY39">
        <f>SUM($I39:M39)</f>
        <v>-250</v>
      </c>
      <c r="AZ39">
        <f>SUM($I39:N39)</f>
        <v>-300</v>
      </c>
      <c r="BA39">
        <f>SUM($I39:O39)</f>
        <v>-350</v>
      </c>
      <c r="BB39">
        <f>SUM($I39:P39)</f>
        <v>-400</v>
      </c>
      <c r="BC39">
        <f>SUM($I39:Q39)</f>
        <v>-450</v>
      </c>
      <c r="BD39">
        <f>SUM($I39:R39)</f>
        <v>-500</v>
      </c>
      <c r="BE39">
        <f>SUM($I39:S39)</f>
        <v>-550</v>
      </c>
      <c r="BF39">
        <f>SUM($I39:T39)</f>
        <v>-600</v>
      </c>
    </row>
    <row r="40" spans="2:58" x14ac:dyDescent="0.3">
      <c r="B40" s="56" t="s">
        <v>1690</v>
      </c>
      <c r="C40" s="56" t="s">
        <v>1665</v>
      </c>
      <c r="D40" s="56" t="s">
        <v>1396</v>
      </c>
      <c r="E40" s="56"/>
      <c r="F40" s="8">
        <v>-65.990909999999985</v>
      </c>
      <c r="G40" s="8">
        <v>-65.990909999999985</v>
      </c>
      <c r="H40" s="8">
        <v>-65.990909999999985</v>
      </c>
      <c r="I40" s="8">
        <v>-65.990909999999985</v>
      </c>
      <c r="J40" s="8">
        <v>-65.990909999999985</v>
      </c>
      <c r="K40" s="8">
        <v>-65.990909999999985</v>
      </c>
      <c r="L40" s="8">
        <v>-65.990909999999985</v>
      </c>
      <c r="M40" s="8">
        <v>-65.990909999999985</v>
      </c>
      <c r="N40" s="8">
        <v>-65.990909999999985</v>
      </c>
      <c r="O40" s="8">
        <v>-65.990909999999985</v>
      </c>
      <c r="P40" s="8">
        <v>-65.990909999999985</v>
      </c>
      <c r="Q40" s="8">
        <v>-65.990909999999985</v>
      </c>
      <c r="R40" s="8">
        <v>-65.990909999999985</v>
      </c>
      <c r="S40" s="8">
        <v>-65.990909999999985</v>
      </c>
      <c r="T40" s="8">
        <v>-65.990909999999985</v>
      </c>
      <c r="U40" s="8">
        <v>-65.990909999999985</v>
      </c>
      <c r="V40" s="8">
        <v>-65.990909999999985</v>
      </c>
      <c r="W40" s="8">
        <v>-65.990909999999985</v>
      </c>
      <c r="X40" s="8">
        <v>-65.990909999999985</v>
      </c>
      <c r="Y40" s="8">
        <v>-65.990909999999985</v>
      </c>
      <c r="Z40" s="8">
        <v>-65.990909999999985</v>
      </c>
      <c r="AA40" s="8">
        <v>-65.990909999999985</v>
      </c>
      <c r="AB40" s="8">
        <v>-65.990909999999985</v>
      </c>
      <c r="AC40" s="8">
        <v>-65.990909999999985</v>
      </c>
      <c r="AD40" s="8">
        <v>-65.990909999999985</v>
      </c>
      <c r="AE40" s="8">
        <v>-65.990909999999985</v>
      </c>
      <c r="AF40" s="8">
        <v>-65.990909999999985</v>
      </c>
      <c r="AG40" s="8">
        <v>-65.990909999999985</v>
      </c>
      <c r="AH40" s="8">
        <v>-65.990909999999985</v>
      </c>
      <c r="AI40" s="8">
        <v>-65.990909999999985</v>
      </c>
      <c r="AJ40" s="8">
        <v>-65.990909999999985</v>
      </c>
      <c r="AK40" s="8">
        <v>-65.990909999999985</v>
      </c>
      <c r="AL40" s="8">
        <v>-65.990909999999985</v>
      </c>
      <c r="AM40" s="8">
        <v>-65.990909999999985</v>
      </c>
      <c r="AN40" s="8">
        <v>-65.990909999999985</v>
      </c>
      <c r="AO40" s="8">
        <v>-65.990909999999985</v>
      </c>
      <c r="AP40" s="8">
        <v>-65.990909999999985</v>
      </c>
      <c r="AQ40" s="8">
        <v>-65.990909999999985</v>
      </c>
      <c r="AR40" s="8">
        <v>-65.990909999999985</v>
      </c>
      <c r="AU40">
        <f>SUM($I40:I40)</f>
        <v>-65.990909999999985</v>
      </c>
      <c r="AV40">
        <f>SUM($I40:J40)</f>
        <v>-131.98181999999997</v>
      </c>
      <c r="AW40">
        <f>SUM($I40:K40)</f>
        <v>-197.97272999999996</v>
      </c>
      <c r="AX40">
        <f>SUM($I40:L40)</f>
        <v>-263.96363999999994</v>
      </c>
      <c r="AY40">
        <f>SUM($I40:M40)</f>
        <v>-329.95454999999993</v>
      </c>
      <c r="AZ40">
        <f>SUM($I40:N40)</f>
        <v>-395.94545999999991</v>
      </c>
      <c r="BA40">
        <f>SUM($I40:O40)</f>
        <v>-461.9363699999999</v>
      </c>
      <c r="BB40">
        <f>SUM($I40:P40)</f>
        <v>-527.92727999999988</v>
      </c>
      <c r="BC40">
        <f>SUM($I40:Q40)</f>
        <v>-593.91818999999987</v>
      </c>
      <c r="BD40">
        <f>SUM($I40:R40)</f>
        <v>-659.90909999999985</v>
      </c>
      <c r="BE40">
        <f>SUM($I40:S40)</f>
        <v>-725.90000999999984</v>
      </c>
      <c r="BF40">
        <f>SUM($I40:T40)</f>
        <v>-791.89091999999982</v>
      </c>
    </row>
    <row r="41" spans="2:58" x14ac:dyDescent="0.3">
      <c r="B41" s="56" t="s">
        <v>1691</v>
      </c>
      <c r="C41" s="56" t="s">
        <v>1670</v>
      </c>
      <c r="D41" s="56" t="s">
        <v>1396</v>
      </c>
      <c r="E41" s="56"/>
      <c r="F41" s="8">
        <v>-40</v>
      </c>
      <c r="G41" s="8">
        <v>-40</v>
      </c>
      <c r="H41" s="8">
        <v>-40</v>
      </c>
      <c r="I41" s="8">
        <v>-40</v>
      </c>
      <c r="J41" s="8">
        <v>-40</v>
      </c>
      <c r="K41" s="8">
        <v>-40</v>
      </c>
      <c r="L41" s="8">
        <v>-40</v>
      </c>
      <c r="M41" s="8">
        <v>-40</v>
      </c>
      <c r="N41" s="8">
        <v>-40</v>
      </c>
      <c r="O41" s="8">
        <v>-40</v>
      </c>
      <c r="P41" s="8">
        <v>-40</v>
      </c>
      <c r="Q41" s="8">
        <v>-40</v>
      </c>
      <c r="R41" s="8">
        <v>-40</v>
      </c>
      <c r="S41" s="8">
        <v>-40</v>
      </c>
      <c r="T41" s="8">
        <v>-40</v>
      </c>
      <c r="U41" s="8">
        <v>-40</v>
      </c>
      <c r="V41" s="8">
        <v>-40</v>
      </c>
      <c r="W41" s="8">
        <v>-40</v>
      </c>
      <c r="X41" s="8">
        <v>-40</v>
      </c>
      <c r="Y41" s="8">
        <v>-40</v>
      </c>
      <c r="Z41" s="8">
        <v>-40</v>
      </c>
      <c r="AA41" s="8">
        <v>-40</v>
      </c>
      <c r="AB41" s="8">
        <v>-40</v>
      </c>
      <c r="AC41" s="8">
        <v>-40</v>
      </c>
      <c r="AD41" s="8">
        <v>-40</v>
      </c>
      <c r="AE41" s="8">
        <v>-40</v>
      </c>
      <c r="AF41" s="8">
        <v>-40</v>
      </c>
      <c r="AG41" s="8">
        <v>-40</v>
      </c>
      <c r="AH41" s="8">
        <v>-40</v>
      </c>
      <c r="AI41" s="8">
        <v>-40</v>
      </c>
      <c r="AJ41" s="8">
        <v>-40</v>
      </c>
      <c r="AK41" s="8">
        <v>-40</v>
      </c>
      <c r="AL41" s="8">
        <v>-40</v>
      </c>
      <c r="AM41" s="8">
        <v>-40</v>
      </c>
      <c r="AN41" s="8">
        <v>-40</v>
      </c>
      <c r="AO41" s="8">
        <v>-40</v>
      </c>
      <c r="AP41" s="8">
        <v>-40</v>
      </c>
      <c r="AQ41" s="8">
        <v>-40</v>
      </c>
      <c r="AR41" s="8">
        <v>-40</v>
      </c>
      <c r="AU41">
        <f>SUM($I41:I41)</f>
        <v>-40</v>
      </c>
      <c r="AV41">
        <f>SUM($I41:J41)</f>
        <v>-80</v>
      </c>
      <c r="AW41">
        <f>SUM($I41:K41)</f>
        <v>-120</v>
      </c>
      <c r="AX41">
        <f>SUM($I41:L41)</f>
        <v>-160</v>
      </c>
      <c r="AY41">
        <f>SUM($I41:M41)</f>
        <v>-200</v>
      </c>
      <c r="AZ41">
        <f>SUM($I41:N41)</f>
        <v>-240</v>
      </c>
      <c r="BA41">
        <f>SUM($I41:O41)</f>
        <v>-280</v>
      </c>
      <c r="BB41">
        <f>SUM($I41:P41)</f>
        <v>-320</v>
      </c>
      <c r="BC41">
        <f>SUM($I41:Q41)</f>
        <v>-360</v>
      </c>
      <c r="BD41">
        <f>SUM($I41:R41)</f>
        <v>-400</v>
      </c>
      <c r="BE41">
        <f>SUM($I41:S41)</f>
        <v>-440</v>
      </c>
      <c r="BF41">
        <f>SUM($I41:T41)</f>
        <v>-480</v>
      </c>
    </row>
    <row r="42" spans="2:58" x14ac:dyDescent="0.3">
      <c r="B42" s="56" t="s">
        <v>1692</v>
      </c>
      <c r="C42" s="56" t="s">
        <v>1665</v>
      </c>
      <c r="D42" s="56" t="s">
        <v>1396</v>
      </c>
      <c r="E42" s="56"/>
      <c r="F42" s="8">
        <v>-200</v>
      </c>
      <c r="I42" s="8">
        <f>-500/12</f>
        <v>-41.666666666666664</v>
      </c>
      <c r="J42" s="8">
        <f t="shared" ref="J42:AR42" si="8">-500/12</f>
        <v>-41.666666666666664</v>
      </c>
      <c r="K42" s="8">
        <f t="shared" si="8"/>
        <v>-41.666666666666664</v>
      </c>
      <c r="L42" s="8">
        <f t="shared" si="8"/>
        <v>-41.666666666666664</v>
      </c>
      <c r="M42" s="8">
        <f t="shared" si="8"/>
        <v>-41.666666666666664</v>
      </c>
      <c r="N42" s="8">
        <f t="shared" si="8"/>
        <v>-41.666666666666664</v>
      </c>
      <c r="O42" s="8">
        <f t="shared" si="8"/>
        <v>-41.666666666666664</v>
      </c>
      <c r="P42" s="8">
        <f t="shared" si="8"/>
        <v>-41.666666666666664</v>
      </c>
      <c r="Q42" s="8">
        <f t="shared" si="8"/>
        <v>-41.666666666666664</v>
      </c>
      <c r="R42" s="8">
        <f t="shared" si="8"/>
        <v>-41.666666666666664</v>
      </c>
      <c r="S42" s="8">
        <f t="shared" si="8"/>
        <v>-41.666666666666664</v>
      </c>
      <c r="T42" s="8">
        <f t="shared" si="8"/>
        <v>-41.666666666666664</v>
      </c>
      <c r="U42" s="8">
        <f t="shared" si="8"/>
        <v>-41.666666666666664</v>
      </c>
      <c r="V42" s="8">
        <f t="shared" si="8"/>
        <v>-41.666666666666664</v>
      </c>
      <c r="W42" s="8">
        <f t="shared" si="8"/>
        <v>-41.666666666666664</v>
      </c>
      <c r="X42" s="8">
        <f t="shared" si="8"/>
        <v>-41.666666666666664</v>
      </c>
      <c r="Y42" s="8">
        <f t="shared" si="8"/>
        <v>-41.666666666666664</v>
      </c>
      <c r="Z42" s="8">
        <f t="shared" si="8"/>
        <v>-41.666666666666664</v>
      </c>
      <c r="AA42" s="8">
        <f t="shared" si="8"/>
        <v>-41.666666666666664</v>
      </c>
      <c r="AB42" s="8">
        <f t="shared" si="8"/>
        <v>-41.666666666666664</v>
      </c>
      <c r="AC42" s="8">
        <f t="shared" si="8"/>
        <v>-41.666666666666664</v>
      </c>
      <c r="AD42" s="8">
        <f t="shared" si="8"/>
        <v>-41.666666666666664</v>
      </c>
      <c r="AE42" s="8">
        <f t="shared" si="8"/>
        <v>-41.666666666666664</v>
      </c>
      <c r="AF42" s="8">
        <f t="shared" si="8"/>
        <v>-41.666666666666664</v>
      </c>
      <c r="AG42" s="8">
        <f t="shared" si="8"/>
        <v>-41.666666666666664</v>
      </c>
      <c r="AH42" s="8">
        <f t="shared" si="8"/>
        <v>-41.666666666666664</v>
      </c>
      <c r="AI42" s="8">
        <f t="shared" si="8"/>
        <v>-41.666666666666664</v>
      </c>
      <c r="AJ42" s="8">
        <f t="shared" si="8"/>
        <v>-41.666666666666664</v>
      </c>
      <c r="AK42" s="8">
        <f t="shared" si="8"/>
        <v>-41.666666666666664</v>
      </c>
      <c r="AL42" s="8">
        <f t="shared" si="8"/>
        <v>-41.666666666666664</v>
      </c>
      <c r="AM42" s="8">
        <f t="shared" si="8"/>
        <v>-41.666666666666664</v>
      </c>
      <c r="AN42" s="8">
        <f t="shared" si="8"/>
        <v>-41.666666666666664</v>
      </c>
      <c r="AO42" s="8">
        <f t="shared" si="8"/>
        <v>-41.666666666666664</v>
      </c>
      <c r="AP42" s="8">
        <f t="shared" si="8"/>
        <v>-41.666666666666664</v>
      </c>
      <c r="AQ42" s="8">
        <f t="shared" si="8"/>
        <v>-41.666666666666664</v>
      </c>
      <c r="AR42" s="8">
        <f t="shared" si="8"/>
        <v>-41.666666666666664</v>
      </c>
      <c r="AU42">
        <f>SUM($I42:I42)</f>
        <v>-41.666666666666664</v>
      </c>
      <c r="AV42">
        <f>SUM($I42:J42)</f>
        <v>-83.333333333333329</v>
      </c>
      <c r="AW42">
        <f>SUM($I42:K42)</f>
        <v>-125</v>
      </c>
      <c r="AX42">
        <f>SUM($I42:L42)</f>
        <v>-166.66666666666666</v>
      </c>
      <c r="AY42">
        <f>SUM($I42:M42)</f>
        <v>-208.33333333333331</v>
      </c>
      <c r="AZ42">
        <f>SUM($I42:N42)</f>
        <v>-249.99999999999997</v>
      </c>
      <c r="BA42">
        <f>SUM($I42:O42)</f>
        <v>-291.66666666666663</v>
      </c>
      <c r="BB42">
        <f>SUM($I42:P42)</f>
        <v>-333.33333333333331</v>
      </c>
      <c r="BC42">
        <f>SUM($I42:Q42)</f>
        <v>-375</v>
      </c>
      <c r="BD42">
        <f>SUM($I42:R42)</f>
        <v>-416.66666666666669</v>
      </c>
      <c r="BE42">
        <f>SUM($I42:S42)</f>
        <v>-458.33333333333337</v>
      </c>
      <c r="BF42">
        <f>SUM($I42:T42)</f>
        <v>-500.00000000000006</v>
      </c>
    </row>
    <row r="43" spans="2:58" x14ac:dyDescent="0.3">
      <c r="B43" s="56" t="s">
        <v>1410</v>
      </c>
      <c r="C43" s="56"/>
      <c r="D43" s="56" t="s">
        <v>1393</v>
      </c>
      <c r="E43" s="56"/>
      <c r="F43" s="8">
        <v>-1900</v>
      </c>
      <c r="G43" s="8">
        <v>-1900</v>
      </c>
      <c r="H43" s="8">
        <v>-1900</v>
      </c>
      <c r="I43" s="8">
        <v>-1900</v>
      </c>
      <c r="J43" s="8">
        <v>-1900</v>
      </c>
      <c r="K43" s="8">
        <v>-1900</v>
      </c>
      <c r="L43" s="8">
        <v>-1900</v>
      </c>
      <c r="M43" s="8">
        <v>-1900</v>
      </c>
      <c r="N43" s="8">
        <v>-1900</v>
      </c>
      <c r="O43" s="8">
        <v>-1900</v>
      </c>
      <c r="P43" s="8">
        <v>-1900</v>
      </c>
      <c r="Q43" s="8">
        <v>-1900</v>
      </c>
      <c r="R43" s="8">
        <v>-1900</v>
      </c>
      <c r="S43" s="8">
        <v>-1900</v>
      </c>
      <c r="T43" s="8">
        <v>-1900</v>
      </c>
      <c r="U43" s="8">
        <v>-1900</v>
      </c>
      <c r="V43" s="8">
        <v>-1900</v>
      </c>
      <c r="W43" s="8">
        <v>-1900</v>
      </c>
      <c r="X43" s="8">
        <v>-1900</v>
      </c>
      <c r="Y43" s="8">
        <v>-1900</v>
      </c>
      <c r="Z43" s="8">
        <v>-1900</v>
      </c>
      <c r="AA43" s="8">
        <v>-1900</v>
      </c>
      <c r="AB43" s="8">
        <v>-1900</v>
      </c>
      <c r="AC43" s="8">
        <v>-1900</v>
      </c>
      <c r="AD43" s="8">
        <v>-1900</v>
      </c>
      <c r="AE43" s="8">
        <v>-1900</v>
      </c>
      <c r="AF43" s="8">
        <v>-1900</v>
      </c>
      <c r="AG43" s="8">
        <v>-1900</v>
      </c>
      <c r="AH43" s="8">
        <v>-1900</v>
      </c>
      <c r="AI43" s="8">
        <v>-1900</v>
      </c>
      <c r="AJ43" s="8">
        <v>-1900</v>
      </c>
      <c r="AK43" s="8">
        <v>-1900</v>
      </c>
      <c r="AL43" s="8">
        <v>-1900</v>
      </c>
      <c r="AM43" s="8">
        <v>-1900</v>
      </c>
      <c r="AN43" s="8">
        <v>-1900</v>
      </c>
      <c r="AO43" s="8">
        <v>-1900</v>
      </c>
      <c r="AP43" s="8">
        <v>-1900</v>
      </c>
      <c r="AQ43" s="8">
        <v>-1900</v>
      </c>
      <c r="AR43" s="8">
        <v>-1900</v>
      </c>
      <c r="AU43">
        <f>SUM($I43:I43)</f>
        <v>-1900</v>
      </c>
      <c r="AV43">
        <f>SUM($I43:J43)</f>
        <v>-3800</v>
      </c>
      <c r="AW43">
        <f>SUM($I43:K43)</f>
        <v>-5700</v>
      </c>
      <c r="AX43">
        <f>SUM($I43:L43)</f>
        <v>-7600</v>
      </c>
      <c r="AY43">
        <f>SUM($I43:M43)</f>
        <v>-9500</v>
      </c>
      <c r="AZ43">
        <f>SUM($I43:N43)</f>
        <v>-11400</v>
      </c>
      <c r="BA43">
        <f>SUM($I43:O43)</f>
        <v>-13300</v>
      </c>
      <c r="BB43">
        <f>SUM($I43:P43)</f>
        <v>-15200</v>
      </c>
      <c r="BC43">
        <f>SUM($I43:Q43)</f>
        <v>-17100</v>
      </c>
      <c r="BD43">
        <f>SUM($I43:R43)</f>
        <v>-19000</v>
      </c>
      <c r="BE43">
        <f>SUM($I43:S43)</f>
        <v>-20900</v>
      </c>
      <c r="BF43">
        <f>SUM($I43:T43)</f>
        <v>-22800</v>
      </c>
    </row>
    <row r="44" spans="2:58" x14ac:dyDescent="0.3">
      <c r="B44" s="56" t="s">
        <v>1693</v>
      </c>
      <c r="C44" s="56" t="s">
        <v>1395</v>
      </c>
      <c r="D44" s="56" t="s">
        <v>1395</v>
      </c>
      <c r="E44" s="56"/>
      <c r="F44" s="8">
        <v>-50</v>
      </c>
      <c r="G44" s="8">
        <v>-50</v>
      </c>
      <c r="H44" s="8">
        <v>-50</v>
      </c>
      <c r="I44" s="8">
        <v>-50</v>
      </c>
      <c r="J44" s="8">
        <v>-50</v>
      </c>
      <c r="K44" s="8">
        <v>-50</v>
      </c>
      <c r="L44" s="8">
        <v>-50</v>
      </c>
      <c r="M44" s="8">
        <v>-50</v>
      </c>
      <c r="N44" s="8">
        <v>-50</v>
      </c>
      <c r="O44" s="8">
        <v>-50</v>
      </c>
      <c r="P44" s="8">
        <v>-50</v>
      </c>
      <c r="Q44" s="8">
        <v>-50</v>
      </c>
      <c r="R44" s="8">
        <v>-50</v>
      </c>
      <c r="S44" s="8">
        <v>-50</v>
      </c>
      <c r="T44" s="8">
        <v>-50</v>
      </c>
      <c r="U44" s="8">
        <v>-50</v>
      </c>
      <c r="V44" s="8">
        <v>-50</v>
      </c>
      <c r="W44" s="8">
        <v>-50</v>
      </c>
      <c r="X44" s="8">
        <v>-50</v>
      </c>
      <c r="Y44" s="8">
        <v>-50</v>
      </c>
      <c r="Z44" s="8">
        <v>-50</v>
      </c>
      <c r="AA44" s="8">
        <v>-50</v>
      </c>
      <c r="AB44" s="8">
        <v>-50</v>
      </c>
      <c r="AC44" s="8">
        <v>-50</v>
      </c>
      <c r="AD44" s="8">
        <v>-50</v>
      </c>
      <c r="AE44" s="8">
        <v>-50</v>
      </c>
      <c r="AF44" s="8">
        <v>-50</v>
      </c>
      <c r="AG44" s="8">
        <v>-50</v>
      </c>
      <c r="AH44" s="8">
        <v>-50</v>
      </c>
      <c r="AI44" s="8">
        <v>-50</v>
      </c>
      <c r="AJ44" s="8">
        <v>-50</v>
      </c>
      <c r="AK44" s="8">
        <v>-50</v>
      </c>
      <c r="AL44" s="8">
        <v>-50</v>
      </c>
      <c r="AM44" s="8">
        <v>-50</v>
      </c>
      <c r="AN44" s="8">
        <v>-50</v>
      </c>
      <c r="AO44" s="8">
        <v>-50</v>
      </c>
      <c r="AP44" s="8">
        <v>-50</v>
      </c>
      <c r="AQ44" s="8">
        <v>-50</v>
      </c>
      <c r="AR44" s="8">
        <v>-50</v>
      </c>
      <c r="AU44">
        <f>SUM($I44:I44)</f>
        <v>-50</v>
      </c>
      <c r="AV44">
        <f>SUM($I44:J44)</f>
        <v>-100</v>
      </c>
      <c r="AW44">
        <f>SUM($I44:K44)</f>
        <v>-150</v>
      </c>
      <c r="AX44">
        <f>SUM($I44:L44)</f>
        <v>-200</v>
      </c>
      <c r="AY44">
        <f>SUM($I44:M44)</f>
        <v>-250</v>
      </c>
      <c r="AZ44">
        <f>SUM($I44:N44)</f>
        <v>-300</v>
      </c>
      <c r="BA44">
        <f>SUM($I44:O44)</f>
        <v>-350</v>
      </c>
      <c r="BB44">
        <f>SUM($I44:P44)</f>
        <v>-400</v>
      </c>
      <c r="BC44">
        <f>SUM($I44:Q44)</f>
        <v>-450</v>
      </c>
      <c r="BD44">
        <f>SUM($I44:R44)</f>
        <v>-500</v>
      </c>
      <c r="BE44">
        <f>SUM($I44:S44)</f>
        <v>-550</v>
      </c>
      <c r="BF44">
        <f>SUM($I44:T44)</f>
        <v>-600</v>
      </c>
    </row>
    <row r="45" spans="2:58" x14ac:dyDescent="0.3">
      <c r="B45" s="56" t="s">
        <v>1694</v>
      </c>
      <c r="C45" s="56" t="s">
        <v>1670</v>
      </c>
      <c r="D45" s="56" t="s">
        <v>1396</v>
      </c>
      <c r="E45" s="56"/>
      <c r="F45" s="8">
        <v>-160</v>
      </c>
      <c r="G45" s="8">
        <v>-160</v>
      </c>
      <c r="H45" s="8">
        <v>-160</v>
      </c>
      <c r="I45" s="8">
        <v>-160</v>
      </c>
      <c r="J45" s="8">
        <v>-160</v>
      </c>
      <c r="K45" s="8">
        <v>-160</v>
      </c>
      <c r="L45" s="8">
        <v>-160</v>
      </c>
      <c r="M45" s="8">
        <v>-160</v>
      </c>
      <c r="N45" s="8">
        <v>-160</v>
      </c>
      <c r="O45" s="8">
        <v>-160</v>
      </c>
      <c r="P45" s="8">
        <v>-160</v>
      </c>
      <c r="Q45" s="8">
        <v>-160</v>
      </c>
      <c r="R45" s="8">
        <v>-160</v>
      </c>
      <c r="S45" s="8">
        <v>-160</v>
      </c>
      <c r="T45" s="8">
        <v>-160</v>
      </c>
      <c r="U45" s="8">
        <v>-160</v>
      </c>
      <c r="V45" s="8">
        <v>-160</v>
      </c>
      <c r="W45" s="8">
        <v>-160</v>
      </c>
      <c r="X45" s="8">
        <v>-160</v>
      </c>
      <c r="Y45" s="8">
        <v>-160</v>
      </c>
      <c r="Z45" s="8">
        <v>-160</v>
      </c>
      <c r="AA45" s="8">
        <v>-160</v>
      </c>
      <c r="AB45" s="8">
        <v>-160</v>
      </c>
      <c r="AC45" s="8">
        <v>-160</v>
      </c>
      <c r="AD45" s="8">
        <v>-160</v>
      </c>
      <c r="AE45" s="8">
        <v>-160</v>
      </c>
      <c r="AF45" s="8">
        <v>-160</v>
      </c>
      <c r="AG45" s="8">
        <v>-160</v>
      </c>
      <c r="AH45" s="8">
        <v>-160</v>
      </c>
      <c r="AI45" s="8">
        <v>-160</v>
      </c>
      <c r="AJ45" s="8">
        <v>-160</v>
      </c>
      <c r="AK45" s="8">
        <v>-160</v>
      </c>
      <c r="AL45" s="8">
        <v>-160</v>
      </c>
      <c r="AM45" s="8">
        <v>-160</v>
      </c>
      <c r="AN45" s="8">
        <v>-160</v>
      </c>
      <c r="AO45" s="8">
        <v>-160</v>
      </c>
      <c r="AP45" s="8">
        <v>-160</v>
      </c>
      <c r="AQ45" s="8">
        <v>-160</v>
      </c>
      <c r="AR45" s="8">
        <v>-160</v>
      </c>
      <c r="AU45">
        <f>SUM($I45:I45)</f>
        <v>-160</v>
      </c>
      <c r="AV45">
        <f>SUM($I45:J45)</f>
        <v>-320</v>
      </c>
      <c r="AW45">
        <f>SUM($I45:K45)</f>
        <v>-480</v>
      </c>
      <c r="AX45">
        <f>SUM($I45:L45)</f>
        <v>-640</v>
      </c>
      <c r="AY45">
        <f>SUM($I45:M45)</f>
        <v>-800</v>
      </c>
      <c r="AZ45">
        <f>SUM($I45:N45)</f>
        <v>-960</v>
      </c>
      <c r="BA45">
        <f>SUM($I45:O45)</f>
        <v>-1120</v>
      </c>
      <c r="BB45">
        <f>SUM($I45:P45)</f>
        <v>-1280</v>
      </c>
      <c r="BC45">
        <f>SUM($I45:Q45)</f>
        <v>-1440</v>
      </c>
      <c r="BD45">
        <f>SUM($I45:R45)</f>
        <v>-1600</v>
      </c>
      <c r="BE45">
        <f>SUM($I45:S45)</f>
        <v>-1760</v>
      </c>
      <c r="BF45">
        <f>SUM($I45:T45)</f>
        <v>-1920</v>
      </c>
    </row>
    <row r="46" spans="2:58" x14ac:dyDescent="0.3">
      <c r="B46" s="56" t="s">
        <v>1695</v>
      </c>
      <c r="C46" s="56" t="s">
        <v>1665</v>
      </c>
      <c r="D46" s="56" t="s">
        <v>1396</v>
      </c>
      <c r="E46" s="56"/>
      <c r="F46" s="8">
        <v>-100</v>
      </c>
      <c r="G46" s="8">
        <v>-100</v>
      </c>
      <c r="H46" s="8">
        <v>-100</v>
      </c>
      <c r="I46" s="8">
        <v>-100</v>
      </c>
      <c r="J46" s="8">
        <v>-100</v>
      </c>
      <c r="K46" s="8">
        <v>-100</v>
      </c>
      <c r="L46" s="8">
        <v>-100</v>
      </c>
      <c r="M46" s="8">
        <v>-100</v>
      </c>
      <c r="N46" s="8">
        <v>-100</v>
      </c>
      <c r="O46" s="8">
        <v>-100</v>
      </c>
      <c r="P46" s="8">
        <v>-100</v>
      </c>
      <c r="Q46" s="8">
        <v>-100</v>
      </c>
      <c r="R46" s="8">
        <v>-100</v>
      </c>
      <c r="S46" s="8">
        <v>-100</v>
      </c>
      <c r="T46" s="8">
        <v>-100</v>
      </c>
      <c r="U46" s="8">
        <v>-100</v>
      </c>
      <c r="V46" s="8">
        <v>-100</v>
      </c>
      <c r="W46" s="8">
        <v>-100</v>
      </c>
      <c r="X46" s="8">
        <v>-100</v>
      </c>
      <c r="Y46" s="8">
        <v>-100</v>
      </c>
      <c r="Z46" s="8">
        <v>-100</v>
      </c>
      <c r="AA46" s="8">
        <v>-100</v>
      </c>
      <c r="AB46" s="8">
        <v>-100</v>
      </c>
      <c r="AC46" s="8">
        <v>-100</v>
      </c>
      <c r="AD46" s="8">
        <v>-100</v>
      </c>
      <c r="AE46" s="8">
        <v>-100</v>
      </c>
      <c r="AF46" s="8">
        <v>-100</v>
      </c>
      <c r="AG46" s="8">
        <v>-100</v>
      </c>
      <c r="AH46" s="8">
        <v>-100</v>
      </c>
      <c r="AI46" s="8">
        <v>-100</v>
      </c>
      <c r="AJ46" s="8">
        <v>-100</v>
      </c>
      <c r="AK46" s="8">
        <v>-100</v>
      </c>
      <c r="AL46" s="8">
        <v>-100</v>
      </c>
      <c r="AM46" s="8">
        <v>-100</v>
      </c>
      <c r="AN46" s="8">
        <v>-100</v>
      </c>
      <c r="AO46" s="8">
        <v>-100</v>
      </c>
      <c r="AP46" s="8">
        <v>-100</v>
      </c>
      <c r="AQ46" s="8">
        <v>-100</v>
      </c>
      <c r="AR46" s="8">
        <v>-100</v>
      </c>
      <c r="AU46">
        <f>SUM($I46:I46)</f>
        <v>-100</v>
      </c>
      <c r="AV46">
        <f>SUM($I46:J46)</f>
        <v>-200</v>
      </c>
      <c r="AW46">
        <f>SUM($I46:K46)</f>
        <v>-300</v>
      </c>
      <c r="AX46">
        <f>SUM($I46:L46)</f>
        <v>-400</v>
      </c>
      <c r="AY46">
        <f>SUM($I46:M46)</f>
        <v>-500</v>
      </c>
      <c r="AZ46">
        <f>SUM($I46:N46)</f>
        <v>-600</v>
      </c>
      <c r="BA46">
        <f>SUM($I46:O46)</f>
        <v>-700</v>
      </c>
      <c r="BB46">
        <f>SUM($I46:P46)</f>
        <v>-800</v>
      </c>
      <c r="BC46">
        <f>SUM($I46:Q46)</f>
        <v>-900</v>
      </c>
      <c r="BD46">
        <f>SUM($I46:R46)</f>
        <v>-1000</v>
      </c>
      <c r="BE46">
        <f>SUM($I46:S46)</f>
        <v>-1100</v>
      </c>
      <c r="BF46">
        <f>SUM($I46:T46)</f>
        <v>-1200</v>
      </c>
    </row>
    <row r="47" spans="2:58" x14ac:dyDescent="0.3">
      <c r="B47" s="56" t="s">
        <v>1696</v>
      </c>
      <c r="C47" s="56" t="s">
        <v>1670</v>
      </c>
      <c r="D47" s="56" t="s">
        <v>1396</v>
      </c>
      <c r="E47" s="56"/>
      <c r="F47" s="8">
        <v>-69.971000000000004</v>
      </c>
      <c r="G47" s="8">
        <v>-69.971000000000004</v>
      </c>
      <c r="H47" s="8">
        <v>-69.971000000000004</v>
      </c>
      <c r="I47" s="8">
        <v>-69.971000000000004</v>
      </c>
      <c r="J47" s="8">
        <v>-69.971000000000004</v>
      </c>
      <c r="K47" s="8">
        <v>-69.971000000000004</v>
      </c>
      <c r="L47" s="8">
        <v>-69.971000000000004</v>
      </c>
      <c r="M47" s="8">
        <v>-69.971000000000004</v>
      </c>
      <c r="N47" s="8">
        <v>-69.971000000000004</v>
      </c>
      <c r="O47" s="8">
        <v>-69.971000000000004</v>
      </c>
      <c r="P47" s="8">
        <v>-69.971000000000004</v>
      </c>
      <c r="Q47" s="8">
        <v>-69.971000000000004</v>
      </c>
      <c r="R47" s="8">
        <v>-69.971000000000004</v>
      </c>
      <c r="S47" s="8">
        <v>-69.971000000000004</v>
      </c>
      <c r="T47" s="8">
        <v>-69.971000000000004</v>
      </c>
      <c r="U47" s="8">
        <v>-69.971000000000004</v>
      </c>
      <c r="V47" s="8">
        <v>-69.971000000000004</v>
      </c>
      <c r="W47" s="8">
        <v>-69.971000000000004</v>
      </c>
      <c r="X47" s="8">
        <v>-69.971000000000004</v>
      </c>
      <c r="Y47" s="8">
        <v>-69.971000000000004</v>
      </c>
      <c r="Z47" s="8">
        <v>-69.971000000000004</v>
      </c>
      <c r="AA47" s="8">
        <v>-69.971000000000004</v>
      </c>
      <c r="AB47" s="8">
        <v>-69.971000000000004</v>
      </c>
      <c r="AC47" s="8">
        <v>-69.971000000000004</v>
      </c>
      <c r="AD47" s="8">
        <v>-69.971000000000004</v>
      </c>
      <c r="AE47" s="8">
        <v>-69.971000000000004</v>
      </c>
      <c r="AF47" s="8">
        <v>-69.971000000000004</v>
      </c>
      <c r="AG47" s="8">
        <v>-69.971000000000004</v>
      </c>
      <c r="AH47" s="8">
        <v>-69.971000000000004</v>
      </c>
      <c r="AI47" s="8">
        <v>-69.971000000000004</v>
      </c>
      <c r="AJ47" s="8">
        <v>-69.971000000000004</v>
      </c>
      <c r="AK47" s="8">
        <v>-69.971000000000004</v>
      </c>
      <c r="AL47" s="8">
        <v>-69.971000000000004</v>
      </c>
      <c r="AM47" s="8">
        <v>-69.971000000000004</v>
      </c>
      <c r="AN47" s="8">
        <v>-69.971000000000004</v>
      </c>
      <c r="AO47" s="8">
        <v>-69.971000000000004</v>
      </c>
      <c r="AP47" s="8">
        <v>-69.971000000000004</v>
      </c>
      <c r="AQ47" s="8">
        <v>-69.971000000000004</v>
      </c>
      <c r="AR47" s="8">
        <v>-69.971000000000004</v>
      </c>
      <c r="AU47">
        <f>SUM($I47:I47)</f>
        <v>-69.971000000000004</v>
      </c>
      <c r="AV47">
        <f>SUM($I47:J47)</f>
        <v>-139.94200000000001</v>
      </c>
      <c r="AW47">
        <f>SUM($I47:K47)</f>
        <v>-209.91300000000001</v>
      </c>
      <c r="AX47">
        <f>SUM($I47:L47)</f>
        <v>-279.88400000000001</v>
      </c>
      <c r="AY47">
        <f>SUM($I47:M47)</f>
        <v>-349.85500000000002</v>
      </c>
      <c r="AZ47">
        <f>SUM($I47:N47)</f>
        <v>-419.82600000000002</v>
      </c>
      <c r="BA47">
        <f>SUM($I47:O47)</f>
        <v>-489.79700000000003</v>
      </c>
      <c r="BB47">
        <f>SUM($I47:P47)</f>
        <v>-559.76800000000003</v>
      </c>
      <c r="BC47">
        <f>SUM($I47:Q47)</f>
        <v>-629.73900000000003</v>
      </c>
      <c r="BD47">
        <f>SUM($I47:R47)</f>
        <v>-699.71</v>
      </c>
      <c r="BE47">
        <f>SUM($I47:S47)</f>
        <v>-769.68100000000004</v>
      </c>
      <c r="BF47">
        <f>SUM($I47:T47)</f>
        <v>-839.65200000000004</v>
      </c>
    </row>
    <row r="48" spans="2:58" x14ac:dyDescent="0.3">
      <c r="B48" s="56" t="s">
        <v>1697</v>
      </c>
      <c r="C48" s="56" t="s">
        <v>1395</v>
      </c>
      <c r="D48" s="56" t="s">
        <v>1395</v>
      </c>
      <c r="E48" s="56"/>
      <c r="F48" s="8">
        <v>-47.900000000000034</v>
      </c>
      <c r="G48" s="8">
        <v>-47.900000000000034</v>
      </c>
      <c r="H48" s="8">
        <v>-47.900000000000034</v>
      </c>
      <c r="I48" s="8">
        <v>-47.900000000000034</v>
      </c>
      <c r="J48" s="8">
        <v>-47.900000000000034</v>
      </c>
      <c r="K48" s="8">
        <v>-47.900000000000034</v>
      </c>
      <c r="L48" s="8">
        <v>-47.900000000000034</v>
      </c>
      <c r="M48" s="8">
        <v>-47.900000000000034</v>
      </c>
      <c r="N48" s="8">
        <v>-47.900000000000034</v>
      </c>
      <c r="O48" s="8">
        <v>-47.900000000000034</v>
      </c>
      <c r="P48" s="8">
        <v>-47.900000000000034</v>
      </c>
      <c r="Q48" s="8">
        <v>-47.900000000000034</v>
      </c>
      <c r="R48" s="8">
        <v>-47.900000000000034</v>
      </c>
      <c r="S48" s="8">
        <v>-47.900000000000034</v>
      </c>
      <c r="T48" s="8">
        <v>-47.900000000000034</v>
      </c>
      <c r="U48" s="8">
        <v>-47.900000000000034</v>
      </c>
      <c r="V48" s="8">
        <v>-47.900000000000034</v>
      </c>
      <c r="W48" s="8">
        <v>-47.900000000000034</v>
      </c>
      <c r="X48" s="8">
        <v>-47.900000000000034</v>
      </c>
      <c r="Y48" s="8">
        <v>-47.900000000000034</v>
      </c>
      <c r="Z48" s="8">
        <v>-47.900000000000034</v>
      </c>
      <c r="AA48" s="8">
        <v>-47.900000000000034</v>
      </c>
      <c r="AB48" s="8">
        <v>-47.900000000000034</v>
      </c>
      <c r="AC48" s="8">
        <v>-47.900000000000034</v>
      </c>
      <c r="AD48" s="8">
        <v>-47.900000000000034</v>
      </c>
      <c r="AE48" s="8">
        <v>-47.900000000000034</v>
      </c>
      <c r="AF48" s="8">
        <v>-47.900000000000034</v>
      </c>
      <c r="AG48" s="8">
        <v>-47.900000000000034</v>
      </c>
      <c r="AH48" s="8">
        <v>-47.900000000000034</v>
      </c>
      <c r="AI48" s="8">
        <v>-47.900000000000034</v>
      </c>
      <c r="AJ48" s="8">
        <v>-47.900000000000034</v>
      </c>
      <c r="AK48" s="8">
        <v>-47.900000000000034</v>
      </c>
      <c r="AL48" s="8">
        <v>-47.900000000000034</v>
      </c>
      <c r="AM48" s="8">
        <v>-47.900000000000034</v>
      </c>
      <c r="AN48" s="8">
        <v>-47.900000000000034</v>
      </c>
      <c r="AO48" s="8">
        <v>-47.900000000000034</v>
      </c>
      <c r="AP48" s="8">
        <v>-47.900000000000034</v>
      </c>
      <c r="AQ48" s="8">
        <v>-47.900000000000034</v>
      </c>
      <c r="AR48" s="8">
        <v>-47.900000000000034</v>
      </c>
      <c r="AU48">
        <f>SUM($I48:I48)</f>
        <v>-47.900000000000034</v>
      </c>
      <c r="AV48">
        <f>SUM($I48:J48)</f>
        <v>-95.800000000000068</v>
      </c>
      <c r="AW48">
        <f>SUM($I48:K48)</f>
        <v>-143.7000000000001</v>
      </c>
      <c r="AX48">
        <f>SUM($I48:L48)</f>
        <v>-191.60000000000014</v>
      </c>
      <c r="AY48">
        <f>SUM($I48:M48)</f>
        <v>-239.50000000000017</v>
      </c>
      <c r="AZ48">
        <f>SUM($I48:N48)</f>
        <v>-287.4000000000002</v>
      </c>
      <c r="BA48">
        <f>SUM($I48:O48)</f>
        <v>-335.30000000000024</v>
      </c>
      <c r="BB48">
        <f>SUM($I48:P48)</f>
        <v>-383.20000000000027</v>
      </c>
      <c r="BC48">
        <f>SUM($I48:Q48)</f>
        <v>-431.10000000000031</v>
      </c>
      <c r="BD48">
        <f>SUM($I48:R48)</f>
        <v>-479.00000000000034</v>
      </c>
      <c r="BE48">
        <f>SUM($I48:S48)</f>
        <v>-526.90000000000032</v>
      </c>
      <c r="BF48">
        <f>SUM($I48:T48)</f>
        <v>-574.80000000000041</v>
      </c>
    </row>
    <row r="49" spans="2:58" x14ac:dyDescent="0.3">
      <c r="B49" s="56" t="s">
        <v>1698</v>
      </c>
      <c r="C49" s="56" t="s">
        <v>1665</v>
      </c>
      <c r="D49" s="56" t="s">
        <v>1396</v>
      </c>
      <c r="E49" s="56"/>
      <c r="F49" s="8">
        <v>-65.057220000000029</v>
      </c>
      <c r="G49" s="8">
        <v>-65.057220000000029</v>
      </c>
      <c r="H49" s="8">
        <v>-65.057220000000029</v>
      </c>
      <c r="I49" s="8">
        <v>-65.057220000000029</v>
      </c>
      <c r="J49" s="8">
        <v>-65.057220000000029</v>
      </c>
      <c r="K49" s="8">
        <v>-65.057220000000029</v>
      </c>
      <c r="L49" s="8">
        <v>-65.057220000000029</v>
      </c>
      <c r="M49" s="8">
        <v>-65.057220000000029</v>
      </c>
      <c r="N49" s="8">
        <v>-65.057220000000029</v>
      </c>
      <c r="O49" s="8">
        <v>-65.057220000000029</v>
      </c>
      <c r="P49" s="8">
        <v>-65.057220000000029</v>
      </c>
      <c r="Q49" s="8">
        <v>-65.057220000000029</v>
      </c>
      <c r="R49" s="8">
        <v>-65.057220000000029</v>
      </c>
      <c r="S49" s="8">
        <v>-65.057220000000029</v>
      </c>
      <c r="T49" s="8">
        <v>-65.057220000000029</v>
      </c>
      <c r="U49" s="8">
        <v>-65.057220000000029</v>
      </c>
      <c r="V49" s="8">
        <v>-65.057220000000029</v>
      </c>
      <c r="W49" s="8">
        <v>-65.057220000000029</v>
      </c>
      <c r="X49" s="8">
        <v>-65.057220000000029</v>
      </c>
      <c r="Y49" s="8">
        <v>-65.057220000000029</v>
      </c>
      <c r="Z49" s="8">
        <v>-65.057220000000029</v>
      </c>
      <c r="AA49" s="8">
        <v>-65.057220000000029</v>
      </c>
      <c r="AB49" s="8">
        <v>-65.057220000000029</v>
      </c>
      <c r="AC49" s="8">
        <v>-65.057220000000029</v>
      </c>
      <c r="AD49" s="8">
        <v>-65.057220000000029</v>
      </c>
      <c r="AE49" s="8">
        <v>-65.057220000000029</v>
      </c>
      <c r="AF49" s="8">
        <v>-65.057220000000029</v>
      </c>
      <c r="AG49" s="8">
        <v>-65.057220000000029</v>
      </c>
      <c r="AH49" s="8">
        <v>-65.057220000000029</v>
      </c>
      <c r="AI49" s="8">
        <v>-65.057220000000029</v>
      </c>
      <c r="AJ49" s="8">
        <v>-65.057220000000029</v>
      </c>
      <c r="AK49" s="8">
        <v>-65.057220000000029</v>
      </c>
      <c r="AL49" s="8">
        <v>-65.057220000000029</v>
      </c>
      <c r="AM49" s="8">
        <v>-65.057220000000029</v>
      </c>
      <c r="AN49" s="8">
        <v>-65.057220000000029</v>
      </c>
      <c r="AO49" s="8">
        <v>-65.057220000000029</v>
      </c>
      <c r="AP49" s="8">
        <v>-65.057220000000029</v>
      </c>
      <c r="AQ49" s="8">
        <v>-65.057220000000029</v>
      </c>
      <c r="AR49" s="8">
        <v>-65.057220000000029</v>
      </c>
      <c r="AU49">
        <f>SUM($I49:I49)</f>
        <v>-65.057220000000029</v>
      </c>
      <c r="AV49">
        <f>SUM($I49:J49)</f>
        <v>-130.11444000000006</v>
      </c>
      <c r="AW49">
        <f>SUM($I49:K49)</f>
        <v>-195.17166000000009</v>
      </c>
      <c r="AX49">
        <f>SUM($I49:L49)</f>
        <v>-260.22888000000012</v>
      </c>
      <c r="AY49">
        <f>SUM($I49:M49)</f>
        <v>-325.28610000000015</v>
      </c>
      <c r="AZ49">
        <f>SUM($I49:N49)</f>
        <v>-390.34332000000018</v>
      </c>
      <c r="BA49">
        <f>SUM($I49:O49)</f>
        <v>-455.40054000000021</v>
      </c>
      <c r="BB49">
        <f>SUM($I49:P49)</f>
        <v>-520.45776000000023</v>
      </c>
      <c r="BC49">
        <f>SUM($I49:Q49)</f>
        <v>-585.51498000000026</v>
      </c>
      <c r="BD49">
        <f>SUM($I49:R49)</f>
        <v>-650.57220000000029</v>
      </c>
      <c r="BE49">
        <f>SUM($I49:S49)</f>
        <v>-715.62942000000032</v>
      </c>
      <c r="BF49">
        <f>SUM($I49:T49)</f>
        <v>-780.68664000000035</v>
      </c>
    </row>
    <row r="50" spans="2:58" x14ac:dyDescent="0.3">
      <c r="B50" s="56" t="s">
        <v>1699</v>
      </c>
      <c r="C50" s="56" t="s">
        <v>1665</v>
      </c>
      <c r="D50" s="56" t="s">
        <v>1394</v>
      </c>
      <c r="E50" s="56"/>
      <c r="F50" s="8">
        <v>-2285.2336199999991</v>
      </c>
      <c r="G50" s="8">
        <v>-2285.2336199999991</v>
      </c>
      <c r="H50" s="8">
        <v>-2285.2336199999991</v>
      </c>
      <c r="I50" s="8">
        <v>-2285.2336199999991</v>
      </c>
      <c r="J50" s="8">
        <v>-2285.2336199999991</v>
      </c>
      <c r="K50" s="8">
        <v>-2285.2336199999991</v>
      </c>
      <c r="L50" s="8">
        <v>-2285.2336199999991</v>
      </c>
      <c r="M50" s="8">
        <v>-2285.2336199999991</v>
      </c>
      <c r="N50" s="8">
        <v>-2285.2336199999991</v>
      </c>
      <c r="O50" s="8">
        <v>-2285.2336199999991</v>
      </c>
      <c r="P50" s="8">
        <v>-2285.2336199999991</v>
      </c>
      <c r="Q50" s="8">
        <v>-2285.2336199999991</v>
      </c>
      <c r="R50" s="8">
        <v>-2285.2336199999991</v>
      </c>
      <c r="S50" s="8">
        <v>-2285.2336199999991</v>
      </c>
      <c r="T50" s="8">
        <v>-2285.2336199999991</v>
      </c>
      <c r="U50" s="8">
        <v>-2285.2336199999991</v>
      </c>
      <c r="V50" s="8">
        <v>-2285.2336199999991</v>
      </c>
      <c r="W50" s="8">
        <v>-2285.2336199999991</v>
      </c>
      <c r="X50" s="8">
        <v>-2285.2336199999991</v>
      </c>
      <c r="Y50" s="8">
        <v>-2285.2336199999991</v>
      </c>
      <c r="Z50" s="8">
        <v>-2285.2336199999991</v>
      </c>
      <c r="AA50" s="8">
        <v>-2285.2336199999991</v>
      </c>
      <c r="AB50" s="8">
        <v>-2285.2336199999991</v>
      </c>
      <c r="AC50" s="8">
        <v>-2285.2336199999991</v>
      </c>
      <c r="AD50" s="8">
        <v>-2285.2336199999991</v>
      </c>
      <c r="AE50" s="8">
        <v>-2285.2336199999991</v>
      </c>
      <c r="AF50" s="8">
        <v>-2285.2336199999991</v>
      </c>
      <c r="AG50" s="8">
        <v>-2285.2336199999991</v>
      </c>
      <c r="AH50" s="8">
        <v>-2285.2336199999991</v>
      </c>
      <c r="AI50" s="8">
        <v>-2285.2336199999991</v>
      </c>
      <c r="AJ50" s="8">
        <v>-2285.2336199999991</v>
      </c>
      <c r="AK50" s="8">
        <v>-2285.2336199999991</v>
      </c>
      <c r="AL50" s="8">
        <v>-2285.2336199999991</v>
      </c>
      <c r="AM50" s="8">
        <v>-2285.2336199999991</v>
      </c>
      <c r="AN50" s="8">
        <v>-2285.2336199999991</v>
      </c>
      <c r="AO50" s="8">
        <v>-2285.2336199999991</v>
      </c>
      <c r="AP50" s="8">
        <v>-2285.2336199999991</v>
      </c>
      <c r="AQ50" s="8">
        <v>-2285.2336199999991</v>
      </c>
      <c r="AR50" s="8">
        <v>-2285.2336199999991</v>
      </c>
      <c r="AU50">
        <f>SUM($I50:I50)</f>
        <v>-2285.2336199999991</v>
      </c>
      <c r="AV50">
        <f>SUM($I50:J50)</f>
        <v>-4570.4672399999981</v>
      </c>
      <c r="AW50">
        <f>SUM($I50:K50)</f>
        <v>-6855.7008599999972</v>
      </c>
      <c r="AX50">
        <f>SUM($I50:L50)</f>
        <v>-9140.9344799999963</v>
      </c>
      <c r="AY50">
        <f>SUM($I50:M50)</f>
        <v>-11426.168099999995</v>
      </c>
      <c r="AZ50">
        <f>SUM($I50:N50)</f>
        <v>-13711.401719999994</v>
      </c>
      <c r="BA50">
        <f>SUM($I50:O50)</f>
        <v>-15996.635339999993</v>
      </c>
      <c r="BB50">
        <f>SUM($I50:P50)</f>
        <v>-18281.868959999993</v>
      </c>
      <c r="BC50">
        <f>SUM($I50:Q50)</f>
        <v>-20567.102579999992</v>
      </c>
      <c r="BD50">
        <f>SUM($I50:R50)</f>
        <v>-22852.336199999991</v>
      </c>
      <c r="BE50">
        <f>SUM($I50:S50)</f>
        <v>-25137.56981999999</v>
      </c>
      <c r="BF50">
        <f>SUM($I50:T50)</f>
        <v>-27422.803439999989</v>
      </c>
    </row>
    <row r="51" spans="2:58" x14ac:dyDescent="0.3">
      <c r="B51" s="56" t="s">
        <v>1700</v>
      </c>
      <c r="C51" s="56" t="s">
        <v>1395</v>
      </c>
      <c r="D51" s="57" t="s">
        <v>1395</v>
      </c>
      <c r="E51" s="57"/>
      <c r="F51" s="8">
        <v>-50</v>
      </c>
      <c r="G51" s="8">
        <v>-50</v>
      </c>
      <c r="H51" s="8">
        <v>-50</v>
      </c>
      <c r="I51" s="8">
        <v>-50</v>
      </c>
      <c r="J51" s="8">
        <v>-50</v>
      </c>
      <c r="K51" s="8">
        <v>-50</v>
      </c>
      <c r="L51" s="8">
        <v>-50</v>
      </c>
      <c r="M51" s="8">
        <v>-50</v>
      </c>
      <c r="N51" s="8">
        <v>-50</v>
      </c>
      <c r="O51" s="8">
        <v>-50</v>
      </c>
      <c r="P51" s="8">
        <v>-50</v>
      </c>
      <c r="Q51" s="8">
        <v>-50</v>
      </c>
      <c r="R51" s="8">
        <v>-50</v>
      </c>
      <c r="S51" s="8">
        <v>-50</v>
      </c>
      <c r="T51" s="8">
        <v>-50</v>
      </c>
      <c r="U51" s="8">
        <v>-50</v>
      </c>
      <c r="V51" s="8">
        <v>-50</v>
      </c>
      <c r="W51" s="8">
        <v>-50</v>
      </c>
      <c r="X51" s="8">
        <v>-50</v>
      </c>
      <c r="Y51" s="8">
        <v>-50</v>
      </c>
      <c r="Z51" s="8">
        <v>-50</v>
      </c>
      <c r="AA51" s="8">
        <v>-50</v>
      </c>
      <c r="AB51" s="8">
        <v>-50</v>
      </c>
      <c r="AC51" s="8">
        <v>-50</v>
      </c>
      <c r="AD51" s="8">
        <v>-50</v>
      </c>
      <c r="AE51" s="8">
        <v>-50</v>
      </c>
      <c r="AF51" s="8">
        <v>-50</v>
      </c>
      <c r="AG51" s="8">
        <v>-50</v>
      </c>
      <c r="AH51" s="8">
        <v>-50</v>
      </c>
      <c r="AI51" s="8">
        <v>-50</v>
      </c>
      <c r="AJ51" s="8">
        <v>-50</v>
      </c>
      <c r="AK51" s="8">
        <v>-50</v>
      </c>
      <c r="AL51" s="8">
        <v>-50</v>
      </c>
      <c r="AM51" s="8">
        <v>-50</v>
      </c>
      <c r="AN51" s="8">
        <v>-50</v>
      </c>
      <c r="AO51" s="8">
        <v>-50</v>
      </c>
      <c r="AP51" s="8">
        <v>-50</v>
      </c>
      <c r="AQ51" s="8">
        <v>-50</v>
      </c>
      <c r="AR51" s="8">
        <v>-50</v>
      </c>
      <c r="AU51">
        <f>SUM($I51:I51)</f>
        <v>-50</v>
      </c>
      <c r="AV51">
        <f>SUM($I51:J51)</f>
        <v>-100</v>
      </c>
      <c r="AW51">
        <f>SUM($I51:K51)</f>
        <v>-150</v>
      </c>
      <c r="AX51">
        <f>SUM($I51:L51)</f>
        <v>-200</v>
      </c>
      <c r="AY51">
        <f>SUM($I51:M51)</f>
        <v>-250</v>
      </c>
      <c r="AZ51">
        <f>SUM($I51:N51)</f>
        <v>-300</v>
      </c>
      <c r="BA51">
        <f>SUM($I51:O51)</f>
        <v>-350</v>
      </c>
      <c r="BB51">
        <f>SUM($I51:P51)</f>
        <v>-400</v>
      </c>
      <c r="BC51">
        <f>SUM($I51:Q51)</f>
        <v>-450</v>
      </c>
      <c r="BD51">
        <f>SUM($I51:R51)</f>
        <v>-500</v>
      </c>
      <c r="BE51">
        <f>SUM($I51:S51)</f>
        <v>-550</v>
      </c>
      <c r="BF51">
        <f>SUM($I51:T51)</f>
        <v>-600</v>
      </c>
    </row>
    <row r="52" spans="2:58" x14ac:dyDescent="0.3">
      <c r="B52" s="56"/>
      <c r="C52" s="56"/>
      <c r="D52" s="57"/>
      <c r="E52" s="57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</row>
    <row r="53" spans="2:58" x14ac:dyDescent="0.3">
      <c r="B53" s="56"/>
      <c r="C53" s="56"/>
      <c r="D53" s="57"/>
      <c r="E53" s="57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</row>
    <row r="54" spans="2:58" x14ac:dyDescent="0.3">
      <c r="B54" s="56"/>
      <c r="C54" s="56"/>
      <c r="D54" s="57"/>
      <c r="E54" s="57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</row>
    <row r="55" spans="2:58" x14ac:dyDescent="0.3">
      <c r="B55" s="56"/>
      <c r="C55" s="56"/>
      <c r="D55" s="57"/>
      <c r="E55" s="57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</row>
    <row r="57" spans="2:58" x14ac:dyDescent="0.3">
      <c r="B57" s="15" t="s">
        <v>1397</v>
      </c>
      <c r="C57" s="15"/>
      <c r="F57" s="8">
        <f>SUM(F8:F56)</f>
        <v>-24319.589940000002</v>
      </c>
      <c r="G57" s="8">
        <f t="shared" ref="G57:AR57" si="9">SUM(G8:G56)</f>
        <v>-22040.677560000004</v>
      </c>
      <c r="H57" s="8">
        <f t="shared" si="9"/>
        <v>-22390.677560000004</v>
      </c>
      <c r="I57" s="8">
        <f t="shared" si="9"/>
        <v>-22643.730173333337</v>
      </c>
      <c r="J57" s="8">
        <f t="shared" si="9"/>
        <v>-22643.730173333337</v>
      </c>
      <c r="K57" s="8">
        <f t="shared" si="9"/>
        <v>-22843.730173333337</v>
      </c>
      <c r="L57" s="8">
        <f t="shared" si="9"/>
        <v>-23251.230173333337</v>
      </c>
      <c r="M57" s="8">
        <f t="shared" si="9"/>
        <v>-23251.230173333337</v>
      </c>
      <c r="N57" s="8">
        <f t="shared" si="9"/>
        <v>-24451.230173333337</v>
      </c>
      <c r="O57" s="8">
        <f t="shared" si="9"/>
        <v>-23251.230173333337</v>
      </c>
      <c r="P57" s="8">
        <f t="shared" si="9"/>
        <v>-23551.230173333337</v>
      </c>
      <c r="Q57" s="8">
        <f t="shared" si="9"/>
        <v>-23451.230173333337</v>
      </c>
      <c r="R57" s="8">
        <f t="shared" si="9"/>
        <v>-23251.230173333337</v>
      </c>
      <c r="S57" s="8">
        <f t="shared" si="9"/>
        <v>-23251.230173333337</v>
      </c>
      <c r="T57" s="8">
        <f t="shared" si="9"/>
        <v>-23450.230173333337</v>
      </c>
      <c r="U57" s="8">
        <f>SUM(U8:U56)</f>
        <v>-23450.230173333337</v>
      </c>
      <c r="V57" s="8">
        <f t="shared" si="9"/>
        <v>-23450.230173333337</v>
      </c>
      <c r="W57" s="8">
        <f t="shared" si="9"/>
        <v>-23450.230173333337</v>
      </c>
      <c r="X57" s="8">
        <f t="shared" si="9"/>
        <v>-22842.730173333337</v>
      </c>
      <c r="Y57" s="8">
        <f t="shared" si="9"/>
        <v>-22842.730173333337</v>
      </c>
      <c r="Z57" s="8">
        <f t="shared" si="9"/>
        <v>-22842.730173333337</v>
      </c>
      <c r="AA57" s="8">
        <f t="shared" si="9"/>
        <v>-22842.730173333337</v>
      </c>
      <c r="AB57" s="8">
        <f t="shared" si="9"/>
        <v>-22842.730173333337</v>
      </c>
      <c r="AC57" s="8">
        <f t="shared" si="9"/>
        <v>-22842.730173333337</v>
      </c>
      <c r="AD57" s="8">
        <f t="shared" si="9"/>
        <v>-22842.730173333337</v>
      </c>
      <c r="AE57" s="8">
        <f t="shared" si="9"/>
        <v>-22842.730173333337</v>
      </c>
      <c r="AF57" s="8">
        <f t="shared" si="9"/>
        <v>-22842.730173333337</v>
      </c>
      <c r="AG57" s="8">
        <f t="shared" si="9"/>
        <v>-22842.730173333337</v>
      </c>
      <c r="AH57" s="8">
        <f t="shared" si="9"/>
        <v>-22842.730173333337</v>
      </c>
      <c r="AI57" s="8">
        <f t="shared" si="9"/>
        <v>-22842.730173333337</v>
      </c>
      <c r="AJ57" s="8">
        <f t="shared" si="9"/>
        <v>-22842.730173333337</v>
      </c>
      <c r="AK57" s="8">
        <f t="shared" si="9"/>
        <v>-22842.730173333337</v>
      </c>
      <c r="AL57" s="8">
        <f t="shared" si="9"/>
        <v>-22842.730173333337</v>
      </c>
      <c r="AM57" s="8">
        <f t="shared" si="9"/>
        <v>-22842.730173333337</v>
      </c>
      <c r="AN57" s="8">
        <f t="shared" si="9"/>
        <v>-22842.730173333337</v>
      </c>
      <c r="AO57" s="8">
        <f t="shared" si="9"/>
        <v>-22842.730173333337</v>
      </c>
      <c r="AP57" s="8">
        <f t="shared" si="9"/>
        <v>-22842.730173333337</v>
      </c>
      <c r="AQ57" s="8">
        <f t="shared" si="9"/>
        <v>-22842.730173333337</v>
      </c>
      <c r="AR57" s="8">
        <f t="shared" si="9"/>
        <v>-22842.730173333337</v>
      </c>
    </row>
    <row r="59" spans="2:58" x14ac:dyDescent="0.3">
      <c r="D59" t="s">
        <v>1620</v>
      </c>
      <c r="F59" s="8">
        <v>-15550</v>
      </c>
      <c r="G59" s="8">
        <v>-14050</v>
      </c>
      <c r="H59" s="8">
        <v>-14050</v>
      </c>
      <c r="I59" s="8">
        <v>-14050</v>
      </c>
      <c r="J59" s="8">
        <v>-14050</v>
      </c>
      <c r="K59" s="8">
        <v>-14050</v>
      </c>
      <c r="L59" s="8">
        <v>-14657.5</v>
      </c>
      <c r="M59" s="8">
        <v>-14657.5</v>
      </c>
      <c r="N59" s="8">
        <v>-14657.5</v>
      </c>
      <c r="O59" s="8">
        <v>-14657.5</v>
      </c>
      <c r="P59" s="8">
        <v>-14657.5</v>
      </c>
      <c r="Q59" s="8">
        <v>-14657.5</v>
      </c>
      <c r="R59" s="8">
        <v>-14657.5</v>
      </c>
      <c r="S59" s="8">
        <v>-14657.5</v>
      </c>
      <c r="T59" s="8">
        <v>-14657.5</v>
      </c>
      <c r="U59" s="8">
        <v>-14657.5</v>
      </c>
      <c r="V59" s="8">
        <v>-14657.5</v>
      </c>
      <c r="W59" s="8">
        <v>-14657.5</v>
      </c>
      <c r="X59" s="8">
        <v>-14050</v>
      </c>
      <c r="Y59" s="8">
        <v>-14050</v>
      </c>
      <c r="Z59" s="8">
        <v>-14050</v>
      </c>
      <c r="AA59" s="8">
        <v>-14050</v>
      </c>
      <c r="AB59" s="8">
        <v>-14050</v>
      </c>
      <c r="AC59" s="8">
        <v>-14050</v>
      </c>
      <c r="AD59" s="8">
        <v>-14050</v>
      </c>
      <c r="AE59" s="8">
        <v>-14050</v>
      </c>
      <c r="AF59" s="8">
        <v>-14050</v>
      </c>
      <c r="AG59" s="8">
        <v>-14050</v>
      </c>
      <c r="AH59" s="8">
        <v>-14050</v>
      </c>
      <c r="AI59" s="8">
        <v>-14050</v>
      </c>
      <c r="AJ59" s="8">
        <v>-14050</v>
      </c>
      <c r="AK59" s="8">
        <v>-14050</v>
      </c>
      <c r="AL59" s="8">
        <v>-14050</v>
      </c>
      <c r="AM59" s="8">
        <v>-14050</v>
      </c>
      <c r="AN59" s="8">
        <v>-14050</v>
      </c>
      <c r="AO59" s="8">
        <v>-14050</v>
      </c>
      <c r="AP59" s="8">
        <v>-14050</v>
      </c>
      <c r="AQ59" s="8">
        <v>-14050</v>
      </c>
      <c r="AR59" s="8">
        <v>-14050</v>
      </c>
    </row>
    <row r="60" spans="2:58" x14ac:dyDescent="0.3">
      <c r="D60" t="s">
        <v>1701</v>
      </c>
      <c r="F60" s="8">
        <f>SUM(F13:F51)-F43</f>
        <v>-8769.589939999998</v>
      </c>
      <c r="G60" s="8">
        <f t="shared" ref="G60:T60" si="10">SUM(G13:G51)-G43</f>
        <v>-7990.6775599999964</v>
      </c>
      <c r="H60" s="8">
        <f t="shared" si="10"/>
        <v>-8340.6775599999964</v>
      </c>
      <c r="I60" s="8">
        <f t="shared" si="10"/>
        <v>-8593.7301733333334</v>
      </c>
      <c r="J60" s="8">
        <f t="shared" si="10"/>
        <v>-8593.7301733333334</v>
      </c>
      <c r="K60" s="8">
        <f t="shared" si="10"/>
        <v>-8793.7301733333334</v>
      </c>
      <c r="L60" s="8">
        <f t="shared" si="10"/>
        <v>-8593.7301733333334</v>
      </c>
      <c r="M60" s="8">
        <f t="shared" si="10"/>
        <v>-8593.7301733333334</v>
      </c>
      <c r="N60" s="8">
        <f t="shared" si="10"/>
        <v>-9793.7301733333315</v>
      </c>
      <c r="O60" s="8">
        <f t="shared" si="10"/>
        <v>-8593.7301733333334</v>
      </c>
      <c r="P60" s="8">
        <f t="shared" si="10"/>
        <v>-8893.7301733333315</v>
      </c>
      <c r="Q60" s="8">
        <f t="shared" si="10"/>
        <v>-8793.7301733333334</v>
      </c>
      <c r="R60" s="8">
        <f t="shared" si="10"/>
        <v>-8593.7301733333334</v>
      </c>
      <c r="S60" s="8">
        <f t="shared" si="10"/>
        <v>-8593.7301733333334</v>
      </c>
      <c r="T60" s="8">
        <f t="shared" si="10"/>
        <v>-8792.7301733333334</v>
      </c>
      <c r="U60" s="8">
        <f t="shared" ref="U60:AR60" si="11">SUM(U13:U51)-U43</f>
        <v>-8792.7301733333334</v>
      </c>
      <c r="V60" s="8">
        <f t="shared" si="11"/>
        <v>-8792.7301733333334</v>
      </c>
      <c r="W60" s="8">
        <f t="shared" si="11"/>
        <v>-8792.7301733333334</v>
      </c>
      <c r="X60" s="8">
        <f t="shared" si="11"/>
        <v>-8792.7301733333334</v>
      </c>
      <c r="Y60" s="8">
        <f t="shared" si="11"/>
        <v>-8792.7301733333334</v>
      </c>
      <c r="Z60" s="8">
        <f t="shared" si="11"/>
        <v>-8792.7301733333334</v>
      </c>
      <c r="AA60" s="8">
        <f t="shared" si="11"/>
        <v>-8792.7301733333334</v>
      </c>
      <c r="AB60" s="8">
        <f t="shared" si="11"/>
        <v>-8792.7301733333334</v>
      </c>
      <c r="AC60" s="8">
        <f t="shared" si="11"/>
        <v>-8792.7301733333334</v>
      </c>
      <c r="AD60" s="8">
        <f t="shared" si="11"/>
        <v>-8792.7301733333334</v>
      </c>
      <c r="AE60" s="8">
        <f t="shared" si="11"/>
        <v>-8792.7301733333334</v>
      </c>
      <c r="AF60" s="8">
        <f t="shared" si="11"/>
        <v>-8792.7301733333334</v>
      </c>
      <c r="AG60" s="8">
        <f t="shared" si="11"/>
        <v>-8792.7301733333334</v>
      </c>
      <c r="AH60" s="8">
        <f t="shared" si="11"/>
        <v>-8792.7301733333334</v>
      </c>
      <c r="AI60" s="8">
        <f t="shared" si="11"/>
        <v>-8792.7301733333334</v>
      </c>
      <c r="AJ60" s="8">
        <f t="shared" si="11"/>
        <v>-8792.7301733333334</v>
      </c>
      <c r="AK60" s="8">
        <f t="shared" si="11"/>
        <v>-8792.7301733333334</v>
      </c>
      <c r="AL60" s="8">
        <f t="shared" si="11"/>
        <v>-8792.7301733333334</v>
      </c>
      <c r="AM60" s="8">
        <f t="shared" si="11"/>
        <v>-8792.7301733333334</v>
      </c>
      <c r="AN60" s="8">
        <f t="shared" si="11"/>
        <v>-8792.7301733333334</v>
      </c>
      <c r="AO60" s="8">
        <f t="shared" si="11"/>
        <v>-8792.7301733333334</v>
      </c>
      <c r="AP60" s="8">
        <f t="shared" si="11"/>
        <v>-8792.7301733333334</v>
      </c>
      <c r="AQ60" s="8">
        <f t="shared" si="11"/>
        <v>-8792.7301733333334</v>
      </c>
      <c r="AR60" s="8">
        <f t="shared" si="11"/>
        <v>-8792.7301733333334</v>
      </c>
    </row>
    <row r="61" spans="2:58" x14ac:dyDescent="0.3">
      <c r="F61" s="8">
        <f>F59+F60-F57</f>
        <v>0</v>
      </c>
      <c r="G61" s="8">
        <f t="shared" ref="G61:T61" si="12">G59+G60-G57</f>
        <v>0</v>
      </c>
      <c r="H61" s="8">
        <f t="shared" si="12"/>
        <v>0</v>
      </c>
      <c r="I61" s="8">
        <f t="shared" si="12"/>
        <v>0</v>
      </c>
      <c r="J61" s="8">
        <f t="shared" si="12"/>
        <v>0</v>
      </c>
      <c r="K61" s="8">
        <f t="shared" si="12"/>
        <v>0</v>
      </c>
      <c r="L61" s="8">
        <f t="shared" si="12"/>
        <v>0</v>
      </c>
      <c r="M61" s="8">
        <f t="shared" si="12"/>
        <v>0</v>
      </c>
      <c r="N61" s="8">
        <f t="shared" si="12"/>
        <v>0</v>
      </c>
      <c r="O61" s="8">
        <f t="shared" si="12"/>
        <v>0</v>
      </c>
      <c r="P61" s="8">
        <f t="shared" si="12"/>
        <v>0</v>
      </c>
      <c r="Q61" s="8">
        <f t="shared" si="12"/>
        <v>0</v>
      </c>
      <c r="R61" s="8">
        <f t="shared" si="12"/>
        <v>0</v>
      </c>
      <c r="S61" s="8">
        <f t="shared" si="12"/>
        <v>0</v>
      </c>
      <c r="T61" s="8">
        <f t="shared" si="12"/>
        <v>0</v>
      </c>
    </row>
    <row r="63" spans="2:58" x14ac:dyDescent="0.3">
      <c r="D63" t="e">
        <f t="array" aca="1" ref="D63:D65" ca="1">вава(D75:D83)</f>
        <v>#NAME?</v>
      </c>
      <c r="F63" s="8">
        <f ca="1">SUMIF($C$13:$C$51,$D63,F$13:F$51)</f>
        <v>0</v>
      </c>
      <c r="G63" s="8">
        <f t="shared" ref="G63:AR65" ca="1" si="13">SUMIF($C$13:$C$51,$D63,G$13:G$51)</f>
        <v>0</v>
      </c>
      <c r="H63" s="8">
        <f t="shared" ca="1" si="13"/>
        <v>0</v>
      </c>
      <c r="I63" s="8">
        <f t="shared" ca="1" si="13"/>
        <v>0</v>
      </c>
      <c r="J63" s="8">
        <f t="shared" ca="1" si="13"/>
        <v>0</v>
      </c>
      <c r="K63" s="8">
        <f t="shared" ca="1" si="13"/>
        <v>0</v>
      </c>
      <c r="L63" s="8">
        <f t="shared" ca="1" si="13"/>
        <v>0</v>
      </c>
      <c r="M63" s="8">
        <f t="shared" ca="1" si="13"/>
        <v>0</v>
      </c>
      <c r="N63" s="8">
        <f t="shared" ca="1" si="13"/>
        <v>0</v>
      </c>
      <c r="O63" s="8">
        <f t="shared" ca="1" si="13"/>
        <v>0</v>
      </c>
      <c r="P63" s="8">
        <f t="shared" ca="1" si="13"/>
        <v>0</v>
      </c>
      <c r="Q63" s="8">
        <f t="shared" ca="1" si="13"/>
        <v>0</v>
      </c>
      <c r="R63" s="8">
        <f t="shared" ca="1" si="13"/>
        <v>0</v>
      </c>
      <c r="S63" s="8">
        <f t="shared" ca="1" si="13"/>
        <v>0</v>
      </c>
      <c r="T63" s="8">
        <f ca="1">SUMIF($C$13:$C$51,$D63,T$13:T$51)</f>
        <v>0</v>
      </c>
      <c r="U63" s="8">
        <f t="shared" ca="1" si="13"/>
        <v>0</v>
      </c>
      <c r="V63" s="8">
        <f t="shared" ca="1" si="13"/>
        <v>0</v>
      </c>
      <c r="W63" s="8">
        <f t="shared" ca="1" si="13"/>
        <v>0</v>
      </c>
      <c r="X63" s="8">
        <f t="shared" ca="1" si="13"/>
        <v>0</v>
      </c>
      <c r="Y63" s="8">
        <f t="shared" ca="1" si="13"/>
        <v>0</v>
      </c>
      <c r="Z63" s="8">
        <f t="shared" ca="1" si="13"/>
        <v>0</v>
      </c>
      <c r="AA63" s="8">
        <f t="shared" ca="1" si="13"/>
        <v>0</v>
      </c>
      <c r="AB63" s="8">
        <f t="shared" ca="1" si="13"/>
        <v>0</v>
      </c>
      <c r="AC63" s="8">
        <f t="shared" ca="1" si="13"/>
        <v>0</v>
      </c>
      <c r="AD63" s="8">
        <f t="shared" ca="1" si="13"/>
        <v>0</v>
      </c>
      <c r="AE63" s="8">
        <f t="shared" ca="1" si="13"/>
        <v>0</v>
      </c>
      <c r="AF63" s="8">
        <f t="shared" ca="1" si="13"/>
        <v>0</v>
      </c>
      <c r="AG63" s="8">
        <f t="shared" ca="1" si="13"/>
        <v>0</v>
      </c>
      <c r="AH63" s="8">
        <f t="shared" ca="1" si="13"/>
        <v>0</v>
      </c>
      <c r="AI63" s="8">
        <f t="shared" ca="1" si="13"/>
        <v>0</v>
      </c>
      <c r="AJ63" s="8">
        <f t="shared" ca="1" si="13"/>
        <v>0</v>
      </c>
      <c r="AK63" s="8">
        <f t="shared" ca="1" si="13"/>
        <v>0</v>
      </c>
      <c r="AL63" s="8">
        <f t="shared" ca="1" si="13"/>
        <v>0</v>
      </c>
      <c r="AM63" s="8">
        <f t="shared" ca="1" si="13"/>
        <v>0</v>
      </c>
      <c r="AN63" s="8">
        <f t="shared" ca="1" si="13"/>
        <v>0</v>
      </c>
      <c r="AO63" s="8">
        <f t="shared" ca="1" si="13"/>
        <v>0</v>
      </c>
      <c r="AP63" s="8">
        <f t="shared" ca="1" si="13"/>
        <v>0</v>
      </c>
      <c r="AQ63" s="8">
        <f t="shared" ca="1" si="13"/>
        <v>0</v>
      </c>
      <c r="AR63" s="8">
        <f t="shared" ca="1" si="13"/>
        <v>0</v>
      </c>
    </row>
    <row r="64" spans="2:58" x14ac:dyDescent="0.3">
      <c r="D64" t="e">
        <f ca="1"/>
        <v>#NAME?</v>
      </c>
      <c r="F64" s="8">
        <f t="shared" ref="F64:U65" ca="1" si="14">SUMIF($C$13:$C$51,$D64,F$13:F$51)</f>
        <v>0</v>
      </c>
      <c r="G64" s="8">
        <f t="shared" ca="1" si="14"/>
        <v>0</v>
      </c>
      <c r="H64" s="8">
        <f t="shared" ca="1" si="14"/>
        <v>0</v>
      </c>
      <c r="I64" s="8">
        <f t="shared" ca="1" si="14"/>
        <v>0</v>
      </c>
      <c r="J64" s="8">
        <f t="shared" ca="1" si="14"/>
        <v>0</v>
      </c>
      <c r="K64" s="8">
        <f t="shared" ca="1" si="14"/>
        <v>0</v>
      </c>
      <c r="L64" s="8">
        <f t="shared" ca="1" si="14"/>
        <v>0</v>
      </c>
      <c r="M64" s="8">
        <f t="shared" ca="1" si="14"/>
        <v>0</v>
      </c>
      <c r="N64" s="8">
        <f t="shared" ca="1" si="14"/>
        <v>0</v>
      </c>
      <c r="O64" s="8">
        <f t="shared" ca="1" si="14"/>
        <v>0</v>
      </c>
      <c r="P64" s="8">
        <f t="shared" ca="1" si="14"/>
        <v>0</v>
      </c>
      <c r="Q64" s="8">
        <f t="shared" ca="1" si="14"/>
        <v>0</v>
      </c>
      <c r="R64" s="8">
        <f t="shared" ca="1" si="14"/>
        <v>0</v>
      </c>
      <c r="S64" s="8">
        <f t="shared" ca="1" si="14"/>
        <v>0</v>
      </c>
      <c r="T64" s="8">
        <f t="shared" ca="1" si="14"/>
        <v>0</v>
      </c>
      <c r="U64" s="8">
        <f t="shared" ca="1" si="14"/>
        <v>0</v>
      </c>
      <c r="V64" s="8">
        <f t="shared" ca="1" si="13"/>
        <v>0</v>
      </c>
      <c r="W64" s="8">
        <f t="shared" ca="1" si="13"/>
        <v>0</v>
      </c>
      <c r="X64" s="8">
        <f t="shared" ca="1" si="13"/>
        <v>0</v>
      </c>
      <c r="Y64" s="8">
        <f t="shared" ca="1" si="13"/>
        <v>0</v>
      </c>
      <c r="Z64" s="8">
        <f t="shared" ca="1" si="13"/>
        <v>0</v>
      </c>
      <c r="AA64" s="8">
        <f t="shared" ca="1" si="13"/>
        <v>0</v>
      </c>
      <c r="AB64" s="8">
        <f t="shared" ca="1" si="13"/>
        <v>0</v>
      </c>
      <c r="AC64" s="8">
        <f t="shared" ca="1" si="13"/>
        <v>0</v>
      </c>
      <c r="AD64" s="8">
        <f t="shared" ca="1" si="13"/>
        <v>0</v>
      </c>
      <c r="AE64" s="8">
        <f t="shared" ca="1" si="13"/>
        <v>0</v>
      </c>
      <c r="AF64" s="8">
        <f t="shared" ca="1" si="13"/>
        <v>0</v>
      </c>
      <c r="AG64" s="8">
        <f t="shared" ca="1" si="13"/>
        <v>0</v>
      </c>
      <c r="AH64" s="8">
        <f t="shared" ca="1" si="13"/>
        <v>0</v>
      </c>
      <c r="AI64" s="8">
        <f t="shared" ca="1" si="13"/>
        <v>0</v>
      </c>
      <c r="AJ64" s="8">
        <f t="shared" ca="1" si="13"/>
        <v>0</v>
      </c>
      <c r="AK64" s="8">
        <f t="shared" ca="1" si="13"/>
        <v>0</v>
      </c>
      <c r="AL64" s="8">
        <f t="shared" ca="1" si="13"/>
        <v>0</v>
      </c>
      <c r="AM64" s="8">
        <f t="shared" ca="1" si="13"/>
        <v>0</v>
      </c>
      <c r="AN64" s="8">
        <f t="shared" ca="1" si="13"/>
        <v>0</v>
      </c>
      <c r="AO64" s="8">
        <f t="shared" ca="1" si="13"/>
        <v>0</v>
      </c>
      <c r="AP64" s="8">
        <f t="shared" ca="1" si="13"/>
        <v>0</v>
      </c>
      <c r="AQ64" s="8">
        <f t="shared" ca="1" si="13"/>
        <v>0</v>
      </c>
      <c r="AR64" s="8">
        <f t="shared" ca="1" si="13"/>
        <v>0</v>
      </c>
    </row>
    <row r="65" spans="2:44" x14ac:dyDescent="0.3">
      <c r="D65" t="e">
        <f ca="1"/>
        <v>#NAME?</v>
      </c>
      <c r="F65" s="8">
        <f t="shared" ca="1" si="14"/>
        <v>0</v>
      </c>
      <c r="G65" s="8">
        <f t="shared" ca="1" si="14"/>
        <v>0</v>
      </c>
      <c r="H65" s="8">
        <f t="shared" ca="1" si="14"/>
        <v>0</v>
      </c>
      <c r="I65" s="8">
        <f t="shared" ca="1" si="14"/>
        <v>0</v>
      </c>
      <c r="J65" s="8">
        <f t="shared" ca="1" si="14"/>
        <v>0</v>
      </c>
      <c r="K65" s="8">
        <f t="shared" ca="1" si="14"/>
        <v>0</v>
      </c>
      <c r="L65" s="8">
        <f t="shared" ca="1" si="14"/>
        <v>0</v>
      </c>
      <c r="M65" s="8">
        <f t="shared" ca="1" si="14"/>
        <v>0</v>
      </c>
      <c r="N65" s="8">
        <f t="shared" ca="1" si="14"/>
        <v>0</v>
      </c>
      <c r="O65" s="8">
        <f t="shared" ca="1" si="14"/>
        <v>0</v>
      </c>
      <c r="P65" s="8">
        <f t="shared" ca="1" si="14"/>
        <v>0</v>
      </c>
      <c r="Q65" s="8">
        <f t="shared" ca="1" si="14"/>
        <v>0</v>
      </c>
      <c r="R65" s="8">
        <f t="shared" ca="1" si="14"/>
        <v>0</v>
      </c>
      <c r="S65" s="8">
        <f t="shared" ca="1" si="14"/>
        <v>0</v>
      </c>
      <c r="T65" s="8">
        <f t="shared" ca="1" si="14"/>
        <v>0</v>
      </c>
      <c r="U65" s="8">
        <f t="shared" ca="1" si="13"/>
        <v>0</v>
      </c>
      <c r="V65" s="8">
        <f t="shared" ca="1" si="13"/>
        <v>0</v>
      </c>
      <c r="W65" s="8">
        <f t="shared" ca="1" si="13"/>
        <v>0</v>
      </c>
      <c r="X65" s="8">
        <f t="shared" ca="1" si="13"/>
        <v>0</v>
      </c>
      <c r="Y65" s="8">
        <f t="shared" ca="1" si="13"/>
        <v>0</v>
      </c>
      <c r="Z65" s="8">
        <f t="shared" ca="1" si="13"/>
        <v>0</v>
      </c>
      <c r="AA65" s="8">
        <f t="shared" ca="1" si="13"/>
        <v>0</v>
      </c>
      <c r="AB65" s="8">
        <f t="shared" ca="1" si="13"/>
        <v>0</v>
      </c>
      <c r="AC65" s="8">
        <f t="shared" ca="1" si="13"/>
        <v>0</v>
      </c>
      <c r="AD65" s="8">
        <f t="shared" ca="1" si="13"/>
        <v>0</v>
      </c>
      <c r="AE65" s="8">
        <f t="shared" ca="1" si="13"/>
        <v>0</v>
      </c>
      <c r="AF65" s="8">
        <f t="shared" ca="1" si="13"/>
        <v>0</v>
      </c>
      <c r="AG65" s="8">
        <f t="shared" ca="1" si="13"/>
        <v>0</v>
      </c>
      <c r="AH65" s="8">
        <f t="shared" ca="1" si="13"/>
        <v>0</v>
      </c>
      <c r="AI65" s="8">
        <f t="shared" ca="1" si="13"/>
        <v>0</v>
      </c>
      <c r="AJ65" s="8">
        <f t="shared" ca="1" si="13"/>
        <v>0</v>
      </c>
      <c r="AK65" s="8">
        <f t="shared" ca="1" si="13"/>
        <v>0</v>
      </c>
      <c r="AL65" s="8">
        <f t="shared" ca="1" si="13"/>
        <v>0</v>
      </c>
      <c r="AM65" s="8">
        <f t="shared" ca="1" si="13"/>
        <v>0</v>
      </c>
      <c r="AN65" s="8">
        <f t="shared" ca="1" si="13"/>
        <v>0</v>
      </c>
      <c r="AO65" s="8">
        <f t="shared" ca="1" si="13"/>
        <v>0</v>
      </c>
      <c r="AP65" s="8">
        <f t="shared" ca="1" si="13"/>
        <v>0</v>
      </c>
      <c r="AQ65" s="8">
        <f t="shared" ca="1" si="13"/>
        <v>0</v>
      </c>
      <c r="AR65" s="8">
        <f t="shared" ca="1" si="13"/>
        <v>0</v>
      </c>
    </row>
    <row r="72" spans="2:44" x14ac:dyDescent="0.3">
      <c r="B72" s="4" t="s">
        <v>1620</v>
      </c>
    </row>
    <row r="73" spans="2:44" x14ac:dyDescent="0.3">
      <c r="B73" s="4" t="s">
        <v>1658</v>
      </c>
    </row>
    <row r="74" spans="2:44" x14ac:dyDescent="0.3">
      <c r="B74" s="4" t="s">
        <v>1704</v>
      </c>
    </row>
    <row r="75" spans="2:44" x14ac:dyDescent="0.3">
      <c r="B75" s="4" t="s">
        <v>1659</v>
      </c>
      <c r="D75" s="58" t="s">
        <v>1670</v>
      </c>
      <c r="E75" s="58" t="s">
        <v>1702</v>
      </c>
      <c r="F75" s="8">
        <v>0</v>
      </c>
      <c r="G75" s="8">
        <v>0</v>
      </c>
      <c r="H75" s="8">
        <v>0</v>
      </c>
      <c r="I75" s="8">
        <v>0</v>
      </c>
      <c r="J75" s="8">
        <v>0</v>
      </c>
      <c r="K75" s="8">
        <v>0</v>
      </c>
      <c r="L75" s="8">
        <v>0</v>
      </c>
      <c r="M75" s="8">
        <v>0</v>
      </c>
      <c r="N75" s="8">
        <v>0</v>
      </c>
      <c r="O75" s="8">
        <v>0</v>
      </c>
      <c r="P75" s="8">
        <v>0</v>
      </c>
      <c r="Q75" s="8">
        <v>0</v>
      </c>
      <c r="R75" s="8">
        <v>0</v>
      </c>
      <c r="S75" s="8">
        <v>0</v>
      </c>
      <c r="T75" s="8">
        <v>0</v>
      </c>
    </row>
    <row r="76" spans="2:44" x14ac:dyDescent="0.3">
      <c r="B76" s="4" t="s">
        <v>1660</v>
      </c>
      <c r="D76" s="58" t="s">
        <v>1670</v>
      </c>
      <c r="E76" s="58" t="s">
        <v>1703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</row>
    <row r="77" spans="2:44" x14ac:dyDescent="0.3">
      <c r="B77" s="4" t="s">
        <v>1661</v>
      </c>
      <c r="D77" s="58" t="s">
        <v>1670</v>
      </c>
      <c r="E77" s="58" t="s">
        <v>1392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</row>
    <row r="78" spans="2:44" x14ac:dyDescent="0.3">
      <c r="B78" s="4" t="s">
        <v>1662</v>
      </c>
      <c r="D78" s="58" t="s">
        <v>1395</v>
      </c>
      <c r="E78" s="58" t="s">
        <v>1702</v>
      </c>
      <c r="F78" s="8">
        <v>0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0</v>
      </c>
      <c r="M78" s="8">
        <v>0</v>
      </c>
      <c r="N78" s="8">
        <v>0</v>
      </c>
      <c r="O78" s="8">
        <v>0</v>
      </c>
      <c r="P78" s="8">
        <v>0</v>
      </c>
      <c r="Q78" s="8">
        <v>0</v>
      </c>
      <c r="R78" s="8">
        <v>0</v>
      </c>
      <c r="S78" s="8">
        <v>0</v>
      </c>
      <c r="T78" s="8">
        <v>0</v>
      </c>
    </row>
    <row r="79" spans="2:44" x14ac:dyDescent="0.3">
      <c r="B79" s="4" t="s">
        <v>1663</v>
      </c>
      <c r="D79" s="58" t="s">
        <v>1395</v>
      </c>
      <c r="E79" s="58" t="s">
        <v>1703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</row>
    <row r="80" spans="2:44" x14ac:dyDescent="0.3">
      <c r="B80" s="4" t="s">
        <v>1664</v>
      </c>
      <c r="D80" s="58" t="s">
        <v>1395</v>
      </c>
      <c r="E80" s="58" t="s">
        <v>1392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>
        <v>0</v>
      </c>
      <c r="P80" s="8">
        <v>0</v>
      </c>
      <c r="Q80" s="8">
        <v>0</v>
      </c>
      <c r="R80" s="8">
        <v>0</v>
      </c>
      <c r="S80" s="8">
        <v>0</v>
      </c>
      <c r="T80" s="8">
        <v>0</v>
      </c>
    </row>
    <row r="81" spans="2:20" x14ac:dyDescent="0.3">
      <c r="B81" t="s">
        <v>1705</v>
      </c>
      <c r="D81" s="58" t="s">
        <v>1665</v>
      </c>
      <c r="E81" s="58" t="s">
        <v>1702</v>
      </c>
      <c r="F81" s="8">
        <v>0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</row>
    <row r="82" spans="2:20" x14ac:dyDescent="0.3">
      <c r="B82" s="4" t="s">
        <v>1666</v>
      </c>
      <c r="D82" s="58" t="s">
        <v>1665</v>
      </c>
      <c r="E82" s="58" t="s">
        <v>1703</v>
      </c>
      <c r="F82" s="8">
        <v>0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0</v>
      </c>
      <c r="T82" s="8">
        <v>0</v>
      </c>
    </row>
    <row r="83" spans="2:20" x14ac:dyDescent="0.3">
      <c r="B83" s="4" t="s">
        <v>1667</v>
      </c>
      <c r="D83" s="58" t="s">
        <v>1665</v>
      </c>
      <c r="E83" s="58" t="s">
        <v>1392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0</v>
      </c>
      <c r="T83" s="8">
        <v>0</v>
      </c>
    </row>
    <row r="84" spans="2:20" x14ac:dyDescent="0.3">
      <c r="B84" s="59" t="s">
        <v>1706</v>
      </c>
    </row>
    <row r="85" spans="2:20" x14ac:dyDescent="0.3">
      <c r="B85" s="59" t="s">
        <v>1707</v>
      </c>
    </row>
    <row r="86" spans="2:20" x14ac:dyDescent="0.3">
      <c r="B86" s="4" t="s">
        <v>1708</v>
      </c>
    </row>
    <row r="87" spans="2:20" x14ac:dyDescent="0.3">
      <c r="B87" s="4" t="s">
        <v>1709</v>
      </c>
    </row>
    <row r="88" spans="2:20" x14ac:dyDescent="0.3">
      <c r="B88" s="4" t="s">
        <v>1668</v>
      </c>
    </row>
    <row r="89" spans="2:20" x14ac:dyDescent="0.3">
      <c r="B89" s="4" t="s">
        <v>1669</v>
      </c>
    </row>
    <row r="90" spans="2:20" x14ac:dyDescent="0.3">
      <c r="B90" s="4" t="s">
        <v>1671</v>
      </c>
    </row>
    <row r="91" spans="2:20" x14ac:dyDescent="0.3">
      <c r="B91" s="4" t="s">
        <v>1672</v>
      </c>
    </row>
    <row r="92" spans="2:20" x14ac:dyDescent="0.3">
      <c r="B92" s="4" t="s">
        <v>1710</v>
      </c>
    </row>
    <row r="93" spans="2:20" x14ac:dyDescent="0.3">
      <c r="B93" s="4" t="s">
        <v>1673</v>
      </c>
    </row>
    <row r="94" spans="2:20" x14ac:dyDescent="0.3">
      <c r="B94" s="4" t="s">
        <v>1674</v>
      </c>
    </row>
    <row r="95" spans="2:20" x14ac:dyDescent="0.3">
      <c r="B95" s="4" t="s">
        <v>1675</v>
      </c>
    </row>
    <row r="96" spans="2:20" x14ac:dyDescent="0.3">
      <c r="B96" s="4" t="s">
        <v>1676</v>
      </c>
    </row>
    <row r="97" spans="2:2" x14ac:dyDescent="0.3">
      <c r="B97" s="4" t="s">
        <v>1677</v>
      </c>
    </row>
    <row r="98" spans="2:2" x14ac:dyDescent="0.3">
      <c r="B98" s="4" t="s">
        <v>1678</v>
      </c>
    </row>
    <row r="99" spans="2:2" x14ac:dyDescent="0.3">
      <c r="B99" s="4" t="s">
        <v>1711</v>
      </c>
    </row>
    <row r="100" spans="2:2" x14ac:dyDescent="0.3">
      <c r="B100" s="4" t="s">
        <v>1679</v>
      </c>
    </row>
    <row r="101" spans="2:2" x14ac:dyDescent="0.3">
      <c r="B101" s="4" t="s">
        <v>1712</v>
      </c>
    </row>
    <row r="102" spans="2:2" x14ac:dyDescent="0.3">
      <c r="B102" s="4" t="s">
        <v>1713</v>
      </c>
    </row>
    <row r="103" spans="2:2" x14ac:dyDescent="0.3">
      <c r="B103" s="4" t="s">
        <v>1681</v>
      </c>
    </row>
    <row r="104" spans="2:2" x14ac:dyDescent="0.3">
      <c r="B104" t="s">
        <v>1682</v>
      </c>
    </row>
    <row r="105" spans="2:2" x14ac:dyDescent="0.3">
      <c r="B105" s="60" t="s">
        <v>1714</v>
      </c>
    </row>
    <row r="106" spans="2:2" x14ac:dyDescent="0.3">
      <c r="B106" s="60" t="s">
        <v>1683</v>
      </c>
    </row>
    <row r="107" spans="2:2" x14ac:dyDescent="0.3">
      <c r="B107" t="s">
        <v>1715</v>
      </c>
    </row>
    <row r="108" spans="2:2" x14ac:dyDescent="0.3">
      <c r="B108" t="s">
        <v>1684</v>
      </c>
    </row>
    <row r="109" spans="2:2" x14ac:dyDescent="0.3">
      <c r="B109" s="60" t="s">
        <v>1396</v>
      </c>
    </row>
    <row r="110" spans="2:2" x14ac:dyDescent="0.3">
      <c r="B110" s="60" t="s">
        <v>1686</v>
      </c>
    </row>
    <row r="111" spans="2:2" x14ac:dyDescent="0.3">
      <c r="B111" s="61" t="s">
        <v>1716</v>
      </c>
    </row>
    <row r="112" spans="2:2" x14ac:dyDescent="0.3">
      <c r="B112" s="61" t="s">
        <v>1687</v>
      </c>
    </row>
    <row r="113" spans="2:2" x14ac:dyDescent="0.3">
      <c r="B113" s="8" t="s">
        <v>1688</v>
      </c>
    </row>
    <row r="114" spans="2:2" x14ac:dyDescent="0.3">
      <c r="B114" s="8" t="s">
        <v>1689</v>
      </c>
    </row>
    <row r="115" spans="2:2" x14ac:dyDescent="0.3">
      <c r="B115" s="8" t="s">
        <v>1717</v>
      </c>
    </row>
    <row r="116" spans="2:2" x14ac:dyDescent="0.3">
      <c r="B116" s="8" t="s">
        <v>1690</v>
      </c>
    </row>
    <row r="117" spans="2:2" x14ac:dyDescent="0.3">
      <c r="B117" s="8" t="s">
        <v>1718</v>
      </c>
    </row>
    <row r="118" spans="2:2" x14ac:dyDescent="0.3">
      <c r="B118" s="8" t="s">
        <v>1691</v>
      </c>
    </row>
    <row r="119" spans="2:2" x14ac:dyDescent="0.3">
      <c r="B119" s="8" t="s">
        <v>1692</v>
      </c>
    </row>
    <row r="120" spans="2:2" x14ac:dyDescent="0.3">
      <c r="B120" s="8" t="s">
        <v>1410</v>
      </c>
    </row>
    <row r="121" spans="2:2" x14ac:dyDescent="0.3">
      <c r="B121" s="8" t="s">
        <v>1693</v>
      </c>
    </row>
    <row r="122" spans="2:2" x14ac:dyDescent="0.3">
      <c r="B122" s="8" t="s">
        <v>1719</v>
      </c>
    </row>
    <row r="123" spans="2:2" x14ac:dyDescent="0.3">
      <c r="B123" s="8" t="s">
        <v>1720</v>
      </c>
    </row>
    <row r="124" spans="2:2" x14ac:dyDescent="0.3">
      <c r="B124" s="8" t="s">
        <v>1694</v>
      </c>
    </row>
    <row r="125" spans="2:2" x14ac:dyDescent="0.3">
      <c r="B125" t="s">
        <v>1695</v>
      </c>
    </row>
    <row r="126" spans="2:2" x14ac:dyDescent="0.3">
      <c r="B126" t="s">
        <v>1721</v>
      </c>
    </row>
    <row r="127" spans="2:2" x14ac:dyDescent="0.3">
      <c r="B127" s="60" t="s">
        <v>1696</v>
      </c>
    </row>
    <row r="128" spans="2:2" x14ac:dyDescent="0.3">
      <c r="B128" s="60" t="s">
        <v>1697</v>
      </c>
    </row>
    <row r="129" spans="2:2" x14ac:dyDescent="0.3">
      <c r="B129" s="61" t="s">
        <v>1722</v>
      </c>
    </row>
    <row r="130" spans="2:2" x14ac:dyDescent="0.3">
      <c r="B130" s="60" t="s">
        <v>1698</v>
      </c>
    </row>
    <row r="131" spans="2:2" x14ac:dyDescent="0.3">
      <c r="B131" t="s">
        <v>1723</v>
      </c>
    </row>
    <row r="132" spans="2:2" x14ac:dyDescent="0.3">
      <c r="B132" t="s">
        <v>1724</v>
      </c>
    </row>
    <row r="133" spans="2:2" x14ac:dyDescent="0.3">
      <c r="B133" t="s">
        <v>1725</v>
      </c>
    </row>
    <row r="134" spans="2:2" x14ac:dyDescent="0.3">
      <c r="B134" t="s">
        <v>1699</v>
      </c>
    </row>
    <row r="135" spans="2:2" x14ac:dyDescent="0.3">
      <c r="B135" t="s">
        <v>1705</v>
      </c>
    </row>
    <row r="136" spans="2:2" x14ac:dyDescent="0.3">
      <c r="B136" t="s">
        <v>1700</v>
      </c>
    </row>
  </sheetData>
  <autoFilter ref="B8:AR51" xr:uid="{12E94B3B-586B-4D4E-BC52-A1262DCAA9B9}"/>
  <conditionalFormatting sqref="B72:B136 B8:B52">
    <cfRule type="uniqueValues" dxfId="2" priority="1"/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8B06-AE33-4CC7-8C31-AA18B05F6639}">
  <sheetPr codeName="Sheet9"/>
  <dimension ref="B1:BG22"/>
  <sheetViews>
    <sheetView zoomScale="70" zoomScaleNormal="70" workbookViewId="0">
      <selection activeCell="H15" sqref="H15"/>
    </sheetView>
  </sheetViews>
  <sheetFormatPr defaultRowHeight="14.4" x14ac:dyDescent="0.3"/>
  <cols>
    <col min="2" max="2" width="10.6640625" bestFit="1" customWidth="1"/>
    <col min="3" max="3" width="7.6640625" customWidth="1"/>
    <col min="4" max="4" width="15" customWidth="1"/>
    <col min="5" max="42" width="10.109375" bestFit="1" customWidth="1"/>
    <col min="44" max="51" width="11.109375" bestFit="1" customWidth="1"/>
    <col min="52" max="55" width="12.21875" bestFit="1" customWidth="1"/>
  </cols>
  <sheetData>
    <row r="1" spans="2:59" x14ac:dyDescent="0.3">
      <c r="C1" t="s">
        <v>1454</v>
      </c>
      <c r="D1" s="1">
        <v>44927</v>
      </c>
      <c r="E1" s="1">
        <f>EOMONTH(D1,0)+1</f>
        <v>44958</v>
      </c>
      <c r="F1" s="1">
        <f t="shared" ref="F1:AP1" si="0">EOMONTH(E1,0)+1</f>
        <v>44986</v>
      </c>
      <c r="G1" s="1">
        <f t="shared" si="0"/>
        <v>45017</v>
      </c>
      <c r="H1" s="1">
        <f t="shared" si="0"/>
        <v>45047</v>
      </c>
      <c r="I1" s="1">
        <f t="shared" si="0"/>
        <v>45078</v>
      </c>
      <c r="J1" s="1">
        <f t="shared" si="0"/>
        <v>45108</v>
      </c>
      <c r="K1" s="1">
        <f t="shared" si="0"/>
        <v>45139</v>
      </c>
      <c r="L1" s="1">
        <f t="shared" si="0"/>
        <v>45170</v>
      </c>
      <c r="M1" s="1">
        <f t="shared" si="0"/>
        <v>45200</v>
      </c>
      <c r="N1" s="1">
        <f t="shared" si="0"/>
        <v>45231</v>
      </c>
      <c r="O1" s="1">
        <f t="shared" si="0"/>
        <v>45261</v>
      </c>
      <c r="P1" s="1">
        <f t="shared" si="0"/>
        <v>45292</v>
      </c>
      <c r="Q1" s="1">
        <f t="shared" si="0"/>
        <v>45323</v>
      </c>
      <c r="R1" s="1">
        <f t="shared" si="0"/>
        <v>45352</v>
      </c>
      <c r="S1" s="1">
        <f t="shared" si="0"/>
        <v>45383</v>
      </c>
      <c r="T1" s="1">
        <f t="shared" si="0"/>
        <v>45413</v>
      </c>
      <c r="U1" s="1">
        <f t="shared" si="0"/>
        <v>45444</v>
      </c>
      <c r="V1" s="1">
        <f t="shared" si="0"/>
        <v>45474</v>
      </c>
      <c r="W1" s="1">
        <f t="shared" si="0"/>
        <v>45505</v>
      </c>
      <c r="X1" s="1">
        <f t="shared" si="0"/>
        <v>45536</v>
      </c>
      <c r="Y1" s="1">
        <f t="shared" si="0"/>
        <v>45566</v>
      </c>
      <c r="Z1" s="1">
        <f t="shared" si="0"/>
        <v>45597</v>
      </c>
      <c r="AA1" s="1">
        <f t="shared" si="0"/>
        <v>45627</v>
      </c>
      <c r="AB1" s="1">
        <f t="shared" si="0"/>
        <v>45658</v>
      </c>
      <c r="AC1" s="1">
        <f t="shared" si="0"/>
        <v>45689</v>
      </c>
      <c r="AD1" s="1">
        <f t="shared" si="0"/>
        <v>45717</v>
      </c>
      <c r="AE1" s="1">
        <f t="shared" si="0"/>
        <v>45748</v>
      </c>
      <c r="AF1" s="1">
        <f t="shared" si="0"/>
        <v>45778</v>
      </c>
      <c r="AG1" s="1">
        <f t="shared" si="0"/>
        <v>45809</v>
      </c>
      <c r="AH1" s="1">
        <f t="shared" si="0"/>
        <v>45839</v>
      </c>
      <c r="AI1" s="1">
        <f t="shared" si="0"/>
        <v>45870</v>
      </c>
      <c r="AJ1" s="1">
        <f t="shared" si="0"/>
        <v>45901</v>
      </c>
      <c r="AK1" s="1">
        <f t="shared" si="0"/>
        <v>45931</v>
      </c>
      <c r="AL1" s="1">
        <f t="shared" si="0"/>
        <v>45962</v>
      </c>
      <c r="AM1" s="1">
        <f t="shared" si="0"/>
        <v>45992</v>
      </c>
      <c r="AN1" s="1">
        <f t="shared" si="0"/>
        <v>46023</v>
      </c>
      <c r="AO1" s="1">
        <f t="shared" si="0"/>
        <v>46054</v>
      </c>
      <c r="AP1" s="1">
        <f t="shared" si="0"/>
        <v>46082</v>
      </c>
    </row>
    <row r="2" spans="2:59" x14ac:dyDescent="0.3">
      <c r="C2" t="s">
        <v>1455</v>
      </c>
      <c r="D2" s="1">
        <f>EOMONTH(D1,0)</f>
        <v>44957</v>
      </c>
      <c r="E2" s="1">
        <f t="shared" ref="E2:AP2" si="1">EOMONTH(E1,0)</f>
        <v>44985</v>
      </c>
      <c r="F2" s="1">
        <f t="shared" si="1"/>
        <v>45016</v>
      </c>
      <c r="G2" s="1">
        <f t="shared" si="1"/>
        <v>45046</v>
      </c>
      <c r="H2" s="1">
        <f t="shared" si="1"/>
        <v>45077</v>
      </c>
      <c r="I2" s="1">
        <f t="shared" si="1"/>
        <v>45107</v>
      </c>
      <c r="J2" s="1">
        <f t="shared" si="1"/>
        <v>45138</v>
      </c>
      <c r="K2" s="1">
        <f t="shared" si="1"/>
        <v>45169</v>
      </c>
      <c r="L2" s="1">
        <f t="shared" si="1"/>
        <v>45199</v>
      </c>
      <c r="M2" s="1">
        <f t="shared" si="1"/>
        <v>45230</v>
      </c>
      <c r="N2" s="1">
        <f t="shared" si="1"/>
        <v>45260</v>
      </c>
      <c r="O2" s="1">
        <f t="shared" si="1"/>
        <v>45291</v>
      </c>
      <c r="P2" s="1">
        <f t="shared" si="1"/>
        <v>45322</v>
      </c>
      <c r="Q2" s="1">
        <f t="shared" si="1"/>
        <v>45351</v>
      </c>
      <c r="R2" s="1">
        <f t="shared" si="1"/>
        <v>45382</v>
      </c>
      <c r="S2" s="1">
        <f t="shared" si="1"/>
        <v>45412</v>
      </c>
      <c r="T2" s="1">
        <f t="shared" si="1"/>
        <v>45443</v>
      </c>
      <c r="U2" s="1">
        <f t="shared" si="1"/>
        <v>45473</v>
      </c>
      <c r="V2" s="1">
        <f t="shared" si="1"/>
        <v>45504</v>
      </c>
      <c r="W2" s="1">
        <f t="shared" si="1"/>
        <v>45535</v>
      </c>
      <c r="X2" s="1">
        <f t="shared" si="1"/>
        <v>45565</v>
      </c>
      <c r="Y2" s="1">
        <f t="shared" si="1"/>
        <v>45596</v>
      </c>
      <c r="Z2" s="1">
        <f t="shared" si="1"/>
        <v>45626</v>
      </c>
      <c r="AA2" s="1">
        <f t="shared" si="1"/>
        <v>45657</v>
      </c>
      <c r="AB2" s="1">
        <f t="shared" si="1"/>
        <v>45688</v>
      </c>
      <c r="AC2" s="1">
        <f t="shared" si="1"/>
        <v>45716</v>
      </c>
      <c r="AD2" s="1">
        <f t="shared" si="1"/>
        <v>45747</v>
      </c>
      <c r="AE2" s="1">
        <f t="shared" si="1"/>
        <v>45777</v>
      </c>
      <c r="AF2" s="1">
        <f t="shared" si="1"/>
        <v>45808</v>
      </c>
      <c r="AG2" s="1">
        <f t="shared" si="1"/>
        <v>45838</v>
      </c>
      <c r="AH2" s="1">
        <f t="shared" si="1"/>
        <v>45869</v>
      </c>
      <c r="AI2" s="1">
        <f t="shared" si="1"/>
        <v>45900</v>
      </c>
      <c r="AJ2" s="1">
        <f t="shared" si="1"/>
        <v>45930</v>
      </c>
      <c r="AK2" s="1">
        <f t="shared" si="1"/>
        <v>45961</v>
      </c>
      <c r="AL2" s="1">
        <f t="shared" si="1"/>
        <v>45991</v>
      </c>
      <c r="AM2" s="1">
        <f t="shared" si="1"/>
        <v>46022</v>
      </c>
      <c r="AN2" s="1">
        <f t="shared" si="1"/>
        <v>46053</v>
      </c>
      <c r="AO2" s="1">
        <f t="shared" si="1"/>
        <v>46081</v>
      </c>
      <c r="AP2" s="1">
        <f t="shared" si="1"/>
        <v>46112</v>
      </c>
    </row>
    <row r="3" spans="2:59" x14ac:dyDescent="0.3">
      <c r="C3" t="s">
        <v>1388</v>
      </c>
      <c r="D3" t="s">
        <v>1373</v>
      </c>
      <c r="E3" t="s">
        <v>1374</v>
      </c>
      <c r="F3" t="s">
        <v>1375</v>
      </c>
      <c r="G3" t="s">
        <v>1490</v>
      </c>
      <c r="H3" t="s">
        <v>1491</v>
      </c>
      <c r="I3" t="s">
        <v>1492</v>
      </c>
      <c r="J3" t="s">
        <v>1493</v>
      </c>
      <c r="K3" t="s">
        <v>1494</v>
      </c>
      <c r="L3" t="s">
        <v>1495</v>
      </c>
      <c r="M3" t="s">
        <v>1496</v>
      </c>
      <c r="N3" t="s">
        <v>1497</v>
      </c>
      <c r="O3" t="s">
        <v>1498</v>
      </c>
      <c r="P3" t="s">
        <v>1499</v>
      </c>
      <c r="Q3" t="s">
        <v>1500</v>
      </c>
      <c r="R3" t="s">
        <v>1501</v>
      </c>
      <c r="S3" t="s">
        <v>1502</v>
      </c>
      <c r="T3" t="s">
        <v>1503</v>
      </c>
      <c r="U3" t="s">
        <v>1504</v>
      </c>
      <c r="V3" t="s">
        <v>1505</v>
      </c>
      <c r="W3" t="s">
        <v>1506</v>
      </c>
      <c r="X3" t="s">
        <v>1507</v>
      </c>
      <c r="Y3" t="s">
        <v>1508</v>
      </c>
      <c r="Z3" t="s">
        <v>1509</v>
      </c>
      <c r="AA3" t="s">
        <v>1510</v>
      </c>
      <c r="AB3" t="s">
        <v>1511</v>
      </c>
      <c r="AC3" t="s">
        <v>1512</v>
      </c>
      <c r="AD3" t="s">
        <v>1513</v>
      </c>
      <c r="AE3" t="s">
        <v>1514</v>
      </c>
      <c r="AF3" t="s">
        <v>1515</v>
      </c>
      <c r="AG3" t="s">
        <v>1516</v>
      </c>
      <c r="AH3" t="s">
        <v>1517</v>
      </c>
      <c r="AI3" t="s">
        <v>1518</v>
      </c>
      <c r="AJ3" t="s">
        <v>1519</v>
      </c>
      <c r="AK3" t="s">
        <v>1520</v>
      </c>
      <c r="AL3" t="s">
        <v>1521</v>
      </c>
      <c r="AM3" t="s">
        <v>1522</v>
      </c>
      <c r="AN3" t="s">
        <v>1523</v>
      </c>
      <c r="AO3" t="s">
        <v>1524</v>
      </c>
      <c r="AP3" t="s">
        <v>1525</v>
      </c>
    </row>
    <row r="4" spans="2:59" x14ac:dyDescent="0.3">
      <c r="C4" t="s">
        <v>1372</v>
      </c>
      <c r="D4" t="s">
        <v>1538</v>
      </c>
      <c r="E4" t="s">
        <v>1538</v>
      </c>
      <c r="F4" t="s">
        <v>1538</v>
      </c>
      <c r="G4" t="s">
        <v>1539</v>
      </c>
      <c r="H4" t="s">
        <v>1539</v>
      </c>
      <c r="I4" t="s">
        <v>1539</v>
      </c>
      <c r="J4" t="s">
        <v>1539</v>
      </c>
      <c r="K4" t="s">
        <v>1539</v>
      </c>
      <c r="L4" t="s">
        <v>1539</v>
      </c>
      <c r="M4" t="s">
        <v>1539</v>
      </c>
      <c r="N4" t="s">
        <v>1539</v>
      </c>
      <c r="O4" t="s">
        <v>1539</v>
      </c>
      <c r="P4" t="s">
        <v>1539</v>
      </c>
      <c r="Q4" t="s">
        <v>1539</v>
      </c>
      <c r="R4" t="s">
        <v>1539</v>
      </c>
      <c r="S4" t="s">
        <v>1540</v>
      </c>
      <c r="T4" t="s">
        <v>1540</v>
      </c>
      <c r="U4" t="s">
        <v>1540</v>
      </c>
      <c r="V4" t="s">
        <v>1540</v>
      </c>
      <c r="W4" t="s">
        <v>1540</v>
      </c>
      <c r="X4" t="s">
        <v>1540</v>
      </c>
      <c r="Y4" t="s">
        <v>1540</v>
      </c>
      <c r="Z4" t="s">
        <v>1540</v>
      </c>
      <c r="AA4" t="s">
        <v>1540</v>
      </c>
      <c r="AB4" t="s">
        <v>1540</v>
      </c>
      <c r="AC4" t="s">
        <v>1540</v>
      </c>
      <c r="AD4" t="s">
        <v>1540</v>
      </c>
      <c r="AE4" t="s">
        <v>1541</v>
      </c>
      <c r="AF4" t="s">
        <v>1541</v>
      </c>
      <c r="AG4" t="s">
        <v>1541</v>
      </c>
      <c r="AH4" t="s">
        <v>1541</v>
      </c>
      <c r="AI4" t="s">
        <v>1541</v>
      </c>
      <c r="AJ4" t="s">
        <v>1541</v>
      </c>
      <c r="AK4" t="s">
        <v>1541</v>
      </c>
      <c r="AL4" t="s">
        <v>1541</v>
      </c>
      <c r="AM4" t="s">
        <v>1541</v>
      </c>
      <c r="AN4" t="s">
        <v>1541</v>
      </c>
      <c r="AO4" t="s">
        <v>1541</v>
      </c>
      <c r="AP4" t="s">
        <v>1541</v>
      </c>
    </row>
    <row r="5" spans="2:59" x14ac:dyDescent="0.3">
      <c r="C5" t="s">
        <v>1458</v>
      </c>
      <c r="D5">
        <v>2023</v>
      </c>
      <c r="E5">
        <v>2023</v>
      </c>
      <c r="F5">
        <v>2023</v>
      </c>
      <c r="G5">
        <v>2023</v>
      </c>
      <c r="H5">
        <v>2023</v>
      </c>
      <c r="I5">
        <v>2023</v>
      </c>
      <c r="J5">
        <v>2023</v>
      </c>
      <c r="K5">
        <v>2023</v>
      </c>
      <c r="L5">
        <v>2023</v>
      </c>
      <c r="M5">
        <v>2023</v>
      </c>
      <c r="N5">
        <v>2023</v>
      </c>
      <c r="O5">
        <v>2023</v>
      </c>
      <c r="P5">
        <v>2024</v>
      </c>
      <c r="Q5">
        <v>2024</v>
      </c>
      <c r="R5">
        <v>2024</v>
      </c>
      <c r="S5">
        <v>2024</v>
      </c>
      <c r="T5">
        <v>2024</v>
      </c>
      <c r="U5">
        <v>2024</v>
      </c>
      <c r="V5">
        <v>2024</v>
      </c>
      <c r="W5">
        <v>2024</v>
      </c>
      <c r="X5">
        <v>2024</v>
      </c>
      <c r="Y5">
        <v>2024</v>
      </c>
      <c r="Z5">
        <v>2024</v>
      </c>
      <c r="AA5">
        <v>2024</v>
      </c>
      <c r="AB5">
        <v>2025</v>
      </c>
      <c r="AC5">
        <v>2025</v>
      </c>
      <c r="AD5">
        <v>2025</v>
      </c>
      <c r="AE5">
        <v>2025</v>
      </c>
      <c r="AF5">
        <v>2025</v>
      </c>
      <c r="AG5">
        <v>2025</v>
      </c>
      <c r="AH5">
        <v>2025</v>
      </c>
      <c r="AI5">
        <v>2025</v>
      </c>
      <c r="AJ5">
        <v>2025</v>
      </c>
      <c r="AK5">
        <v>2025</v>
      </c>
      <c r="AL5">
        <v>2025</v>
      </c>
      <c r="AM5">
        <v>2025</v>
      </c>
      <c r="AN5">
        <v>2026</v>
      </c>
      <c r="AO5">
        <v>2026</v>
      </c>
      <c r="AP5">
        <v>2026</v>
      </c>
    </row>
    <row r="9" spans="2:59" x14ac:dyDescent="0.3">
      <c r="B9" t="s">
        <v>1557</v>
      </c>
      <c r="D9" s="8">
        <v>-1959677.1761841415</v>
      </c>
      <c r="E9" s="8">
        <v>-1749288.10958904</v>
      </c>
      <c r="F9" s="8">
        <v>-562271.17808219197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</v>
      </c>
      <c r="AJ9" s="8">
        <v>0</v>
      </c>
      <c r="AK9" s="8">
        <v>0</v>
      </c>
      <c r="AL9" s="8">
        <v>0</v>
      </c>
      <c r="AM9" s="8">
        <v>0</v>
      </c>
      <c r="AN9" s="8">
        <v>0</v>
      </c>
      <c r="AO9" s="8">
        <v>0</v>
      </c>
      <c r="AP9" s="8">
        <v>0</v>
      </c>
      <c r="AR9" s="8">
        <f>SUM($G9:G9)</f>
        <v>0</v>
      </c>
      <c r="AS9" s="8">
        <f>SUM($G9:H9)</f>
        <v>0</v>
      </c>
      <c r="AT9" s="8">
        <f>SUM($G9:I9)</f>
        <v>0</v>
      </c>
      <c r="AU9" s="8">
        <f>SUM($G9:J9)</f>
        <v>0</v>
      </c>
      <c r="AV9" s="8">
        <f>SUM($G9:K9)</f>
        <v>0</v>
      </c>
      <c r="AW9" s="8">
        <f>SUM($G9:L9)</f>
        <v>0</v>
      </c>
      <c r="AX9" s="8">
        <f>SUM($G9:M9)</f>
        <v>0</v>
      </c>
      <c r="AY9" s="8">
        <f>SUM($G9:N9)</f>
        <v>0</v>
      </c>
      <c r="AZ9" s="8">
        <f>SUM($G9:O9)</f>
        <v>0</v>
      </c>
      <c r="BA9" s="8">
        <f>SUM($G9:P9)</f>
        <v>0</v>
      </c>
      <c r="BB9" s="8">
        <f>SUM($G9:Q9)</f>
        <v>0</v>
      </c>
      <c r="BC9" s="8">
        <f>SUM($G9:R9)</f>
        <v>0</v>
      </c>
      <c r="BD9" s="8"/>
      <c r="BE9" s="8"/>
      <c r="BF9" s="8"/>
      <c r="BG9" s="8"/>
    </row>
    <row r="10" spans="2:59" x14ac:dyDescent="0.3">
      <c r="B10" t="s">
        <v>1558</v>
      </c>
      <c r="D10" s="8">
        <v>-33303.653718657537</v>
      </c>
      <c r="E10" s="8">
        <v>-49463.814379053321</v>
      </c>
      <c r="F10" s="8">
        <v>-1241013.1592363671</v>
      </c>
      <c r="G10" s="8">
        <v>-1241013.1592363671</v>
      </c>
      <c r="H10" s="8">
        <v>-1241013.1592363671</v>
      </c>
      <c r="I10" s="8">
        <v>-1241013.1592363671</v>
      </c>
      <c r="J10" s="8">
        <v>-1241013.1592363671</v>
      </c>
      <c r="K10" s="8">
        <v>-1241013.1592363671</v>
      </c>
      <c r="L10" s="8">
        <v>-1241013.1592363671</v>
      </c>
      <c r="M10" s="8">
        <v>-1241013.1592363671</v>
      </c>
      <c r="N10" s="8">
        <v>-1241013.1592363671</v>
      </c>
      <c r="O10" s="8">
        <v>-1241013.1592363671</v>
      </c>
      <c r="P10" s="8">
        <v>-1282380.264544246</v>
      </c>
      <c r="Q10" s="8">
        <v>-1282380.264544246</v>
      </c>
      <c r="R10" s="8">
        <v>-1282380.264544246</v>
      </c>
      <c r="S10" s="8">
        <v>-1282380.264544246</v>
      </c>
      <c r="T10" s="8">
        <v>-1282380.264544246</v>
      </c>
      <c r="U10" s="8">
        <v>-1282380.264544246</v>
      </c>
      <c r="V10" s="8">
        <v>-1282380.264544246</v>
      </c>
      <c r="W10" s="8">
        <v>-1282380.264544246</v>
      </c>
      <c r="X10" s="8">
        <v>-1282380.264544246</v>
      </c>
      <c r="Y10" s="8">
        <v>-1282380.264544246</v>
      </c>
      <c r="Z10" s="8">
        <v>-1282380.264544246</v>
      </c>
      <c r="AA10" s="8">
        <v>-1282380.264544246</v>
      </c>
      <c r="AB10" s="8">
        <v>-1282380.264544246</v>
      </c>
      <c r="AC10" s="8">
        <v>-1282380.264544246</v>
      </c>
      <c r="AD10" s="8">
        <v>-1282380.264544246</v>
      </c>
      <c r="AE10" s="8">
        <v>-1282380.264544246</v>
      </c>
      <c r="AF10" s="8">
        <v>-1282380.264544246</v>
      </c>
      <c r="AG10" s="8">
        <v>-1282380.264544246</v>
      </c>
      <c r="AH10" s="8">
        <v>-1282380.264544246</v>
      </c>
      <c r="AI10" s="8">
        <v>-1282380.264544246</v>
      </c>
      <c r="AJ10" s="8">
        <v>-1282380.264544246</v>
      </c>
      <c r="AK10" s="8">
        <v>-1282380.264544246</v>
      </c>
      <c r="AL10" s="8">
        <v>-1282380.264544246</v>
      </c>
      <c r="AM10" s="8">
        <v>-1282380.264544246</v>
      </c>
      <c r="AN10" s="8">
        <v>-1282380.264544246</v>
      </c>
      <c r="AO10" s="8">
        <v>-1282380.264544246</v>
      </c>
      <c r="AP10" s="8">
        <v>-1282380.264544246</v>
      </c>
      <c r="AR10" s="8">
        <f>SUM($G10:G10)</f>
        <v>-1241013.1592363671</v>
      </c>
      <c r="AS10" s="8">
        <f>SUM($G10:H10)</f>
        <v>-2482026.3184727342</v>
      </c>
      <c r="AT10" s="8">
        <f>SUM($G10:I10)</f>
        <v>-3723039.4777091015</v>
      </c>
      <c r="AU10" s="8">
        <f>SUM($G10:J10)</f>
        <v>-4964052.6369454684</v>
      </c>
      <c r="AV10" s="8">
        <f>SUM($G10:K10)</f>
        <v>-6205065.7961818352</v>
      </c>
      <c r="AW10" s="8">
        <f>SUM($G10:L10)</f>
        <v>-7446078.9554182021</v>
      </c>
      <c r="AX10" s="8">
        <f>SUM($G10:M10)</f>
        <v>-8687092.114654569</v>
      </c>
      <c r="AY10" s="8">
        <f>SUM($G10:N10)</f>
        <v>-9928105.2738909367</v>
      </c>
      <c r="AZ10" s="8">
        <f>SUM($G10:O10)</f>
        <v>-11169118.433127305</v>
      </c>
      <c r="BA10" s="8">
        <f>SUM($G10:P10)</f>
        <v>-12451498.697671551</v>
      </c>
      <c r="BB10" s="8">
        <f>SUM($G10:Q10)</f>
        <v>-13733878.962215798</v>
      </c>
      <c r="BC10" s="8">
        <f>SUM($G10:R10)</f>
        <v>-15016259.226760045</v>
      </c>
      <c r="BD10" s="8"/>
      <c r="BE10" s="8"/>
      <c r="BF10" s="8"/>
      <c r="BG10" s="8"/>
    </row>
    <row r="11" spans="2:59" x14ac:dyDescent="0.3">
      <c r="B11" t="s">
        <v>1561</v>
      </c>
      <c r="D11" s="8">
        <v>-166666.66666666666</v>
      </c>
      <c r="E11" s="8">
        <v>-166666.66666666666</v>
      </c>
      <c r="F11" s="8">
        <v>-83333.333333333328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>
        <v>0</v>
      </c>
      <c r="AR11" s="8">
        <f>SUM($G11:G11)</f>
        <v>0</v>
      </c>
      <c r="AS11" s="8">
        <f>SUM($G11:H11)</f>
        <v>0</v>
      </c>
      <c r="AT11" s="8">
        <f>SUM($G11:I11)</f>
        <v>0</v>
      </c>
      <c r="AU11" s="8">
        <f>SUM($G11:J11)</f>
        <v>0</v>
      </c>
      <c r="AV11" s="8">
        <f>SUM($G11:K11)</f>
        <v>0</v>
      </c>
      <c r="AW11" s="8">
        <f>SUM($G11:L11)</f>
        <v>0</v>
      </c>
      <c r="AX11" s="8">
        <f>SUM($G11:M11)</f>
        <v>0</v>
      </c>
      <c r="AY11" s="8">
        <f>SUM($G11:N11)</f>
        <v>0</v>
      </c>
      <c r="AZ11" s="8">
        <f>SUM($G11:O11)</f>
        <v>0</v>
      </c>
      <c r="BA11" s="8">
        <f>SUM($G11:P11)</f>
        <v>0</v>
      </c>
      <c r="BB11" s="8">
        <f>SUM($G11:Q11)</f>
        <v>0</v>
      </c>
      <c r="BC11" s="8">
        <f>SUM($G11:R11)</f>
        <v>0</v>
      </c>
      <c r="BD11" s="8"/>
      <c r="BE11" s="8"/>
      <c r="BF11" s="8"/>
      <c r="BG11" s="8"/>
    </row>
    <row r="12" spans="2:59" x14ac:dyDescent="0.3">
      <c r="B12" t="s">
        <v>1727</v>
      </c>
      <c r="D12" s="8">
        <v>3301292.0611232873</v>
      </c>
      <c r="E12" s="8">
        <v>3482355.9743013694</v>
      </c>
      <c r="F12" s="8">
        <v>4564230.0117041087</v>
      </c>
      <c r="G12" s="8">
        <v>4609221.3361972608</v>
      </c>
      <c r="H12" s="8">
        <v>4782470.0290520545</v>
      </c>
      <c r="I12" s="8">
        <v>4989630.4378520539</v>
      </c>
      <c r="J12" s="8">
        <v>5080777.5553643834</v>
      </c>
      <c r="K12" s="8">
        <v>5427801.9248547954</v>
      </c>
      <c r="L12" s="8">
        <v>5452456.312158904</v>
      </c>
      <c r="M12" s="8">
        <v>5507007.8239726024</v>
      </c>
      <c r="N12" s="8">
        <v>5678855.5705150682</v>
      </c>
      <c r="O12" s="8">
        <v>5702408.374142467</v>
      </c>
      <c r="P12" s="8">
        <v>5755309.1733698631</v>
      </c>
      <c r="Q12" s="8">
        <v>5930740.9117972609</v>
      </c>
      <c r="R12" s="8">
        <v>5933582.8660602737</v>
      </c>
      <c r="S12" s="8">
        <v>5933582.8660602737</v>
      </c>
      <c r="T12" s="8">
        <v>5933582.8660602737</v>
      </c>
      <c r="U12" s="8">
        <v>5933582.8660602737</v>
      </c>
      <c r="V12" s="8">
        <v>5933582.8660602737</v>
      </c>
      <c r="W12" s="8">
        <v>5933582.8660602737</v>
      </c>
      <c r="X12" s="8">
        <v>5933582.8660602737</v>
      </c>
      <c r="Y12" s="8">
        <v>5933582.8660602737</v>
      </c>
      <c r="Z12" s="8">
        <v>5933582.8660602737</v>
      </c>
      <c r="AA12" s="8">
        <v>5933582.8660602737</v>
      </c>
      <c r="AB12" s="8">
        <v>5933582.8660602737</v>
      </c>
      <c r="AC12" s="8">
        <v>5933582.8660602737</v>
      </c>
      <c r="AD12" s="8">
        <v>5933582.8660602737</v>
      </c>
      <c r="AE12" s="8">
        <v>5933582.8660602737</v>
      </c>
      <c r="AF12" s="8">
        <v>5933582.8660602737</v>
      </c>
      <c r="AG12" s="8">
        <v>5933582.8660602737</v>
      </c>
      <c r="AH12" s="8">
        <v>5933582.8660602737</v>
      </c>
      <c r="AI12" s="8">
        <v>5933582.8660602737</v>
      </c>
      <c r="AJ12" s="8">
        <v>5933582.8660602737</v>
      </c>
      <c r="AK12" s="8">
        <v>5933582.8660602737</v>
      </c>
      <c r="AL12" s="8">
        <v>5933582.8660602737</v>
      </c>
      <c r="AM12" s="8">
        <v>5933582.8660602737</v>
      </c>
      <c r="AN12" s="8">
        <v>5933582.8660602737</v>
      </c>
      <c r="AO12" s="8">
        <v>5933582.8660602737</v>
      </c>
      <c r="AP12" s="8">
        <v>5933582.8660602737</v>
      </c>
      <c r="AR12" s="8">
        <f>SUM($G12:G12)</f>
        <v>4609221.3361972608</v>
      </c>
      <c r="AS12" s="8">
        <f>SUM($G12:H12)</f>
        <v>9391691.3652493153</v>
      </c>
      <c r="AT12" s="8">
        <f>SUM($G12:I12)</f>
        <v>14381321.803101368</v>
      </c>
      <c r="AU12" s="8">
        <f>SUM($G12:J12)</f>
        <v>19462099.358465753</v>
      </c>
      <c r="AV12" s="8">
        <f>SUM($G12:K12)</f>
        <v>24889901.28332055</v>
      </c>
      <c r="AW12" s="8">
        <f>SUM($G12:L12)</f>
        <v>30342357.595479455</v>
      </c>
      <c r="AX12" s="8">
        <f>SUM($G12:M12)</f>
        <v>35849365.419452056</v>
      </c>
      <c r="AY12" s="8">
        <f>SUM($G12:N12)</f>
        <v>41528220.989967123</v>
      </c>
      <c r="AZ12" s="8">
        <f>SUM($G12:O12)</f>
        <v>47230629.364109591</v>
      </c>
      <c r="BA12" s="8">
        <f>SUM($G12:P12)</f>
        <v>52985938.537479453</v>
      </c>
      <c r="BB12" s="8">
        <f>SUM($G12:Q12)</f>
        <v>58916679.449276716</v>
      </c>
      <c r="BC12" s="8">
        <f>SUM($G12:R12)</f>
        <v>64850262.315336987</v>
      </c>
      <c r="BD12" s="8"/>
      <c r="BE12" s="8"/>
      <c r="BF12" s="8"/>
      <c r="BG12" s="8"/>
    </row>
    <row r="13" spans="2:59" x14ac:dyDescent="0.3">
      <c r="B13" t="s">
        <v>1561</v>
      </c>
      <c r="G13">
        <f>-210000000*1%/365*30</f>
        <v>-172602.73972602742</v>
      </c>
      <c r="H13">
        <f t="shared" ref="H13:AP13" si="2">-210000000*1%/365*30</f>
        <v>-172602.73972602742</v>
      </c>
      <c r="I13">
        <f t="shared" si="2"/>
        <v>-172602.73972602742</v>
      </c>
      <c r="J13">
        <f t="shared" si="2"/>
        <v>-172602.73972602742</v>
      </c>
      <c r="K13">
        <f t="shared" si="2"/>
        <v>-172602.73972602742</v>
      </c>
      <c r="L13">
        <f t="shared" si="2"/>
        <v>-172602.73972602742</v>
      </c>
      <c r="M13">
        <f t="shared" si="2"/>
        <v>-172602.73972602742</v>
      </c>
      <c r="N13">
        <f t="shared" si="2"/>
        <v>-172602.73972602742</v>
      </c>
      <c r="O13">
        <f t="shared" si="2"/>
        <v>-172602.73972602742</v>
      </c>
      <c r="P13">
        <f t="shared" si="2"/>
        <v>-172602.73972602742</v>
      </c>
      <c r="Q13">
        <f t="shared" si="2"/>
        <v>-172602.73972602742</v>
      </c>
      <c r="R13">
        <f t="shared" si="2"/>
        <v>-172602.73972602742</v>
      </c>
      <c r="S13">
        <f t="shared" si="2"/>
        <v>-172602.73972602742</v>
      </c>
      <c r="T13">
        <f t="shared" si="2"/>
        <v>-172602.73972602742</v>
      </c>
      <c r="U13">
        <f t="shared" si="2"/>
        <v>-172602.73972602742</v>
      </c>
      <c r="V13">
        <f t="shared" si="2"/>
        <v>-172602.73972602742</v>
      </c>
      <c r="W13">
        <f t="shared" si="2"/>
        <v>-172602.73972602742</v>
      </c>
      <c r="X13">
        <f t="shared" si="2"/>
        <v>-172602.73972602742</v>
      </c>
      <c r="Y13">
        <f t="shared" si="2"/>
        <v>-172602.73972602742</v>
      </c>
      <c r="Z13">
        <f t="shared" si="2"/>
        <v>-172602.73972602742</v>
      </c>
      <c r="AA13">
        <f t="shared" si="2"/>
        <v>-172602.73972602742</v>
      </c>
      <c r="AB13">
        <f t="shared" si="2"/>
        <v>-172602.73972602742</v>
      </c>
      <c r="AC13">
        <f t="shared" si="2"/>
        <v>-172602.73972602742</v>
      </c>
      <c r="AD13">
        <f t="shared" si="2"/>
        <v>-172602.73972602742</v>
      </c>
      <c r="AE13">
        <f t="shared" si="2"/>
        <v>-172602.73972602742</v>
      </c>
      <c r="AF13">
        <f t="shared" si="2"/>
        <v>-172602.73972602742</v>
      </c>
      <c r="AG13">
        <f t="shared" si="2"/>
        <v>-172602.73972602742</v>
      </c>
      <c r="AH13">
        <f t="shared" si="2"/>
        <v>-172602.73972602742</v>
      </c>
      <c r="AI13">
        <f t="shared" si="2"/>
        <v>-172602.73972602742</v>
      </c>
      <c r="AJ13">
        <f t="shared" si="2"/>
        <v>-172602.73972602742</v>
      </c>
      <c r="AK13">
        <f t="shared" si="2"/>
        <v>-172602.73972602742</v>
      </c>
      <c r="AL13">
        <f t="shared" si="2"/>
        <v>-172602.73972602742</v>
      </c>
      <c r="AM13">
        <f t="shared" si="2"/>
        <v>-172602.73972602742</v>
      </c>
      <c r="AN13">
        <f t="shared" si="2"/>
        <v>-172602.73972602742</v>
      </c>
      <c r="AO13">
        <f t="shared" si="2"/>
        <v>-172602.73972602742</v>
      </c>
      <c r="AP13">
        <f t="shared" si="2"/>
        <v>-172602.73972602742</v>
      </c>
      <c r="AR13" s="8">
        <f>SUM($G13:G13)</f>
        <v>-172602.73972602742</v>
      </c>
      <c r="AS13" s="8">
        <f>SUM($G13:H13)</f>
        <v>-345205.47945205483</v>
      </c>
      <c r="AT13" s="8">
        <f>SUM($G13:I13)</f>
        <v>-517808.21917808225</v>
      </c>
      <c r="AU13" s="8">
        <f>SUM($G13:J13)</f>
        <v>-690410.95890410966</v>
      </c>
      <c r="AV13" s="8">
        <f>SUM($G13:K13)</f>
        <v>-863013.69863013714</v>
      </c>
      <c r="AW13" s="8">
        <f>SUM($G13:L13)</f>
        <v>-1035616.4383561646</v>
      </c>
      <c r="AX13" s="8">
        <f>SUM($G13:M13)</f>
        <v>-1208219.1780821921</v>
      </c>
      <c r="AY13" s="8">
        <f>SUM($G13:N13)</f>
        <v>-1380821.9178082196</v>
      </c>
      <c r="AZ13" s="8">
        <f>SUM($G13:O13)</f>
        <v>-1553424.657534247</v>
      </c>
      <c r="BA13" s="8">
        <f>SUM($G13:P13)</f>
        <v>-1726027.3972602745</v>
      </c>
      <c r="BB13" s="8">
        <f>SUM($G13:Q13)</f>
        <v>-1898630.136986302</v>
      </c>
      <c r="BC13" s="8">
        <f>SUM($G13:R13)</f>
        <v>-2071232.8767123295</v>
      </c>
      <c r="BD13" s="8"/>
      <c r="BE13" s="8"/>
      <c r="BF13" s="8"/>
      <c r="BG13" s="8"/>
    </row>
    <row r="22" spans="2:42" x14ac:dyDescent="0.3">
      <c r="B22" t="s">
        <v>1397</v>
      </c>
      <c r="D22" s="8">
        <f>SUM(D9:D$21)</f>
        <v>1141644.5645538215</v>
      </c>
      <c r="E22" s="8">
        <f>SUM(E9:E$21)</f>
        <v>1516937.3836666092</v>
      </c>
      <c r="F22" s="8">
        <f>SUM(F9:F$21)</f>
        <v>2677612.3410522165</v>
      </c>
      <c r="G22" s="8">
        <f>SUM(G9:G$21)</f>
        <v>3195605.4372348664</v>
      </c>
      <c r="H22" s="8">
        <f>SUM(H9:H$21)</f>
        <v>3368854.1300896602</v>
      </c>
      <c r="I22" s="8">
        <f>SUM(I9:I$21)</f>
        <v>3576014.5388896596</v>
      </c>
      <c r="J22" s="8">
        <f>SUM(J9:J$21)</f>
        <v>3667161.6564019891</v>
      </c>
      <c r="K22" s="8">
        <f>SUM(K9:K$21)</f>
        <v>4014186.0258924011</v>
      </c>
      <c r="L22" s="8">
        <f>SUM(L9:L$21)</f>
        <v>4038840.4131965097</v>
      </c>
      <c r="M22" s="8">
        <f>SUM(M9:M$21)</f>
        <v>4093391.925010208</v>
      </c>
      <c r="N22" s="8">
        <f>SUM(N9:N$21)</f>
        <v>4265239.6715526739</v>
      </c>
      <c r="O22" s="8">
        <f>SUM(O9:O$21)</f>
        <v>4288792.4751800727</v>
      </c>
      <c r="P22" s="8">
        <f>SUM(P9:P$21)</f>
        <v>4300326.1690995898</v>
      </c>
      <c r="Q22" s="8">
        <f>SUM(Q9:Q$21)</f>
        <v>4475757.9075269876</v>
      </c>
      <c r="R22" s="8">
        <f>SUM(R9:R$21)</f>
        <v>4478599.8617900005</v>
      </c>
      <c r="S22" s="8">
        <f>SUM(S9:S$21)</f>
        <v>4478599.8617900005</v>
      </c>
      <c r="T22" s="8">
        <f>SUM(T9:T$21)</f>
        <v>4478599.8617900005</v>
      </c>
      <c r="U22" s="8">
        <f>SUM(U9:U$21)</f>
        <v>4478599.8617900005</v>
      </c>
      <c r="V22" s="8">
        <f>SUM(V9:V$21)</f>
        <v>4478599.8617900005</v>
      </c>
      <c r="W22" s="8">
        <f>SUM(W9:W$21)</f>
        <v>4478599.8617900005</v>
      </c>
      <c r="X22" s="8">
        <f>SUM(X9:X$21)</f>
        <v>4478599.8617900005</v>
      </c>
      <c r="Y22" s="8">
        <f>SUM(Y9:Y$21)</f>
        <v>4478599.8617900005</v>
      </c>
      <c r="Z22" s="8">
        <f>SUM(Z9:Z$21)</f>
        <v>4478599.8617900005</v>
      </c>
      <c r="AA22" s="8">
        <f>SUM(AA9:AA$21)</f>
        <v>4478599.8617900005</v>
      </c>
      <c r="AB22" s="8">
        <f>SUM(AB9:AB$21)</f>
        <v>4478599.8617900005</v>
      </c>
      <c r="AC22" s="8">
        <f>SUM(AC9:AC$21)</f>
        <v>4478599.8617900005</v>
      </c>
      <c r="AD22" s="8">
        <f>SUM(AD9:AD$21)</f>
        <v>4478599.8617900005</v>
      </c>
      <c r="AE22" s="8">
        <f>SUM(AE9:AE$21)</f>
        <v>4478599.8617900005</v>
      </c>
      <c r="AF22" s="8">
        <f>SUM(AF9:AF$21)</f>
        <v>4478599.8617900005</v>
      </c>
      <c r="AG22" s="8">
        <f>SUM(AG9:AG$21)</f>
        <v>4478599.8617900005</v>
      </c>
      <c r="AH22" s="8">
        <f>SUM(AH9:AH$21)</f>
        <v>4478599.8617900005</v>
      </c>
      <c r="AI22" s="8">
        <f>SUM(AI9:AI$21)</f>
        <v>4478599.8617900005</v>
      </c>
      <c r="AJ22" s="8">
        <f>SUM(AJ9:AJ$21)</f>
        <v>4478599.8617900005</v>
      </c>
      <c r="AK22" s="8">
        <f>SUM(AK9:AK$21)</f>
        <v>4478599.8617900005</v>
      </c>
      <c r="AL22" s="8">
        <f>SUM(AL9:AL$21)</f>
        <v>4478599.8617900005</v>
      </c>
      <c r="AM22" s="8">
        <f>SUM(AM9:AM$21)</f>
        <v>4478599.8617900005</v>
      </c>
      <c r="AN22" s="8">
        <f>SUM(AN9:AN$21)</f>
        <v>4478599.8617900005</v>
      </c>
      <c r="AO22" s="8">
        <f>SUM(AO9:AO$21)</f>
        <v>4478599.8617900005</v>
      </c>
      <c r="AP22" s="8">
        <f>SUM(AP9:AP$21)</f>
        <v>4478599.8617900005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3713F28-E6F2-4A1A-B8BE-97D5C4597DD7}">
  <ds:schemaRefs/>
</ds:datastoreItem>
</file>

<file path=customXml/itemProps2.xml><?xml version="1.0" encoding="utf-8"?>
<ds:datastoreItem xmlns:ds="http://schemas.openxmlformats.org/officeDocument/2006/customXml" ds:itemID="{4D3179F5-32C5-4B05-95D1-394B84867FBE}">
  <ds:schemaRefs/>
</ds:datastoreItem>
</file>

<file path=customXml/itemProps3.xml><?xml version="1.0" encoding="utf-8"?>
<ds:datastoreItem xmlns:ds="http://schemas.openxmlformats.org/officeDocument/2006/customXml" ds:itemID="{9BB94377-F7C1-4357-A2C8-48A4A103309F}">
  <ds:schemaRefs/>
</ds:datastoreItem>
</file>

<file path=customXml/itemProps4.xml><?xml version="1.0" encoding="utf-8"?>
<ds:datastoreItem xmlns:ds="http://schemas.openxmlformats.org/officeDocument/2006/customXml" ds:itemID="{C9DC1F5D-BAF7-4983-B483-B354F5D4CA25}">
  <ds:schemaRefs/>
</ds:datastoreItem>
</file>

<file path=customXml/itemProps5.xml><?xml version="1.0" encoding="utf-8"?>
<ds:datastoreItem xmlns:ds="http://schemas.openxmlformats.org/officeDocument/2006/customXml" ds:itemID="{0825E7C6-6EF5-4640-8473-330042303319}">
  <ds:schemaRefs/>
</ds:datastoreItem>
</file>

<file path=customXml/itemProps6.xml><?xml version="1.0" encoding="utf-8"?>
<ds:datastoreItem xmlns:ds="http://schemas.openxmlformats.org/officeDocument/2006/customXml" ds:itemID="{2F8AFBED-F409-4E20-BF7B-B33F37294A86}">
  <ds:schemaRefs/>
</ds:datastoreItem>
</file>

<file path=customXml/itemProps7.xml><?xml version="1.0" encoding="utf-8"?>
<ds:datastoreItem xmlns:ds="http://schemas.openxmlformats.org/officeDocument/2006/customXml" ds:itemID="{158F10B7-97BA-4A77-86AA-7848DB8B6A76}">
  <ds:schemaRefs/>
</ds:datastoreItem>
</file>

<file path=customXml/itemProps8.xml><?xml version="1.0" encoding="utf-8"?>
<ds:datastoreItem xmlns:ds="http://schemas.openxmlformats.org/officeDocument/2006/customXml" ds:itemID="{302AFDA3-451D-4A71-9E30-52196E52424F}">
  <ds:schemaRefs/>
</ds:datastoreItem>
</file>

<file path=customXml/itemProps9.xml><?xml version="1.0" encoding="utf-8"?>
<ds:datastoreItem xmlns:ds="http://schemas.openxmlformats.org/officeDocument/2006/customXml" ds:itemID="{A647FD64-CA37-4DEC-B689-74BCFCF5BA50}">
  <ds:schemaRefs/>
</ds:datastoreItem>
</file>

<file path=customXml/itemProps10.xml><?xml version="1.0" encoding="utf-8"?>
<ds:datastoreItem xmlns:ds="http://schemas.openxmlformats.org/officeDocument/2006/customXml" ds:itemID="{4200BF24-3015-4E07-BED7-6934AE0DFFD9}">
  <ds:schemaRefs/>
</ds:datastoreItem>
</file>

<file path=customXml/itemProps11.xml><?xml version="1.0" encoding="utf-8"?>
<ds:datastoreItem xmlns:ds="http://schemas.openxmlformats.org/officeDocument/2006/customXml" ds:itemID="{5B72D5FC-AD59-4DEA-9481-CA83EE3D9156}">
  <ds:schemaRefs/>
</ds:datastoreItem>
</file>

<file path=customXml/itemProps12.xml><?xml version="1.0" encoding="utf-8"?>
<ds:datastoreItem xmlns:ds="http://schemas.openxmlformats.org/officeDocument/2006/customXml" ds:itemID="{E29284AD-32F2-4C6C-B030-DA24A90BE909}">
  <ds:schemaRefs/>
</ds:datastoreItem>
</file>

<file path=customXml/itemProps13.xml><?xml version="1.0" encoding="utf-8"?>
<ds:datastoreItem xmlns:ds="http://schemas.openxmlformats.org/officeDocument/2006/customXml" ds:itemID="{459304C5-9F6C-4506-B256-3BEF4552ACF7}">
  <ds:schemaRefs/>
</ds:datastoreItem>
</file>

<file path=customXml/itemProps14.xml><?xml version="1.0" encoding="utf-8"?>
<ds:datastoreItem xmlns:ds="http://schemas.openxmlformats.org/officeDocument/2006/customXml" ds:itemID="{632EA89B-7D9B-452F-B39B-1CBB2650968F}">
  <ds:schemaRefs/>
</ds:datastoreItem>
</file>

<file path=customXml/itemProps15.xml><?xml version="1.0" encoding="utf-8"?>
<ds:datastoreItem xmlns:ds="http://schemas.openxmlformats.org/officeDocument/2006/customXml" ds:itemID="{17B50C4B-E3C5-44E7-8789-D022E94D7626}">
  <ds:schemaRefs/>
</ds:datastoreItem>
</file>

<file path=customXml/itemProps16.xml><?xml version="1.0" encoding="utf-8"?>
<ds:datastoreItem xmlns:ds="http://schemas.openxmlformats.org/officeDocument/2006/customXml" ds:itemID="{E70AA020-7515-4855-9997-4AC672E2A79E}">
  <ds:schemaRefs/>
</ds:datastoreItem>
</file>

<file path=customXml/itemProps17.xml><?xml version="1.0" encoding="utf-8"?>
<ds:datastoreItem xmlns:ds="http://schemas.openxmlformats.org/officeDocument/2006/customXml" ds:itemID="{AB372352-23E0-4B96-BA6F-34B8082A26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Reports</vt:lpstr>
      <vt:lpstr>tech&gt;&gt;</vt:lpstr>
      <vt:lpstr>tech_op</vt:lpstr>
      <vt:lpstr>tech</vt:lpstr>
      <vt:lpstr>mapping</vt:lpstr>
      <vt:lpstr>BS_start</vt:lpstr>
      <vt:lpstr>BS</vt:lpstr>
      <vt:lpstr>help_1</vt:lpstr>
      <vt:lpstr>help_2</vt:lpstr>
      <vt:lpstr>budget&gt;&gt;</vt:lpstr>
      <vt:lpstr>b_aggr</vt:lpstr>
      <vt:lpstr>bOL</vt:lpstr>
      <vt:lpstr>bRM</vt:lpstr>
      <vt:lpstr>bFL</vt:lpstr>
      <vt:lpstr>b_Indirect</vt:lpstr>
      <vt:lpstr>b_Other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Жилудько Станислав Владимирович</dc:creator>
  <cp:lastModifiedBy>Жилудько Станислав Владимирович</cp:lastModifiedBy>
  <cp:lastPrinted>2023-05-10T06:21:05Z</cp:lastPrinted>
  <dcterms:created xsi:type="dcterms:W3CDTF">2015-06-05T18:17:20Z</dcterms:created>
  <dcterms:modified xsi:type="dcterms:W3CDTF">2023-05-31T10:47:48Z</dcterms:modified>
</cp:coreProperties>
</file>